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UIVI_2027" sheetId="1" state="visible" r:id="rId1"/>
    <sheet xmlns:r="http://schemas.openxmlformats.org/officeDocument/2006/relationships" name="02_DONNEES_SOURCE" sheetId="2" state="visible" r:id="rId2"/>
    <sheet xmlns:r="http://schemas.openxmlformats.org/officeDocument/2006/relationships" name="03_REFERENTIEL" sheetId="3" state="visible" r:id="rId3"/>
    <sheet xmlns:r="http://schemas.openxmlformats.org/officeDocument/2006/relationships" name="04_AVIS_UTILISATEURS" sheetId="4" state="visible" r:id="rId4"/>
    <sheet xmlns:r="http://schemas.openxmlformats.org/officeDocument/2006/relationships" name="05_POINTS_A_VALIDER" sheetId="5" state="visible" r:id="rId5"/>
    <sheet xmlns:r="http://schemas.openxmlformats.org/officeDocument/2006/relationships" name="06_NOTICE" sheetId="6" state="visible" r:id="rId6"/>
  </sheets>
  <definedNames>
    <definedName name="AnneeSuivi">'01_SUIVI_2027'!$B$6</definedName>
    <definedName name="_xlnm.Print_Titles" localSheetId="0">'01_SUIVI_2027'!$7:$7</definedName>
    <definedName name="_xlnm.Print_Area" localSheetId="0">'01_SUIVI_2027'!$A$1:$K$52</definedName>
    <definedName name="_xlnm.Print_Titles" localSheetId="1">'02_DONNEES_SOURCE'!$1:$1</definedName>
    <definedName name="_xlnm.Print_Area" localSheetId="1">'02_DONNEES_SOURCE'!$A$1:$G$123</definedName>
    <definedName name="_xlnm.Print_Titles" localSheetId="2">'03_REFERENTIEL'!$1:$1</definedName>
    <definedName name="_xlnm.Print_Area" localSheetId="2">'03_REFERENTIEL'!$A$1:$G$6</definedName>
    <definedName name="_xlnm.Print_Titles" localSheetId="3">'04_AVIS_UTILISATEURS'!$16:$16</definedName>
    <definedName name="_xlnm.Print_Area" localSheetId="3">'04_AVIS_UTILISATEURS'!$A$1:$H$47</definedName>
    <definedName name="_xlnm.Print_Titles" localSheetId="4">'05_POINTS_A_VALIDER'!$5:$5</definedName>
    <definedName name="_xlnm.Print_Area" localSheetId="4">'05_POINTS_A_VALIDER'!$A$1:$G$14</definedName>
    <definedName name="_xlnm.Print_Area" localSheetId="5">'06_NOTICE'!$A$1:$C$45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3">
    <font>
      <name val="Century Gothic"/>
      <family val="2"/>
      <sz val="10"/>
    </font>
    <font>
      <name val="Century Gothic"/>
      <b val="1"/>
      <color rgb="00FFFFFF"/>
      <sz val="9.5"/>
    </font>
    <font>
      <name val="Century Gothic"/>
      <color rgb="002B2B2B"/>
      <sz val="10"/>
    </font>
    <font>
      <name val="Century Gothic"/>
      <b val="1"/>
      <color rgb="00214B4D"/>
      <sz val="10"/>
    </font>
    <font>
      <name val="Century Gothic"/>
      <color rgb="005F6B6B"/>
      <sz val="9"/>
    </font>
    <font>
      <name val="Century Gothic"/>
      <b val="1"/>
      <color rgb="00FFFFFF"/>
      <sz val="16"/>
    </font>
    <font>
      <name val="Century Gothic"/>
      <color rgb="00FFFFFF"/>
      <sz val="9"/>
    </font>
    <font>
      <name val="Century Gothic"/>
      <b val="1"/>
      <color rgb="00FFFFFF"/>
      <sz val="18"/>
    </font>
    <font>
      <name val="Century Gothic"/>
      <b val="1"/>
      <color rgb="00FFC600"/>
      <sz val="9"/>
    </font>
    <font>
      <name val="Century Gothic"/>
      <i val="1"/>
      <color rgb="00FFFFFF"/>
      <sz val="9"/>
    </font>
    <font>
      <name val="Century Gothic"/>
      <b val="1"/>
      <color rgb="005F6B6B"/>
      <sz val="8"/>
    </font>
    <font>
      <name val="Century Gothic"/>
      <b val="1"/>
      <color rgb="00214B4D"/>
      <sz val="16"/>
    </font>
    <font>
      <name val="Century Gothic"/>
      <color rgb="005F6B6B"/>
      <sz val="8"/>
    </font>
    <font>
      <name val="Century Gothic"/>
      <b val="1"/>
      <color rgb="00214B4D"/>
      <sz val="8"/>
    </font>
    <font>
      <name val="Century Gothic"/>
      <i val="1"/>
      <color rgb="005F6B6B"/>
      <sz val="8"/>
    </font>
    <font>
      <name val="Century Gothic"/>
      <b val="1"/>
      <color rgb="00214B4D"/>
      <sz val="11"/>
    </font>
    <font>
      <name val="Century Gothic"/>
      <b val="1"/>
      <color rgb="00FFC600"/>
      <sz val="10"/>
    </font>
    <font>
      <name val="Century Gothic"/>
      <b val="1"/>
      <color rgb="00214B4D"/>
      <sz val="9"/>
    </font>
    <font>
      <name val="Century Gothic"/>
      <color rgb="002B2B2B"/>
      <sz val="9"/>
    </font>
    <font>
      <name val="Century Gothic"/>
      <i val="1"/>
      <color rgb="005F6B6B"/>
      <sz val="9"/>
    </font>
    <font>
      <name val="Century Gothic"/>
      <color rgb="002B2B2B"/>
      <sz val="9.5"/>
    </font>
    <font>
      <name val="Century Gothic"/>
      <b val="1"/>
      <color rgb="00214B4D"/>
      <sz val="9.5"/>
    </font>
    <font>
      <name val="Century Gothic"/>
      <b val="1"/>
      <color rgb="005F6B6B"/>
      <sz val="8.5"/>
    </font>
  </fonts>
  <fills count="6">
    <fill>
      <patternFill/>
    </fill>
    <fill>
      <patternFill patternType="gray125"/>
    </fill>
    <fill>
      <patternFill patternType="solid">
        <fgColor rgb="00214B4D"/>
        <bgColor rgb="00214B4D"/>
      </patternFill>
    </fill>
    <fill>
      <patternFill patternType="solid">
        <fgColor rgb="00FFC600"/>
        <bgColor rgb="00FFC600"/>
      </patternFill>
    </fill>
    <fill>
      <patternFill patternType="solid">
        <fgColor rgb="00E9EDED"/>
        <bgColor rgb="00E9EDED"/>
      </patternFill>
    </fill>
    <fill>
      <patternFill patternType="solid">
        <fgColor rgb="00FFFFFF"/>
        <bgColor rgb="00FFFFFF"/>
      </patternFill>
    </fill>
  </fills>
  <borders count="7">
    <border>
      <left/>
      <right/>
      <top/>
      <bottom/>
      <diagonal/>
    </border>
    <border>
      <left style="medium">
        <color rgb="00FFFFFF"/>
      </left>
      <right style="medium">
        <color rgb="00FFFFFF"/>
      </right>
    </border>
    <border>
      <left style="medium">
        <color rgb="00FFFFFF"/>
      </left>
      <right style="thick">
        <color rgb="00FFFFFF"/>
      </right>
    </border>
    <border>
      <left style="thin">
        <color rgb="00D3DBDB"/>
      </left>
      <right style="thin">
        <color rgb="00D3DBDB"/>
      </right>
      <top style="thin">
        <color rgb="00D3DBDB"/>
      </top>
      <bottom style="thin">
        <color rgb="00D3DBDB"/>
      </bottom>
    </border>
    <border>
      <left style="thin">
        <color rgb="00D3DBDB"/>
      </left>
      <right style="thin">
        <color rgb="00D3DBDB"/>
      </right>
      <bottom style="thin">
        <color rgb="00D3DBDB"/>
      </bottom>
    </border>
    <border>
      <bottom style="thin">
        <color rgb="00D3DBDB"/>
      </bottom>
    </border>
    <border>
      <bottom style="thin">
        <color rgb="00FFC60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5" fillId="2" borderId="0" applyAlignment="1" pivotButton="0" quotePrefix="0" xfId="0">
      <alignment vertical="bottom" indent="1"/>
    </xf>
    <xf numFmtId="0" fontId="0" fillId="2" borderId="0" pivotButton="0" quotePrefix="0" xfId="0"/>
    <xf numFmtId="0" fontId="7" fillId="2" borderId="0" applyAlignment="1" pivotButton="0" quotePrefix="0" xfId="0">
      <alignment vertical="bottom"/>
    </xf>
    <xf numFmtId="0" fontId="8" fillId="2" borderId="0" applyAlignment="1" pivotButton="0" quotePrefix="0" xfId="0">
      <alignment horizontal="right" vertical="bottom"/>
    </xf>
    <xf numFmtId="0" fontId="6" fillId="2" borderId="0" applyAlignment="1" pivotButton="0" quotePrefix="0" xfId="0">
      <alignment vertical="center" indent="1"/>
    </xf>
    <xf numFmtId="0" fontId="6" fillId="2" borderId="0" applyAlignment="1" pivotButton="0" quotePrefix="0" xfId="0">
      <alignment vertical="center"/>
    </xf>
    <xf numFmtId="0" fontId="9" fillId="2" borderId="0" applyAlignment="1" pivotButton="0" quotePrefix="0" xfId="0">
      <alignment horizontal="right" vertical="center"/>
    </xf>
    <xf numFmtId="0" fontId="0" fillId="3" borderId="0" pivotButton="0" quotePrefix="0" xfId="0"/>
    <xf numFmtId="1" fontId="10" fillId="4" borderId="1" applyAlignment="1" pivotButton="0" quotePrefix="0" xfId="0">
      <alignment horizontal="center" vertical="bottom" wrapText="1"/>
    </xf>
    <xf numFmtId="0" fontId="0" fillId="4" borderId="1" pivotButton="0" quotePrefix="0" xfId="0"/>
    <xf numFmtId="1" fontId="10" fillId="4" borderId="2" applyAlignment="1" pivotButton="0" quotePrefix="0" xfId="0">
      <alignment horizontal="center" vertical="bottom" wrapText="1"/>
    </xf>
    <xf numFmtId="1" fontId="11" fillId="4" borderId="1" applyAlignment="1" pivotButton="0" quotePrefix="0" xfId="0">
      <alignment horizontal="center" vertical="center"/>
    </xf>
    <xf numFmtId="1" fontId="11" fillId="4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1" fontId="3" fillId="0" borderId="0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right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65" fontId="19" fillId="4" borderId="4" applyAlignment="1" pivotButton="0" quotePrefix="0" xfId="0">
      <alignment vertical="top" wrapText="1"/>
    </xf>
    <xf numFmtId="0" fontId="19" fillId="4" borderId="4" applyAlignment="1" pivotButton="0" quotePrefix="0" xfId="0">
      <alignment vertical="top" wrapText="1"/>
    </xf>
    <xf numFmtId="165" fontId="2" fillId="5" borderId="4" applyAlignment="1" pivotButton="0" quotePrefix="0" xfId="0">
      <alignment vertical="top" wrapText="1"/>
    </xf>
    <xf numFmtId="0" fontId="2" fillId="5" borderId="4" applyAlignment="1" pivotButton="0" quotePrefix="0" xfId="0">
      <alignment vertical="top" wrapText="1"/>
    </xf>
    <xf numFmtId="0" fontId="20" fillId="0" borderId="5" applyAlignment="1" pivotButton="0" quotePrefix="0" xfId="0">
      <alignment horizontal="center" vertical="top" wrapText="1"/>
    </xf>
    <xf numFmtId="0" fontId="21" fillId="0" borderId="5" applyAlignment="1" pivotButton="0" quotePrefix="0" xfId="0">
      <alignment vertical="top" wrapText="1"/>
    </xf>
    <xf numFmtId="0" fontId="20" fillId="0" borderId="5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0" fillId="0" borderId="6" pivotButton="0" quotePrefix="0" xfId="0"/>
    <xf numFmtId="0" fontId="20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center"/>
    </xf>
    <xf numFmtId="0" fontId="21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Century Gothic"/>
        <b val="1"/>
        <color rgb="00214B4D"/>
      </font>
      <fill>
        <patternFill patternType="solid">
          <fgColor rgb="00FFC600"/>
          <bgColor rgb="00FFC600"/>
        </patternFill>
      </fill>
    </dxf>
    <dxf>
      <fill>
        <patternFill patternType="solid">
          <fgColor rgb="00E9EDED"/>
          <bgColor rgb="00E9EDED"/>
        </patternFill>
      </fill>
    </dxf>
    <dxf>
      <fill>
        <patternFill patternType="solid">
          <fgColor rgb="00FFC600"/>
          <bgColor rgb="00FFC6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Prototype</author>
  </authors>
  <commentList>
    <comment ref="D4" authorId="0" shapeId="0">
      <text>
        <t>Nombre de lignes visibles avec les filtres en cours.</t>
      </text>
    </comment>
    <comment ref="D6" authorId="0" shapeId="0">
      <text>
        <t>Date du dernier chargement de 02_DONNEES_SOURCE.
Ici : jeu fictif DATA_PDM_TEST.xlsx reçu le 13/10/2026.
À mettre à jour à chaque import (date d'extraction GMAO).</t>
      </text>
    </comment>
    <comment ref="E6" authorId="0" shapeId="0">
      <text>
        <t>Compare la vue 2027 à 02_DONNEES_SOURCE : même nombre de lignes pour l'année suivie et aucune ligne de la vue absente de la source.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57150</colOff>
      <row>0</row>
      <rowOff>19050</rowOff>
    </from>
    <ext cx="139601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_Suivi2027" displayName="T_Suivi2027" ref="A7:K52" headerRowCount="1">
  <autoFilter ref="A7:K52"/>
  <tableColumns count="11">
    <tableColumn id="1" name="Périmètre"/>
    <tableColumn id="2" name="Groupe"/>
    <tableColumn id="3" name="Code installation"/>
    <tableColumn id="4" name="Installation"/>
    <tableColumn id="5" name="Opération"/>
    <tableColumn id="6" name="Famille"/>
    <tableColumn id="7" name="Périodicité"/>
    <tableColumn id="8" name="Référence technique"/>
    <tableColumn id="9" name="Code type source"/>
    <tableColumn id="10" name="Statut référentiel"/>
    <tableColumn id="11" name="Point de vigilance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_Source" displayName="T_Source" ref="A1:G123" headerRowCount="1">
  <autoFilter ref="A1:G123"/>
  <tableColumns count="7">
    <tableColumn id="1" name="Périmètre"/>
    <tableColumn id="2" name="Groupe"/>
    <tableColumn id="3" name="Année"/>
    <tableColumn id="4" name="Code installation"/>
    <tableColumn id="5" name="Installation"/>
    <tableColumn id="6" name="Périodicité"/>
    <tableColumn id="7" name="Type opération source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id="3" name="T_Referentiel" displayName="T_Referentiel" ref="A1:G6" headerRowCount="1">
  <autoFilter ref="A1:G6"/>
  <tableColumns count="7">
    <tableColumn id="1" name="Valeur source"/>
    <tableColumn id="2" name="Libellé affiché"/>
    <tableColumn id="3" name="Famille"/>
    <tableColumn id="4" name="Périodicité indicative"/>
    <tableColumn id="5" name="Référence technique fictive"/>
    <tableColumn id="6" name="Description courte"/>
    <tableColumn id="7" name="Statut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id="4" name="T_Avis" displayName="T_Avis" ref="A16:H47" headerRowCount="1">
  <autoFilter ref="A16:H47"/>
  <tableColumns count="8">
    <tableColumn id="1" name="Date"/>
    <tableColumn id="2" name="Contributeur (nom, fonction)"/>
    <tableColumn id="3" name="Périmètre / site"/>
    <tableColumn id="4" name="Thème"/>
    <tableColumn id="5" name="Remarque"/>
    <tableColumn id="6" name="Priorité"/>
    <tableColumn id="7" name="Élément concerné (onglet, colonne)"/>
    <tableColumn id="8" name="Suite donnée (équipe projet)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id="5" name="T_Points" displayName="T_Points" ref="A5:G14" headerRowCount="1">
  <autoFilter ref="A5:G14"/>
  <tableColumns count="7">
    <tableColumn id="1" name="N°"/>
    <tableColumn id="2" name="Thème"/>
    <tableColumn id="3" name="Constat (dans les sources)"/>
    <tableColumn id="4" name="Traitement dans la V0.1"/>
    <tableColumn id="5" name="Question à trancher"/>
    <tableColumn id="6" name="Statut"/>
    <tableColumn id="7" name="Décision / réponse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00FFC600"/>
    <outlinePr summaryBelow="1" summaryRight="1"/>
    <pageSetUpPr fitToPage="1"/>
  </sheetPr>
  <dimension ref="A1:K5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8" customWidth="1" min="4" max="4"/>
    <col width="21" customWidth="1" min="5" max="5"/>
    <col width="11" customWidth="1" min="6" max="6"/>
    <col width="11" customWidth="1" min="7" max="7"/>
    <col width="13" customWidth="1" min="8" max="8"/>
    <col width="12" customWidth="1" min="9" max="9"/>
    <col width="17" customWidth="1" min="10" max="10"/>
    <col width="29" customWidth="1" min="11" max="11"/>
  </cols>
  <sheetData>
    <row r="1" ht="30" customHeight="1">
      <c r="A1" s="1" t="n"/>
      <c r="B1" s="2" t="n"/>
      <c r="C1" s="3" t="str">
        <f>"Suivi annuel de maintenance "&amp;AnneeSuivi</f>
        <v>Suivi annuel de maintenance 2027</v>
      </c>
      <c r="D1" s="2" t="n"/>
      <c r="E1" s="2" t="n"/>
      <c r="F1" s="2" t="n"/>
      <c r="G1" s="2" t="n"/>
      <c r="H1" s="2" t="n"/>
      <c r="I1" s="2" t="n"/>
      <c r="J1" s="2" t="n"/>
      <c r="K1" s="4" t="inlineStr">
        <is>
          <t>PROTOTYPE V0.1</t>
        </is>
      </c>
    </row>
    <row r="2" ht="18" customHeight="1">
      <c r="A2" s="5" t="n"/>
      <c r="B2" s="2" t="n"/>
      <c r="C2" s="6" t="inlineStr">
        <is>
          <t>Vue de consultation des opérations prévues. La GMAO reste la source de référence : ce fichier n'en est qu'une lecture.</t>
        </is>
      </c>
      <c r="D2" s="2" t="n"/>
      <c r="E2" s="2" t="n"/>
      <c r="F2" s="2" t="n"/>
      <c r="G2" s="2" t="n"/>
      <c r="H2" s="2" t="n"/>
      <c r="I2" s="2" t="n"/>
      <c r="J2" s="2" t="n"/>
      <c r="K2" s="7" t="inlineStr">
        <is>
          <t>Données 100 % fictives</t>
        </is>
      </c>
    </row>
    <row r="3" ht="3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</row>
    <row r="4" ht="24" customHeight="1">
      <c r="A4" s="9" t="str">
        <f>"Opérations "&amp;AnneeSuivi</f>
        <v>Opérations 2027</v>
      </c>
      <c r="B4" s="10" t="n"/>
      <c r="C4" s="9" t="inlineStr">
        <is>
          <t>Installations</t>
        </is>
      </c>
      <c r="D4" s="11" t="inlineStr">
        <is>
          <t>Affichées (filtres)</t>
        </is>
      </c>
      <c r="E4" s="9" t="str">
        <f>'03_REFERENTIEL'!$B$2</f>
        <v>Contrôle annuel</v>
      </c>
      <c r="F4" s="9" t="str">
        <f>'03_REFERENTIEL'!$B$3</f>
        <v>Essai de conformité</v>
      </c>
      <c r="G4" s="9" t="str">
        <f>'03_REFERENTIEL'!$B$4</f>
        <v>Contrôle filtre</v>
      </c>
      <c r="H4" s="9" t="str">
        <f>'03_REFERENTIEL'!$B$5</f>
        <v>Révision</v>
      </c>
      <c r="I4" s="11" t="str">
        <f>'03_REFERENTIEL'!$B$6</f>
        <v>Opération spécifique</v>
      </c>
      <c r="J4" s="11" t="inlineStr">
        <is>
          <t>Statut à confirmer</t>
        </is>
      </c>
      <c r="K4" s="9" t="inlineStr">
        <is>
          <t>Points de vigilance</t>
        </is>
      </c>
    </row>
    <row r="5" ht="26" customHeight="1">
      <c r="A5" s="12">
        <f>COUNTA(T_Suivi2027[Code installation])</f>
        <v>45</v>
      </c>
      <c r="B5" s="10" t="n"/>
      <c r="C5" s="12">
        <f>SUMPRODUCT((T_Suivi2027[Code installation]&lt;&gt;"")/COUNTIF(T_Suivi2027[Code installation],T_Suivi2027[Code installation]&amp;""))</f>
        <v>28</v>
      </c>
      <c r="D5" s="13">
        <f>SUBTOTAL(103,T_Suivi2027[Code installation])</f>
        <v>45</v>
      </c>
      <c r="E5" s="12">
        <f>COUNTIF(T_Suivi2027[Code type source],'03_REFERENTIEL'!$A$2)</f>
        <v>16</v>
      </c>
      <c r="F5" s="12">
        <f>COUNTIF(T_Suivi2027[Code type source],'03_REFERENTIEL'!$A$3)</f>
        <v>10</v>
      </c>
      <c r="G5" s="12">
        <f>COUNTIF(T_Suivi2027[Code type source],'03_REFERENTIEL'!$A$4)</f>
        <v>6</v>
      </c>
      <c r="H5" s="12">
        <f>COUNTIF(T_Suivi2027[Code type source],'03_REFERENTIEL'!$A$5)</f>
        <v>9</v>
      </c>
      <c r="I5" s="13">
        <f>COUNTIF(T_Suivi2027[Code type source],'03_REFERENTIEL'!$A$6)</f>
        <v>4</v>
      </c>
      <c r="J5" s="13">
        <f>COUNTIF(T_Suivi2027[Statut référentiel],"À confirmer")+COUNTIF(T_Suivi2027[Statut référentiel],"Absent du référentiel")</f>
        <v>4</v>
      </c>
      <c r="K5" s="12">
        <f>COUNTIF(T_Suivi2027[Point de vigilance],"?*")</f>
        <v>6</v>
      </c>
    </row>
    <row r="6" ht="20" customHeight="1">
      <c r="A6" s="14" t="inlineStr">
        <is>
          <t>Année suivie</t>
        </is>
      </c>
      <c r="B6" s="15" t="n">
        <v>2027</v>
      </c>
      <c r="C6" s="14" t="inlineStr">
        <is>
          <t>Actualisé le</t>
        </is>
      </c>
      <c r="D6" s="16" t="n">
        <v>46308</v>
      </c>
      <c r="E6" s="17" t="str">
        <f>IF(AND(COUNTIF(T_Source[Année],AnneeSuivi)=COUNTA(T_Suivi2027[Code installation]),COUNTIF(T_Suivi2027[Point de vigilance],"Absente*")=0),"Contrôle source : OK ("&amp;COUNTA(T_Suivi2027[Code installation])&amp;" / "&amp;COUNTIF(T_Source[Année],AnneeSuivi)&amp;" opérations "&amp;AnneeSuivi&amp;")","Contrôle source : VUE À ACTUALISER (source "&amp;COUNTIF(T_Source[Année],AnneeSuivi)&amp;" / vue "&amp;COUNTA(T_Suivi2027[Code installation])&amp;")")</f>
        <v>Contrôle source : OK (45 / 45 opérations 2027)</v>
      </c>
      <c r="K6" s="18" t="inlineStr">
        <is>
          <t>Filtrer / rechercher : flèches d'en-tête  ·  jaune = à confirmer</t>
        </is>
      </c>
    </row>
    <row r="7" ht="32" customHeight="1">
      <c r="A7" s="19" t="inlineStr">
        <is>
          <t>Périmètre</t>
        </is>
      </c>
      <c r="B7" s="19" t="inlineStr">
        <is>
          <t>Groupe</t>
        </is>
      </c>
      <c r="C7" s="19" t="inlineStr">
        <is>
          <t>Code installation</t>
        </is>
      </c>
      <c r="D7" s="19" t="inlineStr">
        <is>
          <t>Installation</t>
        </is>
      </c>
      <c r="E7" s="19" t="inlineStr">
        <is>
          <t>Opération</t>
        </is>
      </c>
      <c r="F7" s="19" t="inlineStr">
        <is>
          <t>Famille</t>
        </is>
      </c>
      <c r="G7" s="19" t="inlineStr">
        <is>
          <t>Périodicité</t>
        </is>
      </c>
      <c r="H7" s="19" t="inlineStr">
        <is>
          <t>Référence technique</t>
        </is>
      </c>
      <c r="I7" s="19" t="inlineStr">
        <is>
          <t>Code type source</t>
        </is>
      </c>
      <c r="J7" s="19" t="inlineStr">
        <is>
          <t>Statut référentiel</t>
        </is>
      </c>
      <c r="K7" s="19" t="inlineStr">
        <is>
          <t>Point de vigilance</t>
        </is>
      </c>
    </row>
    <row r="8" ht="18" customHeight="1">
      <c r="A8" s="20" t="inlineStr">
        <is>
          <t>PERIM_A</t>
        </is>
      </c>
      <c r="B8" s="20" t="inlineStr">
        <is>
          <t>GRP_A1</t>
        </is>
      </c>
      <c r="C8" s="20" t="inlineStr">
        <is>
          <t>INST-001</t>
        </is>
      </c>
      <c r="D8" s="20" t="inlineStr">
        <is>
          <t>Installation A1</t>
        </is>
      </c>
      <c r="E8" s="21" t="str">
        <f>IFERROR(INDEX(T_Referentiel[Libellé affiché],MATCH($I8,T_Referentiel[Valeur source],0)),"À confirmer")</f>
        <v>Contrôle annuel</v>
      </c>
      <c r="F8" s="20" t="str">
        <f>IFERROR(INDEX(T_Referentiel[Famille],MATCH($I8,T_Referentiel[Valeur source],0)),"À confirmer")</f>
        <v>Contrôle</v>
      </c>
      <c r="G8" s="22" t="inlineStr">
        <is>
          <t>1 an</t>
        </is>
      </c>
      <c r="H8" s="20" t="str">
        <f>IFERROR(INDEX(T_Referentiel[Référence technique fictive],MATCH($I8,T_Referentiel[Valeur source],0)),"À confirmer")</f>
        <v>REF-001</v>
      </c>
      <c r="I8" s="20" t="inlineStr">
        <is>
          <t>TYPE_A</t>
        </is>
      </c>
      <c r="J8" s="20" t="str">
        <f>IFERROR(INDEX(T_Referentiel[Statut],MATCH($I8,T_Referentiel[Valeur source],0)),"Absent du référentiel")</f>
        <v>Validé pour démo</v>
      </c>
      <c r="K8" s="20" t="str">
        <f>IF(COUNTIFS(T_Source[Code installation],$C8,T_Source[Type opération source],$I8,T_Source[Périodicité],$G8,T_Source[Année],AnneeSuivi)=0,"Absente de la source : actualiser",IF(COUNTIFS(T_Suivi2027[Code installation],$C8,T_Suivi2027[Code type source],$I8,T_Suivi2027[Périodicité],$G8)&gt;1,"Doublon potentiel : à confirmer",""))</f>
        <v/>
      </c>
    </row>
    <row r="9" ht="18" customHeight="1">
      <c r="A9" s="20" t="inlineStr">
        <is>
          <t>PERIM_A</t>
        </is>
      </c>
      <c r="B9" s="20" t="inlineStr">
        <is>
          <t>GRP_A1</t>
        </is>
      </c>
      <c r="C9" s="20" t="inlineStr">
        <is>
          <t>INST-001</t>
        </is>
      </c>
      <c r="D9" s="20" t="inlineStr">
        <is>
          <t>Installation A1</t>
        </is>
      </c>
      <c r="E9" s="21" t="str">
        <f>IFERROR(INDEX(T_Referentiel[Libellé affiché],MATCH($I9,T_Referentiel[Valeur source],0)),"À confirmer")</f>
        <v>Contrôle filtre</v>
      </c>
      <c r="F9" s="20" t="str">
        <f>IFERROR(INDEX(T_Referentiel[Famille],MATCH($I9,T_Referentiel[Valeur source],0)),"À confirmer")</f>
        <v>Contrôle</v>
      </c>
      <c r="G9" s="22" t="inlineStr">
        <is>
          <t>3 ans</t>
        </is>
      </c>
      <c r="H9" s="20" t="str">
        <f>IFERROR(INDEX(T_Referentiel[Référence technique fictive],MATCH($I9,T_Referentiel[Valeur source],0)),"À confirmer")</f>
        <v>REF-003</v>
      </c>
      <c r="I9" s="20" t="inlineStr">
        <is>
          <t>TYPE_C</t>
        </is>
      </c>
      <c r="J9" s="20" t="str">
        <f>IFERROR(INDEX(T_Referentiel[Statut],MATCH($I9,T_Referentiel[Valeur source],0)),"Absent du référentiel")</f>
        <v>Validé pour démo</v>
      </c>
      <c r="K9" s="20" t="str">
        <f>IF(COUNTIFS(T_Source[Code installation],$C9,T_Source[Type opération source],$I9,T_Source[Périodicité],$G9,T_Source[Année],AnneeSuivi)=0,"Absente de la source : actualiser",IF(COUNTIFS(T_Suivi2027[Code installation],$C9,T_Suivi2027[Code type source],$I9,T_Suivi2027[Périodicité],$G9)&gt;1,"Doublon potentiel : à confirmer",""))</f>
        <v/>
      </c>
    </row>
    <row r="10" ht="18" customHeight="1">
      <c r="A10" s="20" t="inlineStr">
        <is>
          <t>PERIM_A</t>
        </is>
      </c>
      <c r="B10" s="20" t="inlineStr">
        <is>
          <t>GRP_A1</t>
        </is>
      </c>
      <c r="C10" s="20" t="inlineStr">
        <is>
          <t>INST-001</t>
        </is>
      </c>
      <c r="D10" s="20" t="inlineStr">
        <is>
          <t>Installation A1</t>
        </is>
      </c>
      <c r="E10" s="21" t="str">
        <f>IFERROR(INDEX(T_Referentiel[Libellé affiché],MATCH($I10,T_Referentiel[Valeur source],0)),"À confirmer")</f>
        <v>Opération spécifique</v>
      </c>
      <c r="F10" s="20" t="str">
        <f>IFERROR(INDEX(T_Referentiel[Famille],MATCH($I10,T_Referentiel[Valeur source],0)),"À confirmer")</f>
        <v>Autre</v>
      </c>
      <c r="G10" s="22" t="inlineStr">
        <is>
          <t>2 ans</t>
        </is>
      </c>
      <c r="H10" s="20" t="str">
        <f>IFERROR(INDEX(T_Referentiel[Référence technique fictive],MATCH($I10,T_Referentiel[Valeur source],0)),"À confirmer")</f>
        <v>À confirmer</v>
      </c>
      <c r="I10" s="20" t="inlineStr">
        <is>
          <t>TYPE_E</t>
        </is>
      </c>
      <c r="J10" s="20" t="str">
        <f>IFERROR(INDEX(T_Referentiel[Statut],MATCH($I10,T_Referentiel[Valeur source],0)),"Absent du référentiel")</f>
        <v>À confirmer</v>
      </c>
      <c r="K10" s="20" t="str">
        <f>IF(COUNTIFS(T_Source[Code installation],$C10,T_Source[Type opération source],$I10,T_Source[Périodicité],$G10,T_Source[Année],AnneeSuivi)=0,"Absente de la source : actualiser",IF(COUNTIFS(T_Suivi2027[Code installation],$C10,T_Suivi2027[Code type source],$I10,T_Suivi2027[Périodicité],$G10)&gt;1,"Doublon potentiel : à confirmer",""))</f>
        <v/>
      </c>
    </row>
    <row r="11" ht="18" customHeight="1">
      <c r="A11" s="20" t="inlineStr">
        <is>
          <t>PERIM_A</t>
        </is>
      </c>
      <c r="B11" s="20" t="inlineStr">
        <is>
          <t>GRP_A1</t>
        </is>
      </c>
      <c r="C11" s="20" t="inlineStr">
        <is>
          <t>INST-002</t>
        </is>
      </c>
      <c r="D11" s="20" t="inlineStr">
        <is>
          <t>Installation B1</t>
        </is>
      </c>
      <c r="E11" s="21" t="str">
        <f>IFERROR(INDEX(T_Referentiel[Libellé affiché],MATCH($I11,T_Referentiel[Valeur source],0)),"À confirmer")</f>
        <v>Révision</v>
      </c>
      <c r="F11" s="20" t="str">
        <f>IFERROR(INDEX(T_Referentiel[Famille],MATCH($I11,T_Referentiel[Valeur source],0)),"À confirmer")</f>
        <v>Révision</v>
      </c>
      <c r="G11" s="22" t="inlineStr">
        <is>
          <t>6 ans</t>
        </is>
      </c>
      <c r="H11" s="20" t="str">
        <f>IFERROR(INDEX(T_Referentiel[Référence technique fictive],MATCH($I11,T_Referentiel[Valeur source],0)),"À confirmer")</f>
        <v>REF-004</v>
      </c>
      <c r="I11" s="20" t="inlineStr">
        <is>
          <t>TYPE_D</t>
        </is>
      </c>
      <c r="J11" s="20" t="str">
        <f>IFERROR(INDEX(T_Referentiel[Statut],MATCH($I11,T_Referentiel[Valeur source],0)),"Absent du référentiel")</f>
        <v>Validé pour démo</v>
      </c>
      <c r="K11" s="20" t="str">
        <f>IF(COUNTIFS(T_Source[Code installation],$C11,T_Source[Type opération source],$I11,T_Source[Périodicité],$G11,T_Source[Année],AnneeSuivi)=0,"Absente de la source : actualiser",IF(COUNTIFS(T_Suivi2027[Code installation],$C11,T_Suivi2027[Code type source],$I11,T_Suivi2027[Périodicité],$G11)&gt;1,"Doublon potentiel : à confirmer",""))</f>
        <v/>
      </c>
    </row>
    <row r="12" ht="18" customHeight="1">
      <c r="A12" s="20" t="inlineStr">
        <is>
          <t>PERIM_A</t>
        </is>
      </c>
      <c r="B12" s="20" t="inlineStr">
        <is>
          <t>GRP_A1</t>
        </is>
      </c>
      <c r="C12" s="20" t="inlineStr">
        <is>
          <t>INST-004</t>
        </is>
      </c>
      <c r="D12" s="20" t="inlineStr">
        <is>
          <t>Installation D1</t>
        </is>
      </c>
      <c r="E12" s="21" t="str">
        <f>IFERROR(INDEX(T_Referentiel[Libellé affiché],MATCH($I12,T_Referentiel[Valeur source],0)),"À confirmer")</f>
        <v>Révision</v>
      </c>
      <c r="F12" s="20" t="str">
        <f>IFERROR(INDEX(T_Referentiel[Famille],MATCH($I12,T_Referentiel[Valeur source],0)),"À confirmer")</f>
        <v>Révision</v>
      </c>
      <c r="G12" s="22" t="inlineStr">
        <is>
          <t>6 ans</t>
        </is>
      </c>
      <c r="H12" s="20" t="str">
        <f>IFERROR(INDEX(T_Referentiel[Référence technique fictive],MATCH($I12,T_Referentiel[Valeur source],0)),"À confirmer")</f>
        <v>REF-004</v>
      </c>
      <c r="I12" s="20" t="inlineStr">
        <is>
          <t>TYPE_D</t>
        </is>
      </c>
      <c r="J12" s="20" t="str">
        <f>IFERROR(INDEX(T_Referentiel[Statut],MATCH($I12,T_Referentiel[Valeur source],0)),"Absent du référentiel")</f>
        <v>Validé pour démo</v>
      </c>
      <c r="K12" s="20" t="str">
        <f>IF(COUNTIFS(T_Source[Code installation],$C12,T_Source[Type opération source],$I12,T_Source[Périodicité],$G12,T_Source[Année],AnneeSuivi)=0,"Absente de la source : actualiser",IF(COUNTIFS(T_Suivi2027[Code installation],$C12,T_Suivi2027[Code type source],$I12,T_Suivi2027[Périodicité],$G12)&gt;1,"Doublon potentiel : à confirmer",""))</f>
        <v/>
      </c>
    </row>
    <row r="13" ht="18" customHeight="1">
      <c r="A13" s="20" t="inlineStr">
        <is>
          <t>PERIM_A</t>
        </is>
      </c>
      <c r="B13" s="20" t="inlineStr">
        <is>
          <t>GRP_A1</t>
        </is>
      </c>
      <c r="C13" s="20" t="inlineStr">
        <is>
          <t>INST-005</t>
        </is>
      </c>
      <c r="D13" s="20" t="inlineStr">
        <is>
          <t>Installation E1</t>
        </is>
      </c>
      <c r="E13" s="21" t="str">
        <f>IFERROR(INDEX(T_Referentiel[Libellé affiché],MATCH($I13,T_Referentiel[Valeur source],0)),"À confirmer")</f>
        <v>Opération spécifique</v>
      </c>
      <c r="F13" s="20" t="str">
        <f>IFERROR(INDEX(T_Referentiel[Famille],MATCH($I13,T_Referentiel[Valeur source],0)),"À confirmer")</f>
        <v>Autre</v>
      </c>
      <c r="G13" s="22" t="inlineStr">
        <is>
          <t>2 ans</t>
        </is>
      </c>
      <c r="H13" s="20" t="str">
        <f>IFERROR(INDEX(T_Referentiel[Référence technique fictive],MATCH($I13,T_Referentiel[Valeur source],0)),"À confirmer")</f>
        <v>À confirmer</v>
      </c>
      <c r="I13" s="20" t="inlineStr">
        <is>
          <t>TYPE_E</t>
        </is>
      </c>
      <c r="J13" s="20" t="str">
        <f>IFERROR(INDEX(T_Referentiel[Statut],MATCH($I13,T_Referentiel[Valeur source],0)),"Absent du référentiel")</f>
        <v>À confirmer</v>
      </c>
      <c r="K13" s="20" t="str">
        <f>IF(COUNTIFS(T_Source[Code installation],$C13,T_Source[Type opération source],$I13,T_Source[Périodicité],$G13,T_Source[Année],AnneeSuivi)=0,"Absente de la source : actualiser",IF(COUNTIFS(T_Suivi2027[Code installation],$C13,T_Suivi2027[Code type source],$I13,T_Suivi2027[Périodicité],$G13)&gt;1,"Doublon potentiel : à confirmer",""))</f>
        <v/>
      </c>
    </row>
    <row r="14" ht="18" customHeight="1">
      <c r="A14" s="20" t="inlineStr">
        <is>
          <t>PERIM_A</t>
        </is>
      </c>
      <c r="B14" s="20" t="inlineStr">
        <is>
          <t>GRP_A1</t>
        </is>
      </c>
      <c r="C14" s="20" t="inlineStr">
        <is>
          <t>INST-006</t>
        </is>
      </c>
      <c r="D14" s="20" t="inlineStr">
        <is>
          <t>Installation F1</t>
        </is>
      </c>
      <c r="E14" s="21" t="str">
        <f>IFERROR(INDEX(T_Referentiel[Libellé affiché],MATCH($I14,T_Referentiel[Valeur source],0)),"À confirmer")</f>
        <v>Contrôle annuel</v>
      </c>
      <c r="F14" s="20" t="str">
        <f>IFERROR(INDEX(T_Referentiel[Famille],MATCH($I14,T_Referentiel[Valeur source],0)),"À confirmer")</f>
        <v>Contrôle</v>
      </c>
      <c r="G14" s="22" t="inlineStr">
        <is>
          <t>1 an</t>
        </is>
      </c>
      <c r="H14" s="20" t="str">
        <f>IFERROR(INDEX(T_Referentiel[Référence technique fictive],MATCH($I14,T_Referentiel[Valeur source],0)),"À confirmer")</f>
        <v>REF-001</v>
      </c>
      <c r="I14" s="20" t="inlineStr">
        <is>
          <t>TYPE_A</t>
        </is>
      </c>
      <c r="J14" s="20" t="str">
        <f>IFERROR(INDEX(T_Referentiel[Statut],MATCH($I14,T_Referentiel[Valeur source],0)),"Absent du référentiel")</f>
        <v>Validé pour démo</v>
      </c>
      <c r="K14" s="20" t="str">
        <f>IF(COUNTIFS(T_Source[Code installation],$C14,T_Source[Type opération source],$I14,T_Source[Périodicité],$G14,T_Source[Année],AnneeSuivi)=0,"Absente de la source : actualiser",IF(COUNTIFS(T_Suivi2027[Code installation],$C14,T_Suivi2027[Code type source],$I14,T_Suivi2027[Périodicité],$G14)&gt;1,"Doublon potentiel : à confirmer",""))</f>
        <v>Doublon potentiel : à confirmer</v>
      </c>
    </row>
    <row r="15" ht="18" customHeight="1">
      <c r="A15" s="20" t="inlineStr">
        <is>
          <t>PERIM_A</t>
        </is>
      </c>
      <c r="B15" s="20" t="inlineStr">
        <is>
          <t>GRP_A1</t>
        </is>
      </c>
      <c r="C15" s="20" t="inlineStr">
        <is>
          <t>INST-006</t>
        </is>
      </c>
      <c r="D15" s="20" t="inlineStr">
        <is>
          <t>Installation F1</t>
        </is>
      </c>
      <c r="E15" s="21" t="str">
        <f>IFERROR(INDEX(T_Referentiel[Libellé affiché],MATCH($I15,T_Referentiel[Valeur source],0)),"À confirmer")</f>
        <v>Contrôle annuel</v>
      </c>
      <c r="F15" s="20" t="str">
        <f>IFERROR(INDEX(T_Referentiel[Famille],MATCH($I15,T_Referentiel[Valeur source],0)),"À confirmer")</f>
        <v>Contrôle</v>
      </c>
      <c r="G15" s="22" t="inlineStr">
        <is>
          <t>1 an</t>
        </is>
      </c>
      <c r="H15" s="20" t="str">
        <f>IFERROR(INDEX(T_Referentiel[Référence technique fictive],MATCH($I15,T_Referentiel[Valeur source],0)),"À confirmer")</f>
        <v>REF-001</v>
      </c>
      <c r="I15" s="20" t="inlineStr">
        <is>
          <t>TYPE_A</t>
        </is>
      </c>
      <c r="J15" s="20" t="str">
        <f>IFERROR(INDEX(T_Referentiel[Statut],MATCH($I15,T_Referentiel[Valeur source],0)),"Absent du référentiel")</f>
        <v>Validé pour démo</v>
      </c>
      <c r="K15" s="20" t="str">
        <f>IF(COUNTIFS(T_Source[Code installation],$C15,T_Source[Type opération source],$I15,T_Source[Périodicité],$G15,T_Source[Année],AnneeSuivi)=0,"Absente de la source : actualiser",IF(COUNTIFS(T_Suivi2027[Code installation],$C15,T_Suivi2027[Code type source],$I15,T_Suivi2027[Périodicité],$G15)&gt;1,"Doublon potentiel : à confirmer",""))</f>
        <v>Doublon potentiel : à confirmer</v>
      </c>
    </row>
    <row r="16" ht="18" customHeight="1">
      <c r="A16" s="20" t="inlineStr">
        <is>
          <t>PERIM_A</t>
        </is>
      </c>
      <c r="B16" s="20" t="inlineStr">
        <is>
          <t>GRP_A1</t>
        </is>
      </c>
      <c r="C16" s="20" t="inlineStr">
        <is>
          <t>INST-006</t>
        </is>
      </c>
      <c r="D16" s="20" t="inlineStr">
        <is>
          <t>Installation F1</t>
        </is>
      </c>
      <c r="E16" s="21" t="str">
        <f>IFERROR(INDEX(T_Referentiel[Libellé affiché],MATCH($I16,T_Referentiel[Valeur source],0)),"À confirmer")</f>
        <v>Essai de conformité</v>
      </c>
      <c r="F16" s="20" t="str">
        <f>IFERROR(INDEX(T_Referentiel[Famille],MATCH($I16,T_Referentiel[Valeur source],0)),"À confirmer")</f>
        <v>Contrôle</v>
      </c>
      <c r="G16" s="22" t="inlineStr">
        <is>
          <t>2 ans</t>
        </is>
      </c>
      <c r="H16" s="20" t="str">
        <f>IFERROR(INDEX(T_Referentiel[Référence technique fictive],MATCH($I16,T_Referentiel[Valeur source],0)),"À confirmer")</f>
        <v>REF-002</v>
      </c>
      <c r="I16" s="20" t="inlineStr">
        <is>
          <t>TYPE_B</t>
        </is>
      </c>
      <c r="J16" s="20" t="str">
        <f>IFERROR(INDEX(T_Referentiel[Statut],MATCH($I16,T_Referentiel[Valeur source],0)),"Absent du référentiel")</f>
        <v>Validé pour démo</v>
      </c>
      <c r="K16" s="20" t="str">
        <f>IF(COUNTIFS(T_Source[Code installation],$C16,T_Source[Type opération source],$I16,T_Source[Périodicité],$G16,T_Source[Année],AnneeSuivi)=0,"Absente de la source : actualiser",IF(COUNTIFS(T_Suivi2027[Code installation],$C16,T_Suivi2027[Code type source],$I16,T_Suivi2027[Périodicité],$G16)&gt;1,"Doublon potentiel : à confirmer",""))</f>
        <v/>
      </c>
    </row>
    <row r="17" ht="18" customHeight="1">
      <c r="A17" s="20" t="inlineStr">
        <is>
          <t>PERIM_A</t>
        </is>
      </c>
      <c r="B17" s="20" t="inlineStr">
        <is>
          <t>GRP_A1</t>
        </is>
      </c>
      <c r="C17" s="20" t="inlineStr">
        <is>
          <t>INST-007</t>
        </is>
      </c>
      <c r="D17" s="20" t="inlineStr">
        <is>
          <t>Installation G1</t>
        </is>
      </c>
      <c r="E17" s="21" t="str">
        <f>IFERROR(INDEX(T_Referentiel[Libellé affiché],MATCH($I17,T_Referentiel[Valeur source],0)),"À confirmer")</f>
        <v>Opération spécifique</v>
      </c>
      <c r="F17" s="20" t="str">
        <f>IFERROR(INDEX(T_Referentiel[Famille],MATCH($I17,T_Referentiel[Valeur source],0)),"À confirmer")</f>
        <v>Autre</v>
      </c>
      <c r="G17" s="22" t="inlineStr">
        <is>
          <t>2 ans</t>
        </is>
      </c>
      <c r="H17" s="20" t="str">
        <f>IFERROR(INDEX(T_Referentiel[Référence technique fictive],MATCH($I17,T_Referentiel[Valeur source],0)),"À confirmer")</f>
        <v>À confirmer</v>
      </c>
      <c r="I17" s="20" t="inlineStr">
        <is>
          <t>TYPE_E</t>
        </is>
      </c>
      <c r="J17" s="20" t="str">
        <f>IFERROR(INDEX(T_Referentiel[Statut],MATCH($I17,T_Referentiel[Valeur source],0)),"Absent du référentiel")</f>
        <v>À confirmer</v>
      </c>
      <c r="K17" s="20" t="str">
        <f>IF(COUNTIFS(T_Source[Code installation],$C17,T_Source[Type opération source],$I17,T_Source[Périodicité],$G17,T_Source[Année],AnneeSuivi)=0,"Absente de la source : actualiser",IF(COUNTIFS(T_Suivi2027[Code installation],$C17,T_Suivi2027[Code type source],$I17,T_Suivi2027[Périodicité],$G17)&gt;1,"Doublon potentiel : à confirmer",""))</f>
        <v/>
      </c>
    </row>
    <row r="18" ht="18" customHeight="1">
      <c r="A18" s="20" t="inlineStr">
        <is>
          <t>PERIM_A</t>
        </is>
      </c>
      <c r="B18" s="20" t="inlineStr">
        <is>
          <t>GRP_A1</t>
        </is>
      </c>
      <c r="C18" s="20" t="inlineStr">
        <is>
          <t>INST-008</t>
        </is>
      </c>
      <c r="D18" s="20" t="inlineStr">
        <is>
          <t>Installation H1</t>
        </is>
      </c>
      <c r="E18" s="21" t="str">
        <f>IFERROR(INDEX(T_Referentiel[Libellé affiché],MATCH($I18,T_Referentiel[Valeur source],0)),"À confirmer")</f>
        <v>Contrôle filtre</v>
      </c>
      <c r="F18" s="20" t="str">
        <f>IFERROR(INDEX(T_Referentiel[Famille],MATCH($I18,T_Referentiel[Valeur source],0)),"À confirmer")</f>
        <v>Contrôle</v>
      </c>
      <c r="G18" s="22" t="inlineStr">
        <is>
          <t>3 ans</t>
        </is>
      </c>
      <c r="H18" s="20" t="str">
        <f>IFERROR(INDEX(T_Referentiel[Référence technique fictive],MATCH($I18,T_Referentiel[Valeur source],0)),"À confirmer")</f>
        <v>REF-003</v>
      </c>
      <c r="I18" s="20" t="inlineStr">
        <is>
          <t>TYPE_C</t>
        </is>
      </c>
      <c r="J18" s="20" t="str">
        <f>IFERROR(INDEX(T_Referentiel[Statut],MATCH($I18,T_Referentiel[Valeur source],0)),"Absent du référentiel")</f>
        <v>Validé pour démo</v>
      </c>
      <c r="K18" s="20" t="str">
        <f>IF(COUNTIFS(T_Source[Code installation],$C18,T_Source[Type opération source],$I18,T_Source[Périodicité],$G18,T_Source[Année],AnneeSuivi)=0,"Absente de la source : actualiser",IF(COUNTIFS(T_Suivi2027[Code installation],$C18,T_Suivi2027[Code type source],$I18,T_Suivi2027[Périodicité],$G18)&gt;1,"Doublon potentiel : à confirmer",""))</f>
        <v/>
      </c>
    </row>
    <row r="19" ht="18" customHeight="1">
      <c r="A19" s="20" t="inlineStr">
        <is>
          <t>PERIM_A</t>
        </is>
      </c>
      <c r="B19" s="20" t="inlineStr">
        <is>
          <t>GRP_A1</t>
        </is>
      </c>
      <c r="C19" s="20" t="inlineStr">
        <is>
          <t>INST-008</t>
        </is>
      </c>
      <c r="D19" s="20" t="inlineStr">
        <is>
          <t>Installation H1</t>
        </is>
      </c>
      <c r="E19" s="21" t="str">
        <f>IFERROR(INDEX(T_Referentiel[Libellé affiché],MATCH($I19,T_Referentiel[Valeur source],0)),"À confirmer")</f>
        <v>Révision</v>
      </c>
      <c r="F19" s="20" t="str">
        <f>IFERROR(INDEX(T_Referentiel[Famille],MATCH($I19,T_Referentiel[Valeur source],0)),"À confirmer")</f>
        <v>Révision</v>
      </c>
      <c r="G19" s="22" t="inlineStr">
        <is>
          <t>6 ans</t>
        </is>
      </c>
      <c r="H19" s="20" t="str">
        <f>IFERROR(INDEX(T_Referentiel[Référence technique fictive],MATCH($I19,T_Referentiel[Valeur source],0)),"À confirmer")</f>
        <v>REF-004</v>
      </c>
      <c r="I19" s="20" t="inlineStr">
        <is>
          <t>TYPE_D</t>
        </is>
      </c>
      <c r="J19" s="20" t="str">
        <f>IFERROR(INDEX(T_Referentiel[Statut],MATCH($I19,T_Referentiel[Valeur source],0)),"Absent du référentiel")</f>
        <v>Validé pour démo</v>
      </c>
      <c r="K19" s="20" t="str">
        <f>IF(COUNTIFS(T_Source[Code installation],$C19,T_Source[Type opération source],$I19,T_Source[Périodicité],$G19,T_Source[Année],AnneeSuivi)=0,"Absente de la source : actualiser",IF(COUNTIFS(T_Suivi2027[Code installation],$C19,T_Suivi2027[Code type source],$I19,T_Suivi2027[Périodicité],$G19)&gt;1,"Doublon potentiel : à confirmer",""))</f>
        <v/>
      </c>
    </row>
    <row r="20" ht="18" customHeight="1">
      <c r="A20" s="20" t="inlineStr">
        <is>
          <t>PERIM_A</t>
        </is>
      </c>
      <c r="B20" s="20" t="inlineStr">
        <is>
          <t>GRP_A2</t>
        </is>
      </c>
      <c r="C20" s="20" t="inlineStr">
        <is>
          <t>INST-009</t>
        </is>
      </c>
      <c r="D20" s="20" t="inlineStr">
        <is>
          <t>Installation I1</t>
        </is>
      </c>
      <c r="E20" s="21" t="str">
        <f>IFERROR(INDEX(T_Referentiel[Libellé affiché],MATCH($I20,T_Referentiel[Valeur source],0)),"À confirmer")</f>
        <v>Essai de conformité</v>
      </c>
      <c r="F20" s="20" t="str">
        <f>IFERROR(INDEX(T_Referentiel[Famille],MATCH($I20,T_Referentiel[Valeur source],0)),"À confirmer")</f>
        <v>Contrôle</v>
      </c>
      <c r="G20" s="22" t="inlineStr">
        <is>
          <t>2 ans</t>
        </is>
      </c>
      <c r="H20" s="20" t="str">
        <f>IFERROR(INDEX(T_Referentiel[Référence technique fictive],MATCH($I20,T_Referentiel[Valeur source],0)),"À confirmer")</f>
        <v>REF-002</v>
      </c>
      <c r="I20" s="20" t="inlineStr">
        <is>
          <t>TYPE_B</t>
        </is>
      </c>
      <c r="J20" s="20" t="str">
        <f>IFERROR(INDEX(T_Referentiel[Statut],MATCH($I20,T_Referentiel[Valeur source],0)),"Absent du référentiel")</f>
        <v>Validé pour démo</v>
      </c>
      <c r="K20" s="20" t="str">
        <f>IF(COUNTIFS(T_Source[Code installation],$C20,T_Source[Type opération source],$I20,T_Source[Périodicité],$G20,T_Source[Année],AnneeSuivi)=0,"Absente de la source : actualiser",IF(COUNTIFS(T_Suivi2027[Code installation],$C20,T_Suivi2027[Code type source],$I20,T_Suivi2027[Périodicité],$G20)&gt;1,"Doublon potentiel : à confirmer",""))</f>
        <v/>
      </c>
    </row>
    <row r="21" ht="18" customHeight="1">
      <c r="A21" s="20" t="inlineStr">
        <is>
          <t>PERIM_A</t>
        </is>
      </c>
      <c r="B21" s="20" t="inlineStr">
        <is>
          <t>GRP_A2</t>
        </is>
      </c>
      <c r="C21" s="20" t="inlineStr">
        <is>
          <t>INST-010</t>
        </is>
      </c>
      <c r="D21" s="20" t="inlineStr">
        <is>
          <t>Installation J1</t>
        </is>
      </c>
      <c r="E21" s="21" t="str">
        <f>IFERROR(INDEX(T_Referentiel[Libellé affiché],MATCH($I21,T_Referentiel[Valeur source],0)),"À confirmer")</f>
        <v>Contrôle annuel</v>
      </c>
      <c r="F21" s="20" t="str">
        <f>IFERROR(INDEX(T_Referentiel[Famille],MATCH($I21,T_Referentiel[Valeur source],0)),"À confirmer")</f>
        <v>Contrôle</v>
      </c>
      <c r="G21" s="22" t="inlineStr">
        <is>
          <t>1 an</t>
        </is>
      </c>
      <c r="H21" s="20" t="str">
        <f>IFERROR(INDEX(T_Referentiel[Référence technique fictive],MATCH($I21,T_Referentiel[Valeur source],0)),"À confirmer")</f>
        <v>REF-001</v>
      </c>
      <c r="I21" s="20" t="inlineStr">
        <is>
          <t>TYPE_A</t>
        </is>
      </c>
      <c r="J21" s="20" t="str">
        <f>IFERROR(INDEX(T_Referentiel[Statut],MATCH($I21,T_Referentiel[Valeur source],0)),"Absent du référentiel")</f>
        <v>Validé pour démo</v>
      </c>
      <c r="K21" s="20" t="str">
        <f>IF(COUNTIFS(T_Source[Code installation],$C21,T_Source[Type opération source],$I21,T_Source[Périodicité],$G21,T_Source[Année],AnneeSuivi)=0,"Absente de la source : actualiser",IF(COUNTIFS(T_Suivi2027[Code installation],$C21,T_Suivi2027[Code type source],$I21,T_Suivi2027[Périodicité],$G21)&gt;1,"Doublon potentiel : à confirmer",""))</f>
        <v>Doublon potentiel : à confirmer</v>
      </c>
    </row>
    <row r="22" ht="18" customHeight="1">
      <c r="A22" s="20" t="inlineStr">
        <is>
          <t>PERIM_A</t>
        </is>
      </c>
      <c r="B22" s="20" t="inlineStr">
        <is>
          <t>GRP_A2</t>
        </is>
      </c>
      <c r="C22" s="20" t="inlineStr">
        <is>
          <t>INST-010</t>
        </is>
      </c>
      <c r="D22" s="20" t="inlineStr">
        <is>
          <t>Installation J1</t>
        </is>
      </c>
      <c r="E22" s="21" t="str">
        <f>IFERROR(INDEX(T_Referentiel[Libellé affiché],MATCH($I22,T_Referentiel[Valeur source],0)),"À confirmer")</f>
        <v>Contrôle annuel</v>
      </c>
      <c r="F22" s="20" t="str">
        <f>IFERROR(INDEX(T_Referentiel[Famille],MATCH($I22,T_Referentiel[Valeur source],0)),"À confirmer")</f>
        <v>Contrôle</v>
      </c>
      <c r="G22" s="22" t="inlineStr">
        <is>
          <t>1 an</t>
        </is>
      </c>
      <c r="H22" s="20" t="str">
        <f>IFERROR(INDEX(T_Referentiel[Référence technique fictive],MATCH($I22,T_Referentiel[Valeur source],0)),"À confirmer")</f>
        <v>REF-001</v>
      </c>
      <c r="I22" s="20" t="inlineStr">
        <is>
          <t>TYPE_A</t>
        </is>
      </c>
      <c r="J22" s="20" t="str">
        <f>IFERROR(INDEX(T_Referentiel[Statut],MATCH($I22,T_Referentiel[Valeur source],0)),"Absent du référentiel")</f>
        <v>Validé pour démo</v>
      </c>
      <c r="K22" s="20" t="str">
        <f>IF(COUNTIFS(T_Source[Code installation],$C22,T_Source[Type opération source],$I22,T_Source[Périodicité],$G22,T_Source[Année],AnneeSuivi)=0,"Absente de la source : actualiser",IF(COUNTIFS(T_Suivi2027[Code installation],$C22,T_Suivi2027[Code type source],$I22,T_Suivi2027[Périodicité],$G22)&gt;1,"Doublon potentiel : à confirmer",""))</f>
        <v>Doublon potentiel : à confirmer</v>
      </c>
    </row>
    <row r="23" ht="18" customHeight="1">
      <c r="A23" s="20" t="inlineStr">
        <is>
          <t>PERIM_A</t>
        </is>
      </c>
      <c r="B23" s="20" t="inlineStr">
        <is>
          <t>GRP_A2</t>
        </is>
      </c>
      <c r="C23" s="20" t="inlineStr">
        <is>
          <t>INST-010</t>
        </is>
      </c>
      <c r="D23" s="20" t="inlineStr">
        <is>
          <t>Installation J1</t>
        </is>
      </c>
      <c r="E23" s="21" t="str">
        <f>IFERROR(INDEX(T_Referentiel[Libellé affiché],MATCH($I23,T_Referentiel[Valeur source],0)),"À confirmer")</f>
        <v>Contrôle filtre</v>
      </c>
      <c r="F23" s="20" t="str">
        <f>IFERROR(INDEX(T_Referentiel[Famille],MATCH($I23,T_Referentiel[Valeur source],0)),"À confirmer")</f>
        <v>Contrôle</v>
      </c>
      <c r="G23" s="22" t="inlineStr">
        <is>
          <t>3 ans</t>
        </is>
      </c>
      <c r="H23" s="20" t="str">
        <f>IFERROR(INDEX(T_Referentiel[Référence technique fictive],MATCH($I23,T_Referentiel[Valeur source],0)),"À confirmer")</f>
        <v>REF-003</v>
      </c>
      <c r="I23" s="20" t="inlineStr">
        <is>
          <t>TYPE_C</t>
        </is>
      </c>
      <c r="J23" s="20" t="str">
        <f>IFERROR(INDEX(T_Referentiel[Statut],MATCH($I23,T_Referentiel[Valeur source],0)),"Absent du référentiel")</f>
        <v>Validé pour démo</v>
      </c>
      <c r="K23" s="20" t="str">
        <f>IF(COUNTIFS(T_Source[Code installation],$C23,T_Source[Type opération source],$I23,T_Source[Périodicité],$G23,T_Source[Année],AnneeSuivi)=0,"Absente de la source : actualiser",IF(COUNTIFS(T_Suivi2027[Code installation],$C23,T_Suivi2027[Code type source],$I23,T_Suivi2027[Périodicité],$G23)&gt;1,"Doublon potentiel : à confirmer",""))</f>
        <v/>
      </c>
    </row>
    <row r="24" ht="18" customHeight="1">
      <c r="A24" s="20" t="inlineStr">
        <is>
          <t>PERIM_A</t>
        </is>
      </c>
      <c r="B24" s="20" t="inlineStr">
        <is>
          <t>GRP_A2</t>
        </is>
      </c>
      <c r="C24" s="20" t="inlineStr">
        <is>
          <t>INST-011</t>
        </is>
      </c>
      <c r="D24" s="20" t="inlineStr">
        <is>
          <t>Installation K1</t>
        </is>
      </c>
      <c r="E24" s="21" t="str">
        <f>IFERROR(INDEX(T_Referentiel[Libellé affiché],MATCH($I24,T_Referentiel[Valeur source],0)),"À confirmer")</f>
        <v>Contrôle annuel</v>
      </c>
      <c r="F24" s="20" t="str">
        <f>IFERROR(INDEX(T_Referentiel[Famille],MATCH($I24,T_Referentiel[Valeur source],0)),"À confirmer")</f>
        <v>Contrôle</v>
      </c>
      <c r="G24" s="22" t="inlineStr">
        <is>
          <t>1 an</t>
        </is>
      </c>
      <c r="H24" s="20" t="str">
        <f>IFERROR(INDEX(T_Referentiel[Référence technique fictive],MATCH($I24,T_Referentiel[Valeur source],0)),"À confirmer")</f>
        <v>REF-001</v>
      </c>
      <c r="I24" s="20" t="inlineStr">
        <is>
          <t>TYPE_A</t>
        </is>
      </c>
      <c r="J24" s="20" t="str">
        <f>IFERROR(INDEX(T_Referentiel[Statut],MATCH($I24,T_Referentiel[Valeur source],0)),"Absent du référentiel")</f>
        <v>Validé pour démo</v>
      </c>
      <c r="K24" s="20" t="str">
        <f>IF(COUNTIFS(T_Source[Code installation],$C24,T_Source[Type opération source],$I24,T_Source[Périodicité],$G24,T_Source[Année],AnneeSuivi)=0,"Absente de la source : actualiser",IF(COUNTIFS(T_Suivi2027[Code installation],$C24,T_Suivi2027[Code type source],$I24,T_Suivi2027[Périodicité],$G24)&gt;1,"Doublon potentiel : à confirmer",""))</f>
        <v/>
      </c>
    </row>
    <row r="25" ht="18" customHeight="1">
      <c r="A25" s="20" t="inlineStr">
        <is>
          <t>PERIM_A</t>
        </is>
      </c>
      <c r="B25" s="20" t="inlineStr">
        <is>
          <t>GRP_A2</t>
        </is>
      </c>
      <c r="C25" s="20" t="inlineStr">
        <is>
          <t>INST-011</t>
        </is>
      </c>
      <c r="D25" s="20" t="inlineStr">
        <is>
          <t>Installation K1</t>
        </is>
      </c>
      <c r="E25" s="21" t="str">
        <f>IFERROR(INDEX(T_Referentiel[Libellé affiché],MATCH($I25,T_Referentiel[Valeur source],0)),"À confirmer")</f>
        <v>Contrôle filtre</v>
      </c>
      <c r="F25" s="20" t="str">
        <f>IFERROR(INDEX(T_Referentiel[Famille],MATCH($I25,T_Referentiel[Valeur source],0)),"À confirmer")</f>
        <v>Contrôle</v>
      </c>
      <c r="G25" s="22" t="inlineStr">
        <is>
          <t>3 ans</t>
        </is>
      </c>
      <c r="H25" s="20" t="str">
        <f>IFERROR(INDEX(T_Referentiel[Référence technique fictive],MATCH($I25,T_Referentiel[Valeur source],0)),"À confirmer")</f>
        <v>REF-003</v>
      </c>
      <c r="I25" s="20" t="inlineStr">
        <is>
          <t>TYPE_C</t>
        </is>
      </c>
      <c r="J25" s="20" t="str">
        <f>IFERROR(INDEX(T_Referentiel[Statut],MATCH($I25,T_Referentiel[Valeur source],0)),"Absent du référentiel")</f>
        <v>Validé pour démo</v>
      </c>
      <c r="K25" s="20" t="str">
        <f>IF(COUNTIFS(T_Source[Code installation],$C25,T_Source[Type opération source],$I25,T_Source[Périodicité],$G25,T_Source[Année],AnneeSuivi)=0,"Absente de la source : actualiser",IF(COUNTIFS(T_Suivi2027[Code installation],$C25,T_Suivi2027[Code type source],$I25,T_Suivi2027[Périodicité],$G25)&gt;1,"Doublon potentiel : à confirmer",""))</f>
        <v/>
      </c>
    </row>
    <row r="26" ht="18" customHeight="1">
      <c r="A26" s="20" t="inlineStr">
        <is>
          <t>PERIM_A</t>
        </is>
      </c>
      <c r="B26" s="20" t="inlineStr">
        <is>
          <t>GRP_A2</t>
        </is>
      </c>
      <c r="C26" s="20" t="inlineStr">
        <is>
          <t>INST-011</t>
        </is>
      </c>
      <c r="D26" s="20" t="inlineStr">
        <is>
          <t>Installation K1</t>
        </is>
      </c>
      <c r="E26" s="21" t="str">
        <f>IFERROR(INDEX(T_Referentiel[Libellé affiché],MATCH($I26,T_Referentiel[Valeur source],0)),"À confirmer")</f>
        <v>Révision</v>
      </c>
      <c r="F26" s="20" t="str">
        <f>IFERROR(INDEX(T_Referentiel[Famille],MATCH($I26,T_Referentiel[Valeur source],0)),"À confirmer")</f>
        <v>Révision</v>
      </c>
      <c r="G26" s="22" t="inlineStr">
        <is>
          <t>6 ans</t>
        </is>
      </c>
      <c r="H26" s="20" t="str">
        <f>IFERROR(INDEX(T_Referentiel[Référence technique fictive],MATCH($I26,T_Referentiel[Valeur source],0)),"À confirmer")</f>
        <v>REF-004</v>
      </c>
      <c r="I26" s="20" t="inlineStr">
        <is>
          <t>TYPE_D</t>
        </is>
      </c>
      <c r="J26" s="20" t="str">
        <f>IFERROR(INDEX(T_Referentiel[Statut],MATCH($I26,T_Referentiel[Valeur source],0)),"Absent du référentiel")</f>
        <v>Validé pour démo</v>
      </c>
      <c r="K26" s="20" t="str">
        <f>IF(COUNTIFS(T_Source[Code installation],$C26,T_Source[Type opération source],$I26,T_Source[Périodicité],$G26,T_Source[Année],AnneeSuivi)=0,"Absente de la source : actualiser",IF(COUNTIFS(T_Suivi2027[Code installation],$C26,T_Suivi2027[Code type source],$I26,T_Suivi2027[Périodicité],$G26)&gt;1,"Doublon potentiel : à confirmer",""))</f>
        <v/>
      </c>
    </row>
    <row r="27" ht="18" customHeight="1">
      <c r="A27" s="20" t="inlineStr">
        <is>
          <t>PERIM_A</t>
        </is>
      </c>
      <c r="B27" s="20" t="inlineStr">
        <is>
          <t>GRP_A2</t>
        </is>
      </c>
      <c r="C27" s="20" t="inlineStr">
        <is>
          <t>INST-012</t>
        </is>
      </c>
      <c r="D27" s="20" t="inlineStr">
        <is>
          <t>Installation L1</t>
        </is>
      </c>
      <c r="E27" s="21" t="str">
        <f>IFERROR(INDEX(T_Referentiel[Libellé affiché],MATCH($I27,T_Referentiel[Valeur source],0)),"À confirmer")</f>
        <v>Contrôle annuel</v>
      </c>
      <c r="F27" s="20" t="str">
        <f>IFERROR(INDEX(T_Referentiel[Famille],MATCH($I27,T_Referentiel[Valeur source],0)),"À confirmer")</f>
        <v>Contrôle</v>
      </c>
      <c r="G27" s="22" t="inlineStr">
        <is>
          <t>1 an</t>
        </is>
      </c>
      <c r="H27" s="20" t="str">
        <f>IFERROR(INDEX(T_Referentiel[Référence technique fictive],MATCH($I27,T_Referentiel[Valeur source],0)),"À confirmer")</f>
        <v>REF-001</v>
      </c>
      <c r="I27" s="20" t="inlineStr">
        <is>
          <t>TYPE_A</t>
        </is>
      </c>
      <c r="J27" s="20" t="str">
        <f>IFERROR(INDEX(T_Referentiel[Statut],MATCH($I27,T_Referentiel[Valeur source],0)),"Absent du référentiel")</f>
        <v>Validé pour démo</v>
      </c>
      <c r="K27" s="20" t="str">
        <f>IF(COUNTIFS(T_Source[Code installation],$C27,T_Source[Type opération source],$I27,T_Source[Périodicité],$G27,T_Source[Année],AnneeSuivi)=0,"Absente de la source : actualiser",IF(COUNTIFS(T_Suivi2027[Code installation],$C27,T_Suivi2027[Code type source],$I27,T_Suivi2027[Périodicité],$G27)&gt;1,"Doublon potentiel : à confirmer",""))</f>
        <v/>
      </c>
    </row>
    <row r="28" ht="18" customHeight="1">
      <c r="A28" s="20" t="inlineStr">
        <is>
          <t>PERIM_A</t>
        </is>
      </c>
      <c r="B28" s="20" t="inlineStr">
        <is>
          <t>GRP_A2</t>
        </is>
      </c>
      <c r="C28" s="20" t="inlineStr">
        <is>
          <t>INST-014</t>
        </is>
      </c>
      <c r="D28" s="20" t="inlineStr">
        <is>
          <t>Installation N1</t>
        </is>
      </c>
      <c r="E28" s="21" t="str">
        <f>IFERROR(INDEX(T_Referentiel[Libellé affiché],MATCH($I28,T_Referentiel[Valeur source],0)),"À confirmer")</f>
        <v>Contrôle annuel</v>
      </c>
      <c r="F28" s="20" t="str">
        <f>IFERROR(INDEX(T_Referentiel[Famille],MATCH($I28,T_Referentiel[Valeur source],0)),"À confirmer")</f>
        <v>Contrôle</v>
      </c>
      <c r="G28" s="22" t="inlineStr">
        <is>
          <t>1 an</t>
        </is>
      </c>
      <c r="H28" s="20" t="str">
        <f>IFERROR(INDEX(T_Referentiel[Référence technique fictive],MATCH($I28,T_Referentiel[Valeur source],0)),"À confirmer")</f>
        <v>REF-001</v>
      </c>
      <c r="I28" s="20" t="inlineStr">
        <is>
          <t>TYPE_A</t>
        </is>
      </c>
      <c r="J28" s="20" t="str">
        <f>IFERROR(INDEX(T_Referentiel[Statut],MATCH($I28,T_Referentiel[Valeur source],0)),"Absent du référentiel")</f>
        <v>Validé pour démo</v>
      </c>
      <c r="K28" s="20" t="str">
        <f>IF(COUNTIFS(T_Source[Code installation],$C28,T_Source[Type opération source],$I28,T_Source[Périodicité],$G28,T_Source[Année],AnneeSuivi)=0,"Absente de la source : actualiser",IF(COUNTIFS(T_Suivi2027[Code installation],$C28,T_Suivi2027[Code type source],$I28,T_Suivi2027[Périodicité],$G28)&gt;1,"Doublon potentiel : à confirmer",""))</f>
        <v/>
      </c>
    </row>
    <row r="29" ht="18" customHeight="1">
      <c r="A29" s="20" t="inlineStr">
        <is>
          <t>PERIM_A</t>
        </is>
      </c>
      <c r="B29" s="20" t="inlineStr">
        <is>
          <t>GRP_A2</t>
        </is>
      </c>
      <c r="C29" s="20" t="inlineStr">
        <is>
          <t>INST-015</t>
        </is>
      </c>
      <c r="D29" s="20" t="inlineStr">
        <is>
          <t>Installation O1</t>
        </is>
      </c>
      <c r="E29" s="21" t="str">
        <f>IFERROR(INDEX(T_Referentiel[Libellé affiché],MATCH($I29,T_Referentiel[Valeur source],0)),"À confirmer")</f>
        <v>Contrôle annuel</v>
      </c>
      <c r="F29" s="20" t="str">
        <f>IFERROR(INDEX(T_Referentiel[Famille],MATCH($I29,T_Referentiel[Valeur source],0)),"À confirmer")</f>
        <v>Contrôle</v>
      </c>
      <c r="G29" s="22" t="inlineStr">
        <is>
          <t>1 an</t>
        </is>
      </c>
      <c r="H29" s="20" t="str">
        <f>IFERROR(INDEX(T_Referentiel[Référence technique fictive],MATCH($I29,T_Referentiel[Valeur source],0)),"À confirmer")</f>
        <v>REF-001</v>
      </c>
      <c r="I29" s="20" t="inlineStr">
        <is>
          <t>TYPE_A</t>
        </is>
      </c>
      <c r="J29" s="20" t="str">
        <f>IFERROR(INDEX(T_Referentiel[Statut],MATCH($I29,T_Referentiel[Valeur source],0)),"Absent du référentiel")</f>
        <v>Validé pour démo</v>
      </c>
      <c r="K29" s="20" t="str">
        <f>IF(COUNTIFS(T_Source[Code installation],$C29,T_Source[Type opération source],$I29,T_Source[Périodicité],$G29,T_Source[Année],AnneeSuivi)=0,"Absente de la source : actualiser",IF(COUNTIFS(T_Suivi2027[Code installation],$C29,T_Suivi2027[Code type source],$I29,T_Suivi2027[Périodicité],$G29)&gt;1,"Doublon potentiel : à confirmer",""))</f>
        <v/>
      </c>
    </row>
    <row r="30" ht="18" customHeight="1">
      <c r="A30" s="20" t="inlineStr">
        <is>
          <t>PERIM_A</t>
        </is>
      </c>
      <c r="B30" s="20" t="inlineStr">
        <is>
          <t>GRP_A2</t>
        </is>
      </c>
      <c r="C30" s="20" t="inlineStr">
        <is>
          <t>INST-015</t>
        </is>
      </c>
      <c r="D30" s="20" t="inlineStr">
        <is>
          <t>Installation O1</t>
        </is>
      </c>
      <c r="E30" s="21" t="str">
        <f>IFERROR(INDEX(T_Referentiel[Libellé affiché],MATCH($I30,T_Referentiel[Valeur source],0)),"À confirmer")</f>
        <v>Essai de conformité</v>
      </c>
      <c r="F30" s="20" t="str">
        <f>IFERROR(INDEX(T_Referentiel[Famille],MATCH($I30,T_Referentiel[Valeur source],0)),"À confirmer")</f>
        <v>Contrôle</v>
      </c>
      <c r="G30" s="22" t="inlineStr">
        <is>
          <t>2 ans</t>
        </is>
      </c>
      <c r="H30" s="20" t="str">
        <f>IFERROR(INDEX(T_Referentiel[Référence technique fictive],MATCH($I30,T_Referentiel[Valeur source],0)),"À confirmer")</f>
        <v>REF-002</v>
      </c>
      <c r="I30" s="20" t="inlineStr">
        <is>
          <t>TYPE_B</t>
        </is>
      </c>
      <c r="J30" s="20" t="str">
        <f>IFERROR(INDEX(T_Referentiel[Statut],MATCH($I30,T_Referentiel[Valeur source],0)),"Absent du référentiel")</f>
        <v>Validé pour démo</v>
      </c>
      <c r="K30" s="20" t="str">
        <f>IF(COUNTIFS(T_Source[Code installation],$C30,T_Source[Type opération source],$I30,T_Source[Périodicité],$G30,T_Source[Année],AnneeSuivi)=0,"Absente de la source : actualiser",IF(COUNTIFS(T_Suivi2027[Code installation],$C30,T_Suivi2027[Code type source],$I30,T_Suivi2027[Périodicité],$G30)&gt;1,"Doublon potentiel : à confirmer",""))</f>
        <v/>
      </c>
    </row>
    <row r="31" ht="18" customHeight="1">
      <c r="A31" s="20" t="inlineStr">
        <is>
          <t>PERIM_A</t>
        </is>
      </c>
      <c r="B31" s="20" t="inlineStr">
        <is>
          <t>GRP_A2</t>
        </is>
      </c>
      <c r="C31" s="20" t="inlineStr">
        <is>
          <t>INST-016</t>
        </is>
      </c>
      <c r="D31" s="20" t="inlineStr">
        <is>
          <t>Installation P1</t>
        </is>
      </c>
      <c r="E31" s="21" t="str">
        <f>IFERROR(INDEX(T_Referentiel[Libellé affiché],MATCH($I31,T_Referentiel[Valeur source],0)),"À confirmer")</f>
        <v>Contrôle annuel</v>
      </c>
      <c r="F31" s="20" t="str">
        <f>IFERROR(INDEX(T_Referentiel[Famille],MATCH($I31,T_Referentiel[Valeur source],0)),"À confirmer")</f>
        <v>Contrôle</v>
      </c>
      <c r="G31" s="22" t="inlineStr">
        <is>
          <t>1 an</t>
        </is>
      </c>
      <c r="H31" s="20" t="str">
        <f>IFERROR(INDEX(T_Referentiel[Référence technique fictive],MATCH($I31,T_Referentiel[Valeur source],0)),"À confirmer")</f>
        <v>REF-001</v>
      </c>
      <c r="I31" s="20" t="inlineStr">
        <is>
          <t>TYPE_A</t>
        </is>
      </c>
      <c r="J31" s="20" t="str">
        <f>IFERROR(INDEX(T_Referentiel[Statut],MATCH($I31,T_Referentiel[Valeur source],0)),"Absent du référentiel")</f>
        <v>Validé pour démo</v>
      </c>
      <c r="K31" s="20" t="str">
        <f>IF(COUNTIFS(T_Source[Code installation],$C31,T_Source[Type opération source],$I31,T_Source[Périodicité],$G31,T_Source[Année],AnneeSuivi)=0,"Absente de la source : actualiser",IF(COUNTIFS(T_Suivi2027[Code installation],$C31,T_Suivi2027[Code type source],$I31,T_Suivi2027[Périodicité],$G31)&gt;1,"Doublon potentiel : à confirmer",""))</f>
        <v/>
      </c>
    </row>
    <row r="32" ht="18" customHeight="1">
      <c r="A32" s="20" t="inlineStr">
        <is>
          <t>PERIM_B</t>
        </is>
      </c>
      <c r="B32" s="20" t="inlineStr">
        <is>
          <t>GRP_B1</t>
        </is>
      </c>
      <c r="C32" s="20" t="inlineStr">
        <is>
          <t>INST-017</t>
        </is>
      </c>
      <c r="D32" s="20" t="inlineStr">
        <is>
          <t>Installation Q1</t>
        </is>
      </c>
      <c r="E32" s="21" t="str">
        <f>IFERROR(INDEX(T_Referentiel[Libellé affiché],MATCH($I32,T_Referentiel[Valeur source],0)),"À confirmer")</f>
        <v>Révision</v>
      </c>
      <c r="F32" s="20" t="str">
        <f>IFERROR(INDEX(T_Referentiel[Famille],MATCH($I32,T_Referentiel[Valeur source],0)),"À confirmer")</f>
        <v>Révision</v>
      </c>
      <c r="G32" s="22" t="inlineStr">
        <is>
          <t>6 ans</t>
        </is>
      </c>
      <c r="H32" s="20" t="str">
        <f>IFERROR(INDEX(T_Referentiel[Référence technique fictive],MATCH($I32,T_Referentiel[Valeur source],0)),"À confirmer")</f>
        <v>REF-004</v>
      </c>
      <c r="I32" s="20" t="inlineStr">
        <is>
          <t>TYPE_D</t>
        </is>
      </c>
      <c r="J32" s="20" t="str">
        <f>IFERROR(INDEX(T_Referentiel[Statut],MATCH($I32,T_Referentiel[Valeur source],0)),"Absent du référentiel")</f>
        <v>Validé pour démo</v>
      </c>
      <c r="K32" s="20" t="str">
        <f>IF(COUNTIFS(T_Source[Code installation],$C32,T_Source[Type opération source],$I32,T_Source[Périodicité],$G32,T_Source[Année],AnneeSuivi)=0,"Absente de la source : actualiser",IF(COUNTIFS(T_Suivi2027[Code installation],$C32,T_Suivi2027[Code type source],$I32,T_Suivi2027[Périodicité],$G32)&gt;1,"Doublon potentiel : à confirmer",""))</f>
        <v/>
      </c>
    </row>
    <row r="33" ht="18" customHeight="1">
      <c r="A33" s="20" t="inlineStr">
        <is>
          <t>PERIM_B</t>
        </is>
      </c>
      <c r="B33" s="20" t="inlineStr">
        <is>
          <t>GRP_B1</t>
        </is>
      </c>
      <c r="C33" s="20" t="inlineStr">
        <is>
          <t>INST-018</t>
        </is>
      </c>
      <c r="D33" s="20" t="inlineStr">
        <is>
          <t>Installation R1</t>
        </is>
      </c>
      <c r="E33" s="21" t="str">
        <f>IFERROR(INDEX(T_Referentiel[Libellé affiché],MATCH($I33,T_Referentiel[Valeur source],0)),"À confirmer")</f>
        <v>Essai de conformité</v>
      </c>
      <c r="F33" s="20" t="str">
        <f>IFERROR(INDEX(T_Referentiel[Famille],MATCH($I33,T_Referentiel[Valeur source],0)),"À confirmer")</f>
        <v>Contrôle</v>
      </c>
      <c r="G33" s="22" t="inlineStr">
        <is>
          <t>2 ans</t>
        </is>
      </c>
      <c r="H33" s="20" t="str">
        <f>IFERROR(INDEX(T_Referentiel[Référence technique fictive],MATCH($I33,T_Referentiel[Valeur source],0)),"À confirmer")</f>
        <v>REF-002</v>
      </c>
      <c r="I33" s="20" t="inlineStr">
        <is>
          <t>TYPE_B</t>
        </is>
      </c>
      <c r="J33" s="20" t="str">
        <f>IFERROR(INDEX(T_Referentiel[Statut],MATCH($I33,T_Referentiel[Valeur source],0)),"Absent du référentiel")</f>
        <v>Validé pour démo</v>
      </c>
      <c r="K33" s="20" t="str">
        <f>IF(COUNTIFS(T_Source[Code installation],$C33,T_Source[Type opération source],$I33,T_Source[Périodicité],$G33,T_Source[Année],AnneeSuivi)=0,"Absente de la source : actualiser",IF(COUNTIFS(T_Suivi2027[Code installation],$C33,T_Suivi2027[Code type source],$I33,T_Suivi2027[Périodicité],$G33)&gt;1,"Doublon potentiel : à confirmer",""))</f>
        <v/>
      </c>
    </row>
    <row r="34" ht="18" customHeight="1">
      <c r="A34" s="20" t="inlineStr">
        <is>
          <t>PERIM_B</t>
        </is>
      </c>
      <c r="B34" s="20" t="inlineStr">
        <is>
          <t>GRP_B1</t>
        </is>
      </c>
      <c r="C34" s="20" t="inlineStr">
        <is>
          <t>INST-018</t>
        </is>
      </c>
      <c r="D34" s="20" t="inlineStr">
        <is>
          <t>Installation R1</t>
        </is>
      </c>
      <c r="E34" s="21" t="str">
        <f>IFERROR(INDEX(T_Referentiel[Libellé affiché],MATCH($I34,T_Referentiel[Valeur source],0)),"À confirmer")</f>
        <v>Révision</v>
      </c>
      <c r="F34" s="20" t="str">
        <f>IFERROR(INDEX(T_Referentiel[Famille],MATCH($I34,T_Referentiel[Valeur source],0)),"À confirmer")</f>
        <v>Révision</v>
      </c>
      <c r="G34" s="22" t="inlineStr">
        <is>
          <t>6 ans</t>
        </is>
      </c>
      <c r="H34" s="20" t="str">
        <f>IFERROR(INDEX(T_Referentiel[Référence technique fictive],MATCH($I34,T_Referentiel[Valeur source],0)),"À confirmer")</f>
        <v>REF-004</v>
      </c>
      <c r="I34" s="20" t="inlineStr">
        <is>
          <t>TYPE_D</t>
        </is>
      </c>
      <c r="J34" s="20" t="str">
        <f>IFERROR(INDEX(T_Referentiel[Statut],MATCH($I34,T_Referentiel[Valeur source],0)),"Absent du référentiel")</f>
        <v>Validé pour démo</v>
      </c>
      <c r="K34" s="20" t="str">
        <f>IF(COUNTIFS(T_Source[Code installation],$C34,T_Source[Type opération source],$I34,T_Source[Périodicité],$G34,T_Source[Année],AnneeSuivi)=0,"Absente de la source : actualiser",IF(COUNTIFS(T_Suivi2027[Code installation],$C34,T_Suivi2027[Code type source],$I34,T_Suivi2027[Périodicité],$G34)&gt;1,"Doublon potentiel : à confirmer",""))</f>
        <v/>
      </c>
    </row>
    <row r="35" ht="18" customHeight="1">
      <c r="A35" s="20" t="inlineStr">
        <is>
          <t>PERIM_B</t>
        </is>
      </c>
      <c r="B35" s="20" t="inlineStr">
        <is>
          <t>GRP_B1</t>
        </is>
      </c>
      <c r="C35" s="20" t="inlineStr">
        <is>
          <t>INST-020</t>
        </is>
      </c>
      <c r="D35" s="20" t="inlineStr">
        <is>
          <t>Installation T1</t>
        </is>
      </c>
      <c r="E35" s="21" t="str">
        <f>IFERROR(INDEX(T_Referentiel[Libellé affiché],MATCH($I35,T_Referentiel[Valeur source],0)),"À confirmer")</f>
        <v>Essai de conformité</v>
      </c>
      <c r="F35" s="20" t="str">
        <f>IFERROR(INDEX(T_Referentiel[Famille],MATCH($I35,T_Referentiel[Valeur source],0)),"À confirmer")</f>
        <v>Contrôle</v>
      </c>
      <c r="G35" s="22" t="inlineStr">
        <is>
          <t>2 ans</t>
        </is>
      </c>
      <c r="H35" s="20" t="str">
        <f>IFERROR(INDEX(T_Referentiel[Référence technique fictive],MATCH($I35,T_Referentiel[Valeur source],0)),"À confirmer")</f>
        <v>REF-002</v>
      </c>
      <c r="I35" s="20" t="inlineStr">
        <is>
          <t>TYPE_B</t>
        </is>
      </c>
      <c r="J35" s="20" t="str">
        <f>IFERROR(INDEX(T_Referentiel[Statut],MATCH($I35,T_Referentiel[Valeur source],0)),"Absent du référentiel")</f>
        <v>Validé pour démo</v>
      </c>
      <c r="K35" s="20" t="str">
        <f>IF(COUNTIFS(T_Source[Code installation],$C35,T_Source[Type opération source],$I35,T_Source[Périodicité],$G35,T_Source[Année],AnneeSuivi)=0,"Absente de la source : actualiser",IF(COUNTIFS(T_Suivi2027[Code installation],$C35,T_Suivi2027[Code type source],$I35,T_Suivi2027[Périodicité],$G35)&gt;1,"Doublon potentiel : à confirmer",""))</f>
        <v/>
      </c>
    </row>
    <row r="36" ht="18" customHeight="1">
      <c r="A36" s="20" t="inlineStr">
        <is>
          <t>PERIM_B</t>
        </is>
      </c>
      <c r="B36" s="20" t="inlineStr">
        <is>
          <t>GRP_B1</t>
        </is>
      </c>
      <c r="C36" s="20" t="inlineStr">
        <is>
          <t>INST-021</t>
        </is>
      </c>
      <c r="D36" s="20" t="inlineStr">
        <is>
          <t>Installation U1</t>
        </is>
      </c>
      <c r="E36" s="21" t="str">
        <f>IFERROR(INDEX(T_Referentiel[Libellé affiché],MATCH($I36,T_Referentiel[Valeur source],0)),"À confirmer")</f>
        <v>Contrôle annuel</v>
      </c>
      <c r="F36" s="20" t="str">
        <f>IFERROR(INDEX(T_Referentiel[Famille],MATCH($I36,T_Referentiel[Valeur source],0)),"À confirmer")</f>
        <v>Contrôle</v>
      </c>
      <c r="G36" s="22" t="inlineStr">
        <is>
          <t>1 an</t>
        </is>
      </c>
      <c r="H36" s="20" t="str">
        <f>IFERROR(INDEX(T_Referentiel[Référence technique fictive],MATCH($I36,T_Referentiel[Valeur source],0)),"À confirmer")</f>
        <v>REF-001</v>
      </c>
      <c r="I36" s="20" t="inlineStr">
        <is>
          <t>TYPE_A</t>
        </is>
      </c>
      <c r="J36" s="20" t="str">
        <f>IFERROR(INDEX(T_Referentiel[Statut],MATCH($I36,T_Referentiel[Valeur source],0)),"Absent du référentiel")</f>
        <v>Validé pour démo</v>
      </c>
      <c r="K36" s="20" t="str">
        <f>IF(COUNTIFS(T_Source[Code installation],$C36,T_Source[Type opération source],$I36,T_Source[Périodicité],$G36,T_Source[Année],AnneeSuivi)=0,"Absente de la source : actualiser",IF(COUNTIFS(T_Suivi2027[Code installation],$C36,T_Suivi2027[Code type source],$I36,T_Suivi2027[Périodicité],$G36)&gt;1,"Doublon potentiel : à confirmer",""))</f>
        <v>Doublon potentiel : à confirmer</v>
      </c>
    </row>
    <row r="37" ht="18" customHeight="1">
      <c r="A37" s="20" t="inlineStr">
        <is>
          <t>PERIM_B</t>
        </is>
      </c>
      <c r="B37" s="20" t="inlineStr">
        <is>
          <t>GRP_B1</t>
        </is>
      </c>
      <c r="C37" s="20" t="inlineStr">
        <is>
          <t>INST-021</t>
        </is>
      </c>
      <c r="D37" s="20" t="inlineStr">
        <is>
          <t>Installation U1</t>
        </is>
      </c>
      <c r="E37" s="21" t="str">
        <f>IFERROR(INDEX(T_Referentiel[Libellé affiché],MATCH($I37,T_Referentiel[Valeur source],0)),"À confirmer")</f>
        <v>Contrôle annuel</v>
      </c>
      <c r="F37" s="20" t="str">
        <f>IFERROR(INDEX(T_Referentiel[Famille],MATCH($I37,T_Referentiel[Valeur source],0)),"À confirmer")</f>
        <v>Contrôle</v>
      </c>
      <c r="G37" s="22" t="inlineStr">
        <is>
          <t>1 an</t>
        </is>
      </c>
      <c r="H37" s="20" t="str">
        <f>IFERROR(INDEX(T_Referentiel[Référence technique fictive],MATCH($I37,T_Referentiel[Valeur source],0)),"À confirmer")</f>
        <v>REF-001</v>
      </c>
      <c r="I37" s="20" t="inlineStr">
        <is>
          <t>TYPE_A</t>
        </is>
      </c>
      <c r="J37" s="20" t="str">
        <f>IFERROR(INDEX(T_Referentiel[Statut],MATCH($I37,T_Referentiel[Valeur source],0)),"Absent du référentiel")</f>
        <v>Validé pour démo</v>
      </c>
      <c r="K37" s="20" t="str">
        <f>IF(COUNTIFS(T_Source[Code installation],$C37,T_Source[Type opération source],$I37,T_Source[Périodicité],$G37,T_Source[Année],AnneeSuivi)=0,"Absente de la source : actualiser",IF(COUNTIFS(T_Suivi2027[Code installation],$C37,T_Suivi2027[Code type source],$I37,T_Suivi2027[Périodicité],$G37)&gt;1,"Doublon potentiel : à confirmer",""))</f>
        <v>Doublon potentiel : à confirmer</v>
      </c>
    </row>
    <row r="38" ht="18" customHeight="1">
      <c r="A38" s="20" t="inlineStr">
        <is>
          <t>PERIM_B</t>
        </is>
      </c>
      <c r="B38" s="20" t="inlineStr">
        <is>
          <t>GRP_B1</t>
        </is>
      </c>
      <c r="C38" s="20" t="inlineStr">
        <is>
          <t>INST-021</t>
        </is>
      </c>
      <c r="D38" s="20" t="inlineStr">
        <is>
          <t>Installation U1</t>
        </is>
      </c>
      <c r="E38" s="21" t="str">
        <f>IFERROR(INDEX(T_Referentiel[Libellé affiché],MATCH($I38,T_Referentiel[Valeur source],0)),"À confirmer")</f>
        <v>Essai de conformité</v>
      </c>
      <c r="F38" s="20" t="str">
        <f>IFERROR(INDEX(T_Referentiel[Famille],MATCH($I38,T_Referentiel[Valeur source],0)),"À confirmer")</f>
        <v>Contrôle</v>
      </c>
      <c r="G38" s="22" t="inlineStr">
        <is>
          <t>2 ans</t>
        </is>
      </c>
      <c r="H38" s="20" t="str">
        <f>IFERROR(INDEX(T_Referentiel[Référence technique fictive],MATCH($I38,T_Referentiel[Valeur source],0)),"À confirmer")</f>
        <v>REF-002</v>
      </c>
      <c r="I38" s="20" t="inlineStr">
        <is>
          <t>TYPE_B</t>
        </is>
      </c>
      <c r="J38" s="20" t="str">
        <f>IFERROR(INDEX(T_Referentiel[Statut],MATCH($I38,T_Referentiel[Valeur source],0)),"Absent du référentiel")</f>
        <v>Validé pour démo</v>
      </c>
      <c r="K38" s="20" t="str">
        <f>IF(COUNTIFS(T_Source[Code installation],$C38,T_Source[Type opération source],$I38,T_Source[Périodicité],$G38,T_Source[Année],AnneeSuivi)=0,"Absente de la source : actualiser",IF(COUNTIFS(T_Suivi2027[Code installation],$C38,T_Suivi2027[Code type source],$I38,T_Suivi2027[Périodicité],$G38)&gt;1,"Doublon potentiel : à confirmer",""))</f>
        <v/>
      </c>
    </row>
    <row r="39" ht="18" customHeight="1">
      <c r="A39" s="20" t="inlineStr">
        <is>
          <t>PERIM_B</t>
        </is>
      </c>
      <c r="B39" s="20" t="inlineStr">
        <is>
          <t>GRP_B1</t>
        </is>
      </c>
      <c r="C39" s="20" t="inlineStr">
        <is>
          <t>INST-021</t>
        </is>
      </c>
      <c r="D39" s="20" t="inlineStr">
        <is>
          <t>Installation U1</t>
        </is>
      </c>
      <c r="E39" s="21" t="str">
        <f>IFERROR(INDEX(T_Referentiel[Libellé affiché],MATCH($I39,T_Referentiel[Valeur source],0)),"À confirmer")</f>
        <v>Contrôle filtre</v>
      </c>
      <c r="F39" s="20" t="str">
        <f>IFERROR(INDEX(T_Referentiel[Famille],MATCH($I39,T_Referentiel[Valeur source],0)),"À confirmer")</f>
        <v>Contrôle</v>
      </c>
      <c r="G39" s="22" t="inlineStr">
        <is>
          <t>3 ans</t>
        </is>
      </c>
      <c r="H39" s="20" t="str">
        <f>IFERROR(INDEX(T_Referentiel[Référence technique fictive],MATCH($I39,T_Referentiel[Valeur source],0)),"À confirmer")</f>
        <v>REF-003</v>
      </c>
      <c r="I39" s="20" t="inlineStr">
        <is>
          <t>TYPE_C</t>
        </is>
      </c>
      <c r="J39" s="20" t="str">
        <f>IFERROR(INDEX(T_Referentiel[Statut],MATCH($I39,T_Referentiel[Valeur source],0)),"Absent du référentiel")</f>
        <v>Validé pour démo</v>
      </c>
      <c r="K39" s="20" t="str">
        <f>IF(COUNTIFS(T_Source[Code installation],$C39,T_Source[Type opération source],$I39,T_Source[Périodicité],$G39,T_Source[Année],AnneeSuivi)=0,"Absente de la source : actualiser",IF(COUNTIFS(T_Suivi2027[Code installation],$C39,T_Suivi2027[Code type source],$I39,T_Suivi2027[Périodicité],$G39)&gt;1,"Doublon potentiel : à confirmer",""))</f>
        <v/>
      </c>
    </row>
    <row r="40" ht="18" customHeight="1">
      <c r="A40" s="20" t="inlineStr">
        <is>
          <t>PERIM_B</t>
        </is>
      </c>
      <c r="B40" s="20" t="inlineStr">
        <is>
          <t>GRP_B1</t>
        </is>
      </c>
      <c r="C40" s="20" t="inlineStr">
        <is>
          <t>INST-022</t>
        </is>
      </c>
      <c r="D40" s="20" t="inlineStr">
        <is>
          <t>Installation V1</t>
        </is>
      </c>
      <c r="E40" s="21" t="str">
        <f>IFERROR(INDEX(T_Referentiel[Libellé affiché],MATCH($I40,T_Referentiel[Valeur source],0)),"À confirmer")</f>
        <v>Contrôle annuel</v>
      </c>
      <c r="F40" s="20" t="str">
        <f>IFERROR(INDEX(T_Referentiel[Famille],MATCH($I40,T_Referentiel[Valeur source],0)),"À confirmer")</f>
        <v>Contrôle</v>
      </c>
      <c r="G40" s="22" t="inlineStr">
        <is>
          <t>1 an</t>
        </is>
      </c>
      <c r="H40" s="20" t="str">
        <f>IFERROR(INDEX(T_Referentiel[Référence technique fictive],MATCH($I40,T_Referentiel[Valeur source],0)),"À confirmer")</f>
        <v>REF-001</v>
      </c>
      <c r="I40" s="20" t="inlineStr">
        <is>
          <t>TYPE_A</t>
        </is>
      </c>
      <c r="J40" s="20" t="str">
        <f>IFERROR(INDEX(T_Referentiel[Statut],MATCH($I40,T_Referentiel[Valeur source],0)),"Absent du référentiel")</f>
        <v>Validé pour démo</v>
      </c>
      <c r="K40" s="20" t="str">
        <f>IF(COUNTIFS(T_Source[Code installation],$C40,T_Source[Type opération source],$I40,T_Source[Périodicité],$G40,T_Source[Année],AnneeSuivi)=0,"Absente de la source : actualiser",IF(COUNTIFS(T_Suivi2027[Code installation],$C40,T_Suivi2027[Code type source],$I40,T_Suivi2027[Périodicité],$G40)&gt;1,"Doublon potentiel : à confirmer",""))</f>
        <v/>
      </c>
    </row>
    <row r="41" ht="18" customHeight="1">
      <c r="A41" s="20" t="inlineStr">
        <is>
          <t>PERIM_B</t>
        </is>
      </c>
      <c r="B41" s="20" t="inlineStr">
        <is>
          <t>GRP_B1</t>
        </is>
      </c>
      <c r="C41" s="20" t="inlineStr">
        <is>
          <t>INST-024</t>
        </is>
      </c>
      <c r="D41" s="20" t="inlineStr">
        <is>
          <t>Installation X1</t>
        </is>
      </c>
      <c r="E41" s="21" t="str">
        <f>IFERROR(INDEX(T_Referentiel[Libellé affiché],MATCH($I41,T_Referentiel[Valeur source],0)),"À confirmer")</f>
        <v>Essai de conformité</v>
      </c>
      <c r="F41" s="20" t="str">
        <f>IFERROR(INDEX(T_Referentiel[Famille],MATCH($I41,T_Referentiel[Valeur source],0)),"À confirmer")</f>
        <v>Contrôle</v>
      </c>
      <c r="G41" s="22" t="inlineStr">
        <is>
          <t>2 ans</t>
        </is>
      </c>
      <c r="H41" s="20" t="str">
        <f>IFERROR(INDEX(T_Referentiel[Référence technique fictive],MATCH($I41,T_Referentiel[Valeur source],0)),"À confirmer")</f>
        <v>REF-002</v>
      </c>
      <c r="I41" s="20" t="inlineStr">
        <is>
          <t>TYPE_B</t>
        </is>
      </c>
      <c r="J41" s="20" t="str">
        <f>IFERROR(INDEX(T_Referentiel[Statut],MATCH($I41,T_Referentiel[Valeur source],0)),"Absent du référentiel")</f>
        <v>Validé pour démo</v>
      </c>
      <c r="K41" s="20" t="str">
        <f>IF(COUNTIFS(T_Source[Code installation],$C41,T_Source[Type opération source],$I41,T_Source[Périodicité],$G41,T_Source[Année],AnneeSuivi)=0,"Absente de la source : actualiser",IF(COUNTIFS(T_Suivi2027[Code installation],$C41,T_Suivi2027[Code type source],$I41,T_Suivi2027[Périodicité],$G41)&gt;1,"Doublon potentiel : à confirmer",""))</f>
        <v/>
      </c>
    </row>
    <row r="42" ht="18" customHeight="1">
      <c r="A42" s="20" t="inlineStr">
        <is>
          <t>PERIM_B</t>
        </is>
      </c>
      <c r="B42" s="20" t="inlineStr">
        <is>
          <t>GRP_B2</t>
        </is>
      </c>
      <c r="C42" s="20" t="inlineStr">
        <is>
          <t>INST-025</t>
        </is>
      </c>
      <c r="D42" s="20" t="inlineStr">
        <is>
          <t>Installation Y1</t>
        </is>
      </c>
      <c r="E42" s="21" t="str">
        <f>IFERROR(INDEX(T_Referentiel[Libellé affiché],MATCH($I42,T_Referentiel[Valeur source],0)),"À confirmer")</f>
        <v>Essai de conformité</v>
      </c>
      <c r="F42" s="20" t="str">
        <f>IFERROR(INDEX(T_Referentiel[Famille],MATCH($I42,T_Referentiel[Valeur source],0)),"À confirmer")</f>
        <v>Contrôle</v>
      </c>
      <c r="G42" s="22" t="inlineStr">
        <is>
          <t>2 ans</t>
        </is>
      </c>
      <c r="H42" s="20" t="str">
        <f>IFERROR(INDEX(T_Referentiel[Référence technique fictive],MATCH($I42,T_Referentiel[Valeur source],0)),"À confirmer")</f>
        <v>REF-002</v>
      </c>
      <c r="I42" s="20" t="inlineStr">
        <is>
          <t>TYPE_B</t>
        </is>
      </c>
      <c r="J42" s="20" t="str">
        <f>IFERROR(INDEX(T_Referentiel[Statut],MATCH($I42,T_Referentiel[Valeur source],0)),"Absent du référentiel")</f>
        <v>Validé pour démo</v>
      </c>
      <c r="K42" s="20" t="str">
        <f>IF(COUNTIFS(T_Source[Code installation],$C42,T_Source[Type opération source],$I42,T_Source[Périodicité],$G42,T_Source[Année],AnneeSuivi)=0,"Absente de la source : actualiser",IF(COUNTIFS(T_Suivi2027[Code installation],$C42,T_Suivi2027[Code type source],$I42,T_Suivi2027[Périodicité],$G42)&gt;1,"Doublon potentiel : à confirmer",""))</f>
        <v/>
      </c>
    </row>
    <row r="43" ht="18" customHeight="1">
      <c r="A43" s="20" t="inlineStr">
        <is>
          <t>PERIM_B</t>
        </is>
      </c>
      <c r="B43" s="20" t="inlineStr">
        <is>
          <t>GRP_B2</t>
        </is>
      </c>
      <c r="C43" s="20" t="inlineStr">
        <is>
          <t>INST-025</t>
        </is>
      </c>
      <c r="D43" s="20" t="inlineStr">
        <is>
          <t>Installation Y1</t>
        </is>
      </c>
      <c r="E43" s="21" t="str">
        <f>IFERROR(INDEX(T_Referentiel[Libellé affiché],MATCH($I43,T_Referentiel[Valeur source],0)),"À confirmer")</f>
        <v>Révision</v>
      </c>
      <c r="F43" s="20" t="str">
        <f>IFERROR(INDEX(T_Referentiel[Famille],MATCH($I43,T_Referentiel[Valeur source],0)),"À confirmer")</f>
        <v>Révision</v>
      </c>
      <c r="G43" s="22" t="inlineStr">
        <is>
          <t>6 ans</t>
        </is>
      </c>
      <c r="H43" s="20" t="str">
        <f>IFERROR(INDEX(T_Referentiel[Référence technique fictive],MATCH($I43,T_Referentiel[Valeur source],0)),"À confirmer")</f>
        <v>REF-004</v>
      </c>
      <c r="I43" s="20" t="inlineStr">
        <is>
          <t>TYPE_D</t>
        </is>
      </c>
      <c r="J43" s="20" t="str">
        <f>IFERROR(INDEX(T_Referentiel[Statut],MATCH($I43,T_Referentiel[Valeur source],0)),"Absent du référentiel")</f>
        <v>Validé pour démo</v>
      </c>
      <c r="K43" s="20" t="str">
        <f>IF(COUNTIFS(T_Source[Code installation],$C43,T_Source[Type opération source],$I43,T_Source[Périodicité],$G43,T_Source[Année],AnneeSuivi)=0,"Absente de la source : actualiser",IF(COUNTIFS(T_Suivi2027[Code installation],$C43,T_Suivi2027[Code type source],$I43,T_Suivi2027[Périodicité],$G43)&gt;1,"Doublon potentiel : à confirmer",""))</f>
        <v/>
      </c>
    </row>
    <row r="44" ht="18" customHeight="1">
      <c r="A44" s="20" t="inlineStr">
        <is>
          <t>PERIM_B</t>
        </is>
      </c>
      <c r="B44" s="20" t="inlineStr">
        <is>
          <t>GRP_B2</t>
        </is>
      </c>
      <c r="C44" s="20" t="inlineStr">
        <is>
          <t>INST-025</t>
        </is>
      </c>
      <c r="D44" s="20" t="inlineStr">
        <is>
          <t>Installation Y1</t>
        </is>
      </c>
      <c r="E44" s="21" t="str">
        <f>IFERROR(INDEX(T_Referentiel[Libellé affiché],MATCH($I44,T_Referentiel[Valeur source],0)),"À confirmer")</f>
        <v>Opération spécifique</v>
      </c>
      <c r="F44" s="20" t="str">
        <f>IFERROR(INDEX(T_Referentiel[Famille],MATCH($I44,T_Referentiel[Valeur source],0)),"À confirmer")</f>
        <v>Autre</v>
      </c>
      <c r="G44" s="22" t="inlineStr">
        <is>
          <t>2 ans</t>
        </is>
      </c>
      <c r="H44" s="20" t="str">
        <f>IFERROR(INDEX(T_Referentiel[Référence technique fictive],MATCH($I44,T_Referentiel[Valeur source],0)),"À confirmer")</f>
        <v>À confirmer</v>
      </c>
      <c r="I44" s="20" t="inlineStr">
        <is>
          <t>TYPE_E</t>
        </is>
      </c>
      <c r="J44" s="20" t="str">
        <f>IFERROR(INDEX(T_Referentiel[Statut],MATCH($I44,T_Referentiel[Valeur source],0)),"Absent du référentiel")</f>
        <v>À confirmer</v>
      </c>
      <c r="K44" s="20" t="str">
        <f>IF(COUNTIFS(T_Source[Code installation],$C44,T_Source[Type opération source],$I44,T_Source[Périodicité],$G44,T_Source[Année],AnneeSuivi)=0,"Absente de la source : actualiser",IF(COUNTIFS(T_Suivi2027[Code installation],$C44,T_Suivi2027[Code type source],$I44,T_Suivi2027[Périodicité],$G44)&gt;1,"Doublon potentiel : à confirmer",""))</f>
        <v/>
      </c>
    </row>
    <row r="45" ht="18" customHeight="1">
      <c r="A45" s="20" t="inlineStr">
        <is>
          <t>PERIM_B</t>
        </is>
      </c>
      <c r="B45" s="20" t="inlineStr">
        <is>
          <t>GRP_B2</t>
        </is>
      </c>
      <c r="C45" s="20" t="inlineStr">
        <is>
          <t>INST-029</t>
        </is>
      </c>
      <c r="D45" s="20" t="inlineStr">
        <is>
          <t>Installation C2</t>
        </is>
      </c>
      <c r="E45" s="21" t="str">
        <f>IFERROR(INDEX(T_Referentiel[Libellé affiché],MATCH($I45,T_Referentiel[Valeur source],0)),"À confirmer")</f>
        <v>Essai de conformité</v>
      </c>
      <c r="F45" s="20" t="str">
        <f>IFERROR(INDEX(T_Referentiel[Famille],MATCH($I45,T_Referentiel[Valeur source],0)),"À confirmer")</f>
        <v>Contrôle</v>
      </c>
      <c r="G45" s="22" t="inlineStr">
        <is>
          <t>2 ans</t>
        </is>
      </c>
      <c r="H45" s="20" t="str">
        <f>IFERROR(INDEX(T_Referentiel[Référence technique fictive],MATCH($I45,T_Referentiel[Valeur source],0)),"À confirmer")</f>
        <v>REF-002</v>
      </c>
      <c r="I45" s="20" t="inlineStr">
        <is>
          <t>TYPE_B</t>
        </is>
      </c>
      <c r="J45" s="20" t="str">
        <f>IFERROR(INDEX(T_Referentiel[Statut],MATCH($I45,T_Referentiel[Valeur source],0)),"Absent du référentiel")</f>
        <v>Validé pour démo</v>
      </c>
      <c r="K45" s="20" t="str">
        <f>IF(COUNTIFS(T_Source[Code installation],$C45,T_Source[Type opération source],$I45,T_Source[Périodicité],$G45,T_Source[Année],AnneeSuivi)=0,"Absente de la source : actualiser",IF(COUNTIFS(T_Suivi2027[Code installation],$C45,T_Suivi2027[Code type source],$I45,T_Suivi2027[Périodicité],$G45)&gt;1,"Doublon potentiel : à confirmer",""))</f>
        <v/>
      </c>
    </row>
    <row r="46" ht="18" customHeight="1">
      <c r="A46" s="20" t="inlineStr">
        <is>
          <t>PERIM_B</t>
        </is>
      </c>
      <c r="B46" s="20" t="inlineStr">
        <is>
          <t>GRP_B2</t>
        </is>
      </c>
      <c r="C46" s="20" t="inlineStr">
        <is>
          <t>INST-031</t>
        </is>
      </c>
      <c r="D46" s="20" t="inlineStr">
        <is>
          <t>Installation E2</t>
        </is>
      </c>
      <c r="E46" s="21" t="str">
        <f>IFERROR(INDEX(T_Referentiel[Libellé affiché],MATCH($I46,T_Referentiel[Valeur source],0)),"À confirmer")</f>
        <v>Révision</v>
      </c>
      <c r="F46" s="20" t="str">
        <f>IFERROR(INDEX(T_Referentiel[Famille],MATCH($I46,T_Referentiel[Valeur source],0)),"À confirmer")</f>
        <v>Révision</v>
      </c>
      <c r="G46" s="22" t="inlineStr">
        <is>
          <t>6 ans</t>
        </is>
      </c>
      <c r="H46" s="20" t="str">
        <f>IFERROR(INDEX(T_Referentiel[Référence technique fictive],MATCH($I46,T_Referentiel[Valeur source],0)),"À confirmer")</f>
        <v>REF-004</v>
      </c>
      <c r="I46" s="20" t="inlineStr">
        <is>
          <t>TYPE_D</t>
        </is>
      </c>
      <c r="J46" s="20" t="str">
        <f>IFERROR(INDEX(T_Referentiel[Statut],MATCH($I46,T_Referentiel[Valeur source],0)),"Absent du référentiel")</f>
        <v>Validé pour démo</v>
      </c>
      <c r="K46" s="20" t="str">
        <f>IF(COUNTIFS(T_Source[Code installation],$C46,T_Source[Type opération source],$I46,T_Source[Périodicité],$G46,T_Source[Année],AnneeSuivi)=0,"Absente de la source : actualiser",IF(COUNTIFS(T_Suivi2027[Code installation],$C46,T_Suivi2027[Code type source],$I46,T_Suivi2027[Périodicité],$G46)&gt;1,"Doublon potentiel : à confirmer",""))</f>
        <v/>
      </c>
    </row>
    <row r="47" ht="18" customHeight="1">
      <c r="A47" s="20" t="inlineStr">
        <is>
          <t>PERIM_B</t>
        </is>
      </c>
      <c r="B47" s="20" t="inlineStr">
        <is>
          <t>GRP_B2</t>
        </is>
      </c>
      <c r="C47" s="20" t="inlineStr">
        <is>
          <t>INST-032</t>
        </is>
      </c>
      <c r="D47" s="20" t="inlineStr">
        <is>
          <t>Installation F2</t>
        </is>
      </c>
      <c r="E47" s="21" t="str">
        <f>IFERROR(INDEX(T_Referentiel[Libellé affiché],MATCH($I47,T_Referentiel[Valeur source],0)),"À confirmer")</f>
        <v>Contrôle annuel</v>
      </c>
      <c r="F47" s="20" t="str">
        <f>IFERROR(INDEX(T_Referentiel[Famille],MATCH($I47,T_Referentiel[Valeur source],0)),"À confirmer")</f>
        <v>Contrôle</v>
      </c>
      <c r="G47" s="22" t="inlineStr">
        <is>
          <t>1 an</t>
        </is>
      </c>
      <c r="H47" s="20" t="str">
        <f>IFERROR(INDEX(T_Referentiel[Référence technique fictive],MATCH($I47,T_Referentiel[Valeur source],0)),"À confirmer")</f>
        <v>REF-001</v>
      </c>
      <c r="I47" s="20" t="inlineStr">
        <is>
          <t>TYPE_A</t>
        </is>
      </c>
      <c r="J47" s="20" t="str">
        <f>IFERROR(INDEX(T_Referentiel[Statut],MATCH($I47,T_Referentiel[Valeur source],0)),"Absent du référentiel")</f>
        <v>Validé pour démo</v>
      </c>
      <c r="K47" s="20" t="str">
        <f>IF(COUNTIFS(T_Source[Code installation],$C47,T_Source[Type opération source],$I47,T_Source[Périodicité],$G47,T_Source[Année],AnneeSuivi)=0,"Absente de la source : actualiser",IF(COUNTIFS(T_Suivi2027[Code installation],$C47,T_Suivi2027[Code type source],$I47,T_Suivi2027[Périodicité],$G47)&gt;1,"Doublon potentiel : à confirmer",""))</f>
        <v/>
      </c>
    </row>
    <row r="48" ht="18" customHeight="1">
      <c r="A48" s="20" t="inlineStr">
        <is>
          <t>PERIM_C</t>
        </is>
      </c>
      <c r="B48" s="20" t="inlineStr">
        <is>
          <t>GRP_C1</t>
        </is>
      </c>
      <c r="C48" s="20" t="inlineStr">
        <is>
          <t>INST-033</t>
        </is>
      </c>
      <c r="D48" s="20" t="inlineStr">
        <is>
          <t>Installation G2</t>
        </is>
      </c>
      <c r="E48" s="21" t="str">
        <f>IFERROR(INDEX(T_Referentiel[Libellé affiché],MATCH($I48,T_Referentiel[Valeur source],0)),"À confirmer")</f>
        <v>Révision</v>
      </c>
      <c r="F48" s="20" t="str">
        <f>IFERROR(INDEX(T_Referentiel[Famille],MATCH($I48,T_Referentiel[Valeur source],0)),"À confirmer")</f>
        <v>Révision</v>
      </c>
      <c r="G48" s="22" t="inlineStr">
        <is>
          <t>6 ans</t>
        </is>
      </c>
      <c r="H48" s="20" t="str">
        <f>IFERROR(INDEX(T_Referentiel[Référence technique fictive],MATCH($I48,T_Referentiel[Valeur source],0)),"À confirmer")</f>
        <v>REF-004</v>
      </c>
      <c r="I48" s="20" t="inlineStr">
        <is>
          <t>TYPE_D</t>
        </is>
      </c>
      <c r="J48" s="20" t="str">
        <f>IFERROR(INDEX(T_Referentiel[Statut],MATCH($I48,T_Referentiel[Valeur source],0)),"Absent du référentiel")</f>
        <v>Validé pour démo</v>
      </c>
      <c r="K48" s="20" t="str">
        <f>IF(COUNTIFS(T_Source[Code installation],$C48,T_Source[Type opération source],$I48,T_Source[Périodicité],$G48,T_Source[Année],AnneeSuivi)=0,"Absente de la source : actualiser",IF(COUNTIFS(T_Suivi2027[Code installation],$C48,T_Suivi2027[Code type source],$I48,T_Suivi2027[Périodicité],$G48)&gt;1,"Doublon potentiel : à confirmer",""))</f>
        <v/>
      </c>
    </row>
    <row r="49" ht="18" customHeight="1">
      <c r="A49" s="20" t="inlineStr">
        <is>
          <t>PERIM_C</t>
        </is>
      </c>
      <c r="B49" s="20" t="inlineStr">
        <is>
          <t>GRP_C1</t>
        </is>
      </c>
      <c r="C49" s="20" t="inlineStr">
        <is>
          <t>INST-038</t>
        </is>
      </c>
      <c r="D49" s="20" t="inlineStr">
        <is>
          <t>Installation L2</t>
        </is>
      </c>
      <c r="E49" s="21" t="str">
        <f>IFERROR(INDEX(T_Referentiel[Libellé affiché],MATCH($I49,T_Referentiel[Valeur source],0)),"À confirmer")</f>
        <v>Contrôle annuel</v>
      </c>
      <c r="F49" s="20" t="str">
        <f>IFERROR(INDEX(T_Referentiel[Famille],MATCH($I49,T_Referentiel[Valeur source],0)),"À confirmer")</f>
        <v>Contrôle</v>
      </c>
      <c r="G49" s="22" t="inlineStr">
        <is>
          <t>1 an</t>
        </is>
      </c>
      <c r="H49" s="20" t="str">
        <f>IFERROR(INDEX(T_Referentiel[Référence technique fictive],MATCH($I49,T_Referentiel[Valeur source],0)),"À confirmer")</f>
        <v>REF-001</v>
      </c>
      <c r="I49" s="20" t="inlineStr">
        <is>
          <t>TYPE_A</t>
        </is>
      </c>
      <c r="J49" s="20" t="str">
        <f>IFERROR(INDEX(T_Referentiel[Statut],MATCH($I49,T_Referentiel[Valeur source],0)),"Absent du référentiel")</f>
        <v>Validé pour démo</v>
      </c>
      <c r="K49" s="20" t="str">
        <f>IF(COUNTIFS(T_Source[Code installation],$C49,T_Source[Type opération source],$I49,T_Source[Périodicité],$G49,T_Source[Année],AnneeSuivi)=0,"Absente de la source : actualiser",IF(COUNTIFS(T_Suivi2027[Code installation],$C49,T_Suivi2027[Code type source],$I49,T_Suivi2027[Périodicité],$G49)&gt;1,"Doublon potentiel : à confirmer",""))</f>
        <v/>
      </c>
    </row>
    <row r="50" ht="18" customHeight="1">
      <c r="A50" s="20" t="inlineStr">
        <is>
          <t>PERIM_C</t>
        </is>
      </c>
      <c r="B50" s="20" t="inlineStr">
        <is>
          <t>GRP_C1</t>
        </is>
      </c>
      <c r="C50" s="20" t="inlineStr">
        <is>
          <t>INST-039</t>
        </is>
      </c>
      <c r="D50" s="20" t="inlineStr">
        <is>
          <t>Installation M2</t>
        </is>
      </c>
      <c r="E50" s="21" t="str">
        <f>IFERROR(INDEX(T_Referentiel[Libellé affiché],MATCH($I50,T_Referentiel[Valeur source],0)),"À confirmer")</f>
        <v>Essai de conformité</v>
      </c>
      <c r="F50" s="20" t="str">
        <f>IFERROR(INDEX(T_Referentiel[Famille],MATCH($I50,T_Referentiel[Valeur source],0)),"À confirmer")</f>
        <v>Contrôle</v>
      </c>
      <c r="G50" s="22" t="inlineStr">
        <is>
          <t>2 ans</t>
        </is>
      </c>
      <c r="H50" s="20" t="str">
        <f>IFERROR(INDEX(T_Referentiel[Référence technique fictive],MATCH($I50,T_Referentiel[Valeur source],0)),"À confirmer")</f>
        <v>REF-002</v>
      </c>
      <c r="I50" s="20" t="inlineStr">
        <is>
          <t>TYPE_B</t>
        </is>
      </c>
      <c r="J50" s="20" t="str">
        <f>IFERROR(INDEX(T_Referentiel[Statut],MATCH($I50,T_Referentiel[Valeur source],0)),"Absent du référentiel")</f>
        <v>Validé pour démo</v>
      </c>
      <c r="K50" s="20" t="str">
        <f>IF(COUNTIFS(T_Source[Code installation],$C50,T_Source[Type opération source],$I50,T_Source[Périodicité],$G50,T_Source[Année],AnneeSuivi)=0,"Absente de la source : actualiser",IF(COUNTIFS(T_Suivi2027[Code installation],$C50,T_Suivi2027[Code type source],$I50,T_Suivi2027[Périodicité],$G50)&gt;1,"Doublon potentiel : à confirmer",""))</f>
        <v/>
      </c>
    </row>
    <row r="51" ht="18" customHeight="1">
      <c r="A51" s="20" t="inlineStr">
        <is>
          <t>PERIM_C</t>
        </is>
      </c>
      <c r="B51" s="20" t="inlineStr">
        <is>
          <t>GRP_C1</t>
        </is>
      </c>
      <c r="C51" s="20" t="inlineStr">
        <is>
          <t>INST-040</t>
        </is>
      </c>
      <c r="D51" s="20" t="inlineStr">
        <is>
          <t>Installation N2</t>
        </is>
      </c>
      <c r="E51" s="21" t="str">
        <f>IFERROR(INDEX(T_Referentiel[Libellé affiché],MATCH($I51,T_Referentiel[Valeur source],0)),"À confirmer")</f>
        <v>Contrôle annuel</v>
      </c>
      <c r="F51" s="20" t="str">
        <f>IFERROR(INDEX(T_Referentiel[Famille],MATCH($I51,T_Referentiel[Valeur source],0)),"À confirmer")</f>
        <v>Contrôle</v>
      </c>
      <c r="G51" s="22" t="inlineStr">
        <is>
          <t>1 an</t>
        </is>
      </c>
      <c r="H51" s="20" t="str">
        <f>IFERROR(INDEX(T_Referentiel[Référence technique fictive],MATCH($I51,T_Referentiel[Valeur source],0)),"À confirmer")</f>
        <v>REF-001</v>
      </c>
      <c r="I51" s="20" t="inlineStr">
        <is>
          <t>TYPE_A</t>
        </is>
      </c>
      <c r="J51" s="20" t="str">
        <f>IFERROR(INDEX(T_Referentiel[Statut],MATCH($I51,T_Referentiel[Valeur source],0)),"Absent du référentiel")</f>
        <v>Validé pour démo</v>
      </c>
      <c r="K51" s="20" t="str">
        <f>IF(COUNTIFS(T_Source[Code installation],$C51,T_Source[Type opération source],$I51,T_Source[Périodicité],$G51,T_Source[Année],AnneeSuivi)=0,"Absente de la source : actualiser",IF(COUNTIFS(T_Suivi2027[Code installation],$C51,T_Suivi2027[Code type source],$I51,T_Suivi2027[Périodicité],$G51)&gt;1,"Doublon potentiel : à confirmer",""))</f>
        <v/>
      </c>
    </row>
    <row r="52" ht="18" customHeight="1">
      <c r="A52" s="20" t="inlineStr">
        <is>
          <t>PERIM_C</t>
        </is>
      </c>
      <c r="B52" s="20" t="inlineStr">
        <is>
          <t>GRP_C1</t>
        </is>
      </c>
      <c r="C52" s="20" t="inlineStr">
        <is>
          <t>INST-040</t>
        </is>
      </c>
      <c r="D52" s="20" t="inlineStr">
        <is>
          <t>Installation N2</t>
        </is>
      </c>
      <c r="E52" s="21" t="str">
        <f>IFERROR(INDEX(T_Referentiel[Libellé affiché],MATCH($I52,T_Referentiel[Valeur source],0)),"À confirmer")</f>
        <v>Contrôle filtre</v>
      </c>
      <c r="F52" s="20" t="str">
        <f>IFERROR(INDEX(T_Referentiel[Famille],MATCH($I52,T_Referentiel[Valeur source],0)),"À confirmer")</f>
        <v>Contrôle</v>
      </c>
      <c r="G52" s="22" t="inlineStr">
        <is>
          <t>3 ans</t>
        </is>
      </c>
      <c r="H52" s="20" t="str">
        <f>IFERROR(INDEX(T_Referentiel[Référence technique fictive],MATCH($I52,T_Referentiel[Valeur source],0)),"À confirmer")</f>
        <v>REF-003</v>
      </c>
      <c r="I52" s="20" t="inlineStr">
        <is>
          <t>TYPE_C</t>
        </is>
      </c>
      <c r="J52" s="20" t="str">
        <f>IFERROR(INDEX(T_Referentiel[Statut],MATCH($I52,T_Referentiel[Valeur source],0)),"Absent du référentiel")</f>
        <v>Validé pour démo</v>
      </c>
      <c r="K52" s="20" t="str">
        <f>IF(COUNTIFS(T_Source[Code installation],$C52,T_Source[Type opération source],$I52,T_Source[Périodicité],$G52,T_Source[Année],AnneeSuivi)=0,"Absente de la source : actualiser",IF(COUNTIFS(T_Suivi2027[Code installation],$C52,T_Suivi2027[Code type source],$I52,T_Suivi2027[Périodicité],$G52)&gt;1,"Doublon potentiel : à confirmer",""))</f>
        <v/>
      </c>
    </row>
  </sheetData>
  <mergeCells count="3">
    <mergeCell ref="A4:B4"/>
    <mergeCell ref="E6:I6"/>
    <mergeCell ref="A5:B5"/>
  </mergeCells>
  <conditionalFormatting sqref="E8:J52">
    <cfRule type="expression" priority="1" dxfId="0" stopIfTrue="1">
      <formula>OR(E8="À confirmer",E8="Absent du référentiel")</formula>
    </cfRule>
  </conditionalFormatting>
  <conditionalFormatting sqref="K8:K52">
    <cfRule type="expression" priority="2" dxfId="0" stopIfTrue="1">
      <formula>LEN($K8)&gt;0</formula>
    </cfRule>
  </conditionalFormatting>
  <conditionalFormatting sqref="A8:K52">
    <cfRule type="expression" priority="3" dxfId="1">
      <formula>MOD(SUBTOTAL(103,$C$8:$C8),2)=0</formula>
    </cfRule>
  </conditionalFormatting>
  <conditionalFormatting sqref="E6">
    <cfRule type="expression" priority="4" dxfId="2">
      <formula>ISNUMBER(SEARCH("ACTUALISER",$E$6))</formula>
    </cfRule>
  </conditionalFormatting>
  <pageMargins left="0.4" right="0.4" top="0.5" bottom="0.5" header="0.5" footer="0.5"/>
  <pageSetup orientation="landscape" paperSize="9" fitToHeight="0" fitToWidth="1"/>
  <headerFooter>
    <oddHeader/>
    <oddFooter>&amp;L&amp;8 Prototype V0.1 – données fictives – la GMAO reste la source de référence&amp;R&amp;8 &amp;A – page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00214B4D"/>
    <outlinePr summaryBelow="1" summaryRight="1"/>
    <pageSetUpPr fitToPage="1"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7" customWidth="1" min="4" max="4"/>
    <col width="18" customWidth="1" min="5" max="5"/>
    <col width="12" customWidth="1" min="6" max="6"/>
    <col width="22" customWidth="1" min="7" max="7"/>
  </cols>
  <sheetData>
    <row r="1" ht="30" customHeight="1">
      <c r="A1" s="19" t="inlineStr">
        <is>
          <t>Périmètre</t>
        </is>
      </c>
      <c r="B1" s="19" t="inlineStr">
        <is>
          <t>Groupe</t>
        </is>
      </c>
      <c r="C1" s="19" t="inlineStr">
        <is>
          <t>Année</t>
        </is>
      </c>
      <c r="D1" s="19" t="inlineStr">
        <is>
          <t>Code installation</t>
        </is>
      </c>
      <c r="E1" s="19" t="inlineStr">
        <is>
          <t>Installation</t>
        </is>
      </c>
      <c r="F1" s="19" t="inlineStr">
        <is>
          <t>Périodicité</t>
        </is>
      </c>
      <c r="G1" s="19" t="inlineStr">
        <is>
          <t>Type opération source</t>
        </is>
      </c>
    </row>
    <row r="2">
      <c r="A2" s="23" t="inlineStr">
        <is>
          <t>PERIM_A</t>
        </is>
      </c>
      <c r="B2" s="23" t="inlineStr">
        <is>
          <t>GRP_A1</t>
        </is>
      </c>
      <c r="C2" s="24" t="n">
        <v>2029</v>
      </c>
      <c r="D2" s="23" t="inlineStr">
        <is>
          <t>INST-001</t>
        </is>
      </c>
      <c r="E2" s="23" t="inlineStr">
        <is>
          <t>Installation A1</t>
        </is>
      </c>
      <c r="F2" s="23" t="inlineStr">
        <is>
          <t>6 ans</t>
        </is>
      </c>
      <c r="G2" s="23" t="inlineStr">
        <is>
          <t>TYPE_D</t>
        </is>
      </c>
    </row>
    <row r="3">
      <c r="A3" s="23" t="inlineStr">
        <is>
          <t>PERIM_A</t>
        </is>
      </c>
      <c r="B3" s="23" t="inlineStr">
        <is>
          <t>GRP_A1</t>
        </is>
      </c>
      <c r="C3" s="24" t="n">
        <v>2027</v>
      </c>
      <c r="D3" s="23" t="inlineStr">
        <is>
          <t>INST-001</t>
        </is>
      </c>
      <c r="E3" s="23" t="inlineStr">
        <is>
          <t>Installation A1</t>
        </is>
      </c>
      <c r="F3" s="23" t="inlineStr">
        <is>
          <t>3 ans</t>
        </is>
      </c>
      <c r="G3" s="23" t="inlineStr">
        <is>
          <t>TYPE_C</t>
        </is>
      </c>
    </row>
    <row r="4">
      <c r="A4" s="23" t="inlineStr">
        <is>
          <t>PERIM_A</t>
        </is>
      </c>
      <c r="B4" s="23" t="inlineStr">
        <is>
          <t>GRP_A1</t>
        </is>
      </c>
      <c r="C4" s="24" t="n">
        <v>2027</v>
      </c>
      <c r="D4" s="23" t="inlineStr">
        <is>
          <t>INST-001</t>
        </is>
      </c>
      <c r="E4" s="23" t="inlineStr">
        <is>
          <t>Installation A1</t>
        </is>
      </c>
      <c r="F4" s="23" t="inlineStr">
        <is>
          <t>1 an</t>
        </is>
      </c>
      <c r="G4" s="23" t="inlineStr">
        <is>
          <t>TYPE_A</t>
        </is>
      </c>
    </row>
    <row r="5">
      <c r="A5" s="23" t="inlineStr">
        <is>
          <t>PERIM_A</t>
        </is>
      </c>
      <c r="B5" s="23" t="inlineStr">
        <is>
          <t>GRP_A1</t>
        </is>
      </c>
      <c r="C5" s="24" t="n">
        <v>2027</v>
      </c>
      <c r="D5" s="23" t="inlineStr">
        <is>
          <t>INST-001</t>
        </is>
      </c>
      <c r="E5" s="23" t="inlineStr">
        <is>
          <t>Installation A1</t>
        </is>
      </c>
      <c r="F5" s="23" t="inlineStr">
        <is>
          <t>2 ans</t>
        </is>
      </c>
      <c r="G5" s="23" t="inlineStr">
        <is>
          <t>TYPE_E</t>
        </is>
      </c>
    </row>
    <row r="6">
      <c r="A6" s="23" t="inlineStr">
        <is>
          <t>PERIM_A</t>
        </is>
      </c>
      <c r="B6" s="23" t="inlineStr">
        <is>
          <t>GRP_A1</t>
        </is>
      </c>
      <c r="C6" s="24" t="n">
        <v>2027</v>
      </c>
      <c r="D6" s="23" t="inlineStr">
        <is>
          <t>INST-002</t>
        </is>
      </c>
      <c r="E6" s="23" t="inlineStr">
        <is>
          <t>Installation B1</t>
        </is>
      </c>
      <c r="F6" s="23" t="inlineStr">
        <is>
          <t>6 ans</t>
        </is>
      </c>
      <c r="G6" s="23" t="inlineStr">
        <is>
          <t>TYPE_D</t>
        </is>
      </c>
    </row>
    <row r="7">
      <c r="A7" s="23" t="inlineStr">
        <is>
          <t>PERIM_A</t>
        </is>
      </c>
      <c r="B7" s="23" t="inlineStr">
        <is>
          <t>GRP_A1</t>
        </is>
      </c>
      <c r="C7" s="24" t="n">
        <v>2028</v>
      </c>
      <c r="D7" s="23" t="inlineStr">
        <is>
          <t>INST-002</t>
        </is>
      </c>
      <c r="E7" s="23" t="inlineStr">
        <is>
          <t>Installation B1</t>
        </is>
      </c>
      <c r="F7" s="23" t="inlineStr">
        <is>
          <t>2 ans</t>
        </is>
      </c>
      <c r="G7" s="23" t="inlineStr">
        <is>
          <t>TYPE_B</t>
        </is>
      </c>
    </row>
    <row r="8">
      <c r="A8" s="23" t="inlineStr">
        <is>
          <t>PERIM_A</t>
        </is>
      </c>
      <c r="B8" s="23" t="inlineStr">
        <is>
          <t>GRP_A1</t>
        </is>
      </c>
      <c r="C8" s="24" t="n">
        <v>2029</v>
      </c>
      <c r="D8" s="23" t="inlineStr">
        <is>
          <t>INST-002</t>
        </is>
      </c>
      <c r="E8" s="23" t="inlineStr">
        <is>
          <t>Installation B1</t>
        </is>
      </c>
      <c r="F8" s="23" t="inlineStr">
        <is>
          <t>1 an</t>
        </is>
      </c>
      <c r="G8" s="23" t="inlineStr">
        <is>
          <t>TYPE_A</t>
        </is>
      </c>
    </row>
    <row r="9">
      <c r="A9" s="23" t="inlineStr">
        <is>
          <t>PERIM_A</t>
        </is>
      </c>
      <c r="B9" s="23" t="inlineStr">
        <is>
          <t>GRP_A1</t>
        </is>
      </c>
      <c r="C9" s="24" t="n">
        <v>2029</v>
      </c>
      <c r="D9" s="23" t="inlineStr">
        <is>
          <t>INST-003</t>
        </is>
      </c>
      <c r="E9" s="23" t="inlineStr">
        <is>
          <t>Installation C1</t>
        </is>
      </c>
      <c r="F9" s="23" t="inlineStr">
        <is>
          <t>2 ans</t>
        </is>
      </c>
      <c r="G9" s="23" t="inlineStr">
        <is>
          <t>TYPE_E</t>
        </is>
      </c>
    </row>
    <row r="10">
      <c r="A10" s="23" t="inlineStr">
        <is>
          <t>PERIM_A</t>
        </is>
      </c>
      <c r="B10" s="23" t="inlineStr">
        <is>
          <t>GRP_A1</t>
        </is>
      </c>
      <c r="C10" s="24" t="n">
        <v>2031</v>
      </c>
      <c r="D10" s="23" t="inlineStr">
        <is>
          <t>INST-003</t>
        </is>
      </c>
      <c r="E10" s="23" t="inlineStr">
        <is>
          <t>Installation C1</t>
        </is>
      </c>
      <c r="F10" s="23" t="inlineStr">
        <is>
          <t>2 ans</t>
        </is>
      </c>
      <c r="G10" s="23" t="inlineStr">
        <is>
          <t>TYPE_E</t>
        </is>
      </c>
    </row>
    <row r="11">
      <c r="A11" s="23" t="inlineStr">
        <is>
          <t>PERIM_A</t>
        </is>
      </c>
      <c r="B11" s="23" t="inlineStr">
        <is>
          <t>GRP_A1</t>
        </is>
      </c>
      <c r="C11" s="24" t="n">
        <v>2029</v>
      </c>
      <c r="D11" s="23" t="inlineStr">
        <is>
          <t>INST-003</t>
        </is>
      </c>
      <c r="E11" s="23" t="inlineStr">
        <is>
          <t>Installation C1</t>
        </is>
      </c>
      <c r="F11" s="23" t="inlineStr">
        <is>
          <t>6 ans</t>
        </is>
      </c>
      <c r="G11" s="23" t="inlineStr">
        <is>
          <t>TYPE_D</t>
        </is>
      </c>
    </row>
    <row r="12">
      <c r="A12" s="23" t="inlineStr">
        <is>
          <t>PERIM_A</t>
        </is>
      </c>
      <c r="B12" s="23" t="inlineStr">
        <is>
          <t>GRP_A1</t>
        </is>
      </c>
      <c r="C12" s="24" t="n">
        <v>2032</v>
      </c>
      <c r="D12" s="23" t="inlineStr">
        <is>
          <t>INST-003</t>
        </is>
      </c>
      <c r="E12" s="23" t="inlineStr">
        <is>
          <t>Installation C1</t>
        </is>
      </c>
      <c r="F12" s="23" t="inlineStr">
        <is>
          <t>6 ans</t>
        </is>
      </c>
      <c r="G12" s="23" t="inlineStr">
        <is>
          <t>TYPE_D</t>
        </is>
      </c>
    </row>
    <row r="13">
      <c r="A13" s="23" t="inlineStr">
        <is>
          <t>PERIM_A</t>
        </is>
      </c>
      <c r="B13" s="23" t="inlineStr">
        <is>
          <t>GRP_A1</t>
        </is>
      </c>
      <c r="C13" s="24" t="n">
        <v>2027</v>
      </c>
      <c r="D13" s="23" t="inlineStr">
        <is>
          <t>INST-004</t>
        </is>
      </c>
      <c r="E13" s="23" t="inlineStr">
        <is>
          <t>Installation D1</t>
        </is>
      </c>
      <c r="F13" s="23" t="inlineStr">
        <is>
          <t>6 ans</t>
        </is>
      </c>
      <c r="G13" s="23" t="inlineStr">
        <is>
          <t>TYPE_D</t>
        </is>
      </c>
    </row>
    <row r="14">
      <c r="A14" s="23" t="inlineStr">
        <is>
          <t>PERIM_A</t>
        </is>
      </c>
      <c r="B14" s="23" t="inlineStr">
        <is>
          <t>GRP_A1</t>
        </is>
      </c>
      <c r="C14" s="24" t="n">
        <v>2032</v>
      </c>
      <c r="D14" s="23" t="inlineStr">
        <is>
          <t>INST-004</t>
        </is>
      </c>
      <c r="E14" s="23" t="inlineStr">
        <is>
          <t>Installation D1</t>
        </is>
      </c>
      <c r="F14" s="23" t="inlineStr">
        <is>
          <t>2 ans</t>
        </is>
      </c>
      <c r="G14" s="23" t="inlineStr">
        <is>
          <t>TYPE_E</t>
        </is>
      </c>
    </row>
    <row r="15">
      <c r="A15" s="23" t="inlineStr">
        <is>
          <t>PERIM_A</t>
        </is>
      </c>
      <c r="B15" s="23" t="inlineStr">
        <is>
          <t>GRP_A1</t>
        </is>
      </c>
      <c r="C15" s="24" t="n">
        <v>2029</v>
      </c>
      <c r="D15" s="23" t="inlineStr">
        <is>
          <t>INST-005</t>
        </is>
      </c>
      <c r="E15" s="23" t="inlineStr">
        <is>
          <t>Installation E1</t>
        </is>
      </c>
      <c r="F15" s="23" t="inlineStr">
        <is>
          <t>2 ans</t>
        </is>
      </c>
      <c r="G15" s="23" t="inlineStr">
        <is>
          <t>TYPE_B</t>
        </is>
      </c>
    </row>
    <row r="16">
      <c r="A16" s="23" t="inlineStr">
        <is>
          <t>PERIM_A</t>
        </is>
      </c>
      <c r="B16" s="23" t="inlineStr">
        <is>
          <t>GRP_A1</t>
        </is>
      </c>
      <c r="C16" s="24" t="n">
        <v>2027</v>
      </c>
      <c r="D16" s="23" t="inlineStr">
        <is>
          <t>INST-005</t>
        </is>
      </c>
      <c r="E16" s="23" t="inlineStr">
        <is>
          <t>Installation E1</t>
        </is>
      </c>
      <c r="F16" s="23" t="inlineStr">
        <is>
          <t>2 ans</t>
        </is>
      </c>
      <c r="G16" s="23" t="inlineStr">
        <is>
          <t>TYPE_E</t>
        </is>
      </c>
    </row>
    <row r="17">
      <c r="A17" s="23" t="inlineStr">
        <is>
          <t>PERIM_A</t>
        </is>
      </c>
      <c r="B17" s="23" t="inlineStr">
        <is>
          <t>GRP_A1</t>
        </is>
      </c>
      <c r="C17" s="24" t="n">
        <v>2030</v>
      </c>
      <c r="D17" s="23" t="inlineStr">
        <is>
          <t>INST-005</t>
        </is>
      </c>
      <c r="E17" s="23" t="inlineStr">
        <is>
          <t>Installation E1</t>
        </is>
      </c>
      <c r="F17" s="23" t="inlineStr">
        <is>
          <t>6 ans</t>
        </is>
      </c>
      <c r="G17" s="23" t="inlineStr">
        <is>
          <t>TYPE_D</t>
        </is>
      </c>
    </row>
    <row r="18">
      <c r="A18" s="23" t="inlineStr">
        <is>
          <t>PERIM_A</t>
        </is>
      </c>
      <c r="B18" s="23" t="inlineStr">
        <is>
          <t>GRP_A1</t>
        </is>
      </c>
      <c r="C18" s="24" t="n">
        <v>2030</v>
      </c>
      <c r="D18" s="23" t="inlineStr">
        <is>
          <t>INST-005</t>
        </is>
      </c>
      <c r="E18" s="23" t="inlineStr">
        <is>
          <t>Installation E1</t>
        </is>
      </c>
      <c r="F18" s="23" t="inlineStr">
        <is>
          <t>1 an</t>
        </is>
      </c>
      <c r="G18" s="23" t="inlineStr">
        <is>
          <t>TYPE_A</t>
        </is>
      </c>
    </row>
    <row r="19">
      <c r="A19" s="23" t="inlineStr">
        <is>
          <t>PERIM_A</t>
        </is>
      </c>
      <c r="B19" s="23" t="inlineStr">
        <is>
          <t>GRP_A1</t>
        </is>
      </c>
      <c r="C19" s="24" t="n">
        <v>2027</v>
      </c>
      <c r="D19" s="23" t="inlineStr">
        <is>
          <t>INST-006</t>
        </is>
      </c>
      <c r="E19" s="23" t="inlineStr">
        <is>
          <t>Installation F1</t>
        </is>
      </c>
      <c r="F19" s="23" t="inlineStr">
        <is>
          <t>1 an</t>
        </is>
      </c>
      <c r="G19" s="23" t="inlineStr">
        <is>
          <t>TYPE_A</t>
        </is>
      </c>
    </row>
    <row r="20">
      <c r="A20" s="23" t="inlineStr">
        <is>
          <t>PERIM_A</t>
        </is>
      </c>
      <c r="B20" s="23" t="inlineStr">
        <is>
          <t>GRP_A1</t>
        </is>
      </c>
      <c r="C20" s="24" t="n">
        <v>2027</v>
      </c>
      <c r="D20" s="23" t="inlineStr">
        <is>
          <t>INST-006</t>
        </is>
      </c>
      <c r="E20" s="23" t="inlineStr">
        <is>
          <t>Installation F1</t>
        </is>
      </c>
      <c r="F20" s="23" t="inlineStr">
        <is>
          <t>2 ans</t>
        </is>
      </c>
      <c r="G20" s="23" t="inlineStr">
        <is>
          <t>TYPE_B</t>
        </is>
      </c>
    </row>
    <row r="21">
      <c r="A21" s="23" t="inlineStr">
        <is>
          <t>PERIM_A</t>
        </is>
      </c>
      <c r="B21" s="23" t="inlineStr">
        <is>
          <t>GRP_A1</t>
        </is>
      </c>
      <c r="C21" s="24" t="n">
        <v>2027</v>
      </c>
      <c r="D21" s="23" t="inlineStr">
        <is>
          <t>INST-006</t>
        </is>
      </c>
      <c r="E21" s="23" t="inlineStr">
        <is>
          <t>Installation F1</t>
        </is>
      </c>
      <c r="F21" s="23" t="inlineStr">
        <is>
          <t>1 an</t>
        </is>
      </c>
      <c r="G21" s="23" t="inlineStr">
        <is>
          <t>TYPE_A</t>
        </is>
      </c>
    </row>
    <row r="22">
      <c r="A22" s="23" t="inlineStr">
        <is>
          <t>PERIM_A</t>
        </is>
      </c>
      <c r="B22" s="23" t="inlineStr">
        <is>
          <t>GRP_A1</t>
        </is>
      </c>
      <c r="C22" s="24" t="n">
        <v>2028</v>
      </c>
      <c r="D22" s="23" t="inlineStr">
        <is>
          <t>INST-006</t>
        </is>
      </c>
      <c r="E22" s="23" t="inlineStr">
        <is>
          <t>Installation F1</t>
        </is>
      </c>
      <c r="F22" s="23" t="inlineStr">
        <is>
          <t>1 an</t>
        </is>
      </c>
      <c r="G22" s="23" t="inlineStr">
        <is>
          <t>TYPE_A</t>
        </is>
      </c>
    </row>
    <row r="23">
      <c r="A23" s="23" t="inlineStr">
        <is>
          <t>PERIM_A</t>
        </is>
      </c>
      <c r="B23" s="23" t="inlineStr">
        <is>
          <t>GRP_A1</t>
        </is>
      </c>
      <c r="C23" s="24" t="n">
        <v>2031</v>
      </c>
      <c r="D23" s="23" t="inlineStr">
        <is>
          <t>INST-007</t>
        </is>
      </c>
      <c r="E23" s="23" t="inlineStr">
        <is>
          <t>Installation G1</t>
        </is>
      </c>
      <c r="F23" s="23" t="inlineStr">
        <is>
          <t>3 ans</t>
        </is>
      </c>
      <c r="G23" s="23" t="inlineStr">
        <is>
          <t>TYPE_C</t>
        </is>
      </c>
    </row>
    <row r="24">
      <c r="A24" s="23" t="inlineStr">
        <is>
          <t>PERIM_A</t>
        </is>
      </c>
      <c r="B24" s="23" t="inlineStr">
        <is>
          <t>GRP_A1</t>
        </is>
      </c>
      <c r="C24" s="24" t="n">
        <v>2027</v>
      </c>
      <c r="D24" s="23" t="inlineStr">
        <is>
          <t>INST-007</t>
        </is>
      </c>
      <c r="E24" s="23" t="inlineStr">
        <is>
          <t>Installation G1</t>
        </is>
      </c>
      <c r="F24" s="23" t="inlineStr">
        <is>
          <t>2 ans</t>
        </is>
      </c>
      <c r="G24" s="23" t="inlineStr">
        <is>
          <t>TYPE_E</t>
        </is>
      </c>
    </row>
    <row r="25">
      <c r="A25" s="23" t="inlineStr">
        <is>
          <t>PERIM_A</t>
        </is>
      </c>
      <c r="B25" s="23" t="inlineStr">
        <is>
          <t>GRP_A1</t>
        </is>
      </c>
      <c r="C25" s="24" t="n">
        <v>2031</v>
      </c>
      <c r="D25" s="23" t="inlineStr">
        <is>
          <t>INST-008</t>
        </is>
      </c>
      <c r="E25" s="23" t="inlineStr">
        <is>
          <t>Installation H1</t>
        </is>
      </c>
      <c r="F25" s="23" t="inlineStr">
        <is>
          <t>6 ans</t>
        </is>
      </c>
      <c r="G25" s="23" t="inlineStr">
        <is>
          <t>TYPE_D</t>
        </is>
      </c>
    </row>
    <row r="26">
      <c r="A26" s="23" t="inlineStr">
        <is>
          <t>PERIM_A</t>
        </is>
      </c>
      <c r="B26" s="23" t="inlineStr">
        <is>
          <t>GRP_A1</t>
        </is>
      </c>
      <c r="C26" s="24" t="n">
        <v>2027</v>
      </c>
      <c r="D26" s="23" t="inlineStr">
        <is>
          <t>INST-008</t>
        </is>
      </c>
      <c r="E26" s="23" t="inlineStr">
        <is>
          <t>Installation H1</t>
        </is>
      </c>
      <c r="F26" s="23" t="inlineStr">
        <is>
          <t>6 ans</t>
        </is>
      </c>
      <c r="G26" s="23" t="inlineStr">
        <is>
          <t>TYPE_D</t>
        </is>
      </c>
    </row>
    <row r="27">
      <c r="A27" s="23" t="inlineStr">
        <is>
          <t>PERIM_A</t>
        </is>
      </c>
      <c r="B27" s="23" t="inlineStr">
        <is>
          <t>GRP_A1</t>
        </is>
      </c>
      <c r="C27" s="24" t="n">
        <v>2027</v>
      </c>
      <c r="D27" s="23" t="inlineStr">
        <is>
          <t>INST-008</t>
        </is>
      </c>
      <c r="E27" s="23" t="inlineStr">
        <is>
          <t>Installation H1</t>
        </is>
      </c>
      <c r="F27" s="23" t="inlineStr">
        <is>
          <t>3 ans</t>
        </is>
      </c>
      <c r="G27" s="23" t="inlineStr">
        <is>
          <t>TYPE_C</t>
        </is>
      </c>
    </row>
    <row r="28">
      <c r="A28" s="23" t="inlineStr">
        <is>
          <t>PERIM_A</t>
        </is>
      </c>
      <c r="B28" s="23" t="inlineStr">
        <is>
          <t>GRP_A2</t>
        </is>
      </c>
      <c r="C28" s="24" t="n">
        <v>2028</v>
      </c>
      <c r="D28" s="23" t="inlineStr">
        <is>
          <t>INST-009</t>
        </is>
      </c>
      <c r="E28" s="23" t="inlineStr">
        <is>
          <t>Installation I1</t>
        </is>
      </c>
      <c r="F28" s="23" t="inlineStr">
        <is>
          <t>2 ans</t>
        </is>
      </c>
      <c r="G28" s="23" t="inlineStr">
        <is>
          <t>TYPE_B</t>
        </is>
      </c>
    </row>
    <row r="29">
      <c r="A29" s="23" t="inlineStr">
        <is>
          <t>PERIM_A</t>
        </is>
      </c>
      <c r="B29" s="23" t="inlineStr">
        <is>
          <t>GRP_A2</t>
        </is>
      </c>
      <c r="C29" s="24" t="n">
        <v>2026</v>
      </c>
      <c r="D29" s="23" t="inlineStr">
        <is>
          <t>INST-009</t>
        </is>
      </c>
      <c r="E29" s="23" t="inlineStr">
        <is>
          <t>Installation I1</t>
        </is>
      </c>
      <c r="F29" s="23" t="inlineStr">
        <is>
          <t>2 ans</t>
        </is>
      </c>
      <c r="G29" s="23" t="inlineStr">
        <is>
          <t>TYPE_E</t>
        </is>
      </c>
    </row>
    <row r="30">
      <c r="A30" s="23" t="inlineStr">
        <is>
          <t>PERIM_A</t>
        </is>
      </c>
      <c r="B30" s="23" t="inlineStr">
        <is>
          <t>GRP_A2</t>
        </is>
      </c>
      <c r="C30" s="24" t="n">
        <v>2027</v>
      </c>
      <c r="D30" s="23" t="inlineStr">
        <is>
          <t>INST-009</t>
        </is>
      </c>
      <c r="E30" s="23" t="inlineStr">
        <is>
          <t>Installation I1</t>
        </is>
      </c>
      <c r="F30" s="23" t="inlineStr">
        <is>
          <t>2 ans</t>
        </is>
      </c>
      <c r="G30" s="23" t="inlineStr">
        <is>
          <t>TYPE_B</t>
        </is>
      </c>
    </row>
    <row r="31">
      <c r="A31" s="23" t="inlineStr">
        <is>
          <t>PERIM_A</t>
        </is>
      </c>
      <c r="B31" s="23" t="inlineStr">
        <is>
          <t>GRP_A2</t>
        </is>
      </c>
      <c r="C31" s="24" t="n">
        <v>2028</v>
      </c>
      <c r="D31" s="23" t="inlineStr">
        <is>
          <t>INST-010</t>
        </is>
      </c>
      <c r="E31" s="23" t="inlineStr">
        <is>
          <t>Installation J1</t>
        </is>
      </c>
      <c r="F31" s="23" t="inlineStr">
        <is>
          <t>6 ans</t>
        </is>
      </c>
      <c r="G31" s="23" t="inlineStr">
        <is>
          <t>TYPE_D</t>
        </is>
      </c>
    </row>
    <row r="32">
      <c r="A32" s="23" t="inlineStr">
        <is>
          <t>PERIM_A</t>
        </is>
      </c>
      <c r="B32" s="23" t="inlineStr">
        <is>
          <t>GRP_A2</t>
        </is>
      </c>
      <c r="C32" s="24" t="n">
        <v>2027</v>
      </c>
      <c r="D32" s="23" t="inlineStr">
        <is>
          <t>INST-010</t>
        </is>
      </c>
      <c r="E32" s="23" t="inlineStr">
        <is>
          <t>Installation J1</t>
        </is>
      </c>
      <c r="F32" s="23" t="inlineStr">
        <is>
          <t>3 ans</t>
        </is>
      </c>
      <c r="G32" s="23" t="inlineStr">
        <is>
          <t>TYPE_C</t>
        </is>
      </c>
    </row>
    <row r="33">
      <c r="A33" s="23" t="inlineStr">
        <is>
          <t>PERIM_A</t>
        </is>
      </c>
      <c r="B33" s="23" t="inlineStr">
        <is>
          <t>GRP_A2</t>
        </is>
      </c>
      <c r="C33" s="24" t="n">
        <v>2027</v>
      </c>
      <c r="D33" s="23" t="inlineStr">
        <is>
          <t>INST-010</t>
        </is>
      </c>
      <c r="E33" s="23" t="inlineStr">
        <is>
          <t>Installation J1</t>
        </is>
      </c>
      <c r="F33" s="23" t="inlineStr">
        <is>
          <t>1 an</t>
        </is>
      </c>
      <c r="G33" s="23" t="inlineStr">
        <is>
          <t>TYPE_A</t>
        </is>
      </c>
    </row>
    <row r="34">
      <c r="A34" s="23" t="inlineStr">
        <is>
          <t>PERIM_A</t>
        </is>
      </c>
      <c r="B34" s="23" t="inlineStr">
        <is>
          <t>GRP_A2</t>
        </is>
      </c>
      <c r="C34" s="24" t="n">
        <v>2027</v>
      </c>
      <c r="D34" s="23" t="inlineStr">
        <is>
          <t>INST-010</t>
        </is>
      </c>
      <c r="E34" s="23" t="inlineStr">
        <is>
          <t>Installation J1</t>
        </is>
      </c>
      <c r="F34" s="23" t="inlineStr">
        <is>
          <t>1 an</t>
        </is>
      </c>
      <c r="G34" s="23" t="inlineStr">
        <is>
          <t>TYPE_A</t>
        </is>
      </c>
    </row>
    <row r="35">
      <c r="A35" s="23" t="inlineStr">
        <is>
          <t>PERIM_A</t>
        </is>
      </c>
      <c r="B35" s="23" t="inlineStr">
        <is>
          <t>GRP_A2</t>
        </is>
      </c>
      <c r="C35" s="24" t="n">
        <v>2027</v>
      </c>
      <c r="D35" s="23" t="inlineStr">
        <is>
          <t>INST-011</t>
        </is>
      </c>
      <c r="E35" s="23" t="inlineStr">
        <is>
          <t>Installation K1</t>
        </is>
      </c>
      <c r="F35" s="23" t="inlineStr">
        <is>
          <t>1 an</t>
        </is>
      </c>
      <c r="G35" s="23" t="inlineStr">
        <is>
          <t>TYPE_A</t>
        </is>
      </c>
    </row>
    <row r="36">
      <c r="A36" s="23" t="inlineStr">
        <is>
          <t>PERIM_A</t>
        </is>
      </c>
      <c r="B36" s="23" t="inlineStr">
        <is>
          <t>GRP_A2</t>
        </is>
      </c>
      <c r="C36" s="24" t="n">
        <v>2027</v>
      </c>
      <c r="D36" s="23" t="inlineStr">
        <is>
          <t>INST-011</t>
        </is>
      </c>
      <c r="E36" s="23" t="inlineStr">
        <is>
          <t>Installation K1</t>
        </is>
      </c>
      <c r="F36" s="23" t="inlineStr">
        <is>
          <t>6 ans</t>
        </is>
      </c>
      <c r="G36" s="23" t="inlineStr">
        <is>
          <t>TYPE_D</t>
        </is>
      </c>
    </row>
    <row r="37">
      <c r="A37" s="23" t="inlineStr">
        <is>
          <t>PERIM_A</t>
        </is>
      </c>
      <c r="B37" s="23" t="inlineStr">
        <is>
          <t>GRP_A2</t>
        </is>
      </c>
      <c r="C37" s="24" t="n">
        <v>2029</v>
      </c>
      <c r="D37" s="23" t="inlineStr">
        <is>
          <t>INST-011</t>
        </is>
      </c>
      <c r="E37" s="23" t="inlineStr">
        <is>
          <t>Installation K1</t>
        </is>
      </c>
      <c r="F37" s="23" t="inlineStr">
        <is>
          <t>1 an</t>
        </is>
      </c>
      <c r="G37" s="23" t="inlineStr">
        <is>
          <t>TYPE_A</t>
        </is>
      </c>
    </row>
    <row r="38">
      <c r="A38" s="23" t="inlineStr">
        <is>
          <t>PERIM_A</t>
        </is>
      </c>
      <c r="B38" s="23" t="inlineStr">
        <is>
          <t>GRP_A2</t>
        </is>
      </c>
      <c r="C38" s="24" t="n">
        <v>2027</v>
      </c>
      <c r="D38" s="23" t="inlineStr">
        <is>
          <t>INST-011</t>
        </is>
      </c>
      <c r="E38" s="23" t="inlineStr">
        <is>
          <t>Installation K1</t>
        </is>
      </c>
      <c r="F38" s="23" t="inlineStr">
        <is>
          <t>3 ans</t>
        </is>
      </c>
      <c r="G38" s="23" t="inlineStr">
        <is>
          <t>TYPE_C</t>
        </is>
      </c>
    </row>
    <row r="39">
      <c r="A39" s="23" t="inlineStr">
        <is>
          <t>PERIM_A</t>
        </is>
      </c>
      <c r="B39" s="23" t="inlineStr">
        <is>
          <t>GRP_A2</t>
        </is>
      </c>
      <c r="C39" s="24" t="n">
        <v>2028</v>
      </c>
      <c r="D39" s="23" t="inlineStr">
        <is>
          <t>INST-012</t>
        </is>
      </c>
      <c r="E39" s="23" t="inlineStr">
        <is>
          <t>Installation L1</t>
        </is>
      </c>
      <c r="F39" s="23" t="inlineStr">
        <is>
          <t>2 ans</t>
        </is>
      </c>
      <c r="G39" s="23" t="inlineStr">
        <is>
          <t>TYPE_E</t>
        </is>
      </c>
    </row>
    <row r="40">
      <c r="A40" s="23" t="inlineStr">
        <is>
          <t>PERIM_A</t>
        </is>
      </c>
      <c r="B40" s="23" t="inlineStr">
        <is>
          <t>GRP_A2</t>
        </is>
      </c>
      <c r="C40" s="24" t="n">
        <v>2026</v>
      </c>
      <c r="D40" s="23" t="inlineStr">
        <is>
          <t>INST-012</t>
        </is>
      </c>
      <c r="E40" s="23" t="inlineStr">
        <is>
          <t>Installation L1</t>
        </is>
      </c>
      <c r="F40" s="23" t="inlineStr">
        <is>
          <t>1 an</t>
        </is>
      </c>
      <c r="G40" s="23" t="inlineStr">
        <is>
          <t>TYPE_A</t>
        </is>
      </c>
    </row>
    <row r="41">
      <c r="A41" s="23" t="inlineStr">
        <is>
          <t>PERIM_A</t>
        </is>
      </c>
      <c r="B41" s="23" t="inlineStr">
        <is>
          <t>GRP_A2</t>
        </is>
      </c>
      <c r="C41" s="24" t="n">
        <v>2027</v>
      </c>
      <c r="D41" s="23" t="inlineStr">
        <is>
          <t>INST-012</t>
        </is>
      </c>
      <c r="E41" s="23" t="inlineStr">
        <is>
          <t>Installation L1</t>
        </is>
      </c>
      <c r="F41" s="23" t="inlineStr">
        <is>
          <t>1 an</t>
        </is>
      </c>
      <c r="G41" s="23" t="inlineStr">
        <is>
          <t>TYPE_A</t>
        </is>
      </c>
    </row>
    <row r="42">
      <c r="A42" s="23" t="inlineStr">
        <is>
          <t>PERIM_A</t>
        </is>
      </c>
      <c r="B42" s="23" t="inlineStr">
        <is>
          <t>GRP_A2</t>
        </is>
      </c>
      <c r="C42" s="24" t="n">
        <v>2029</v>
      </c>
      <c r="D42" s="23" t="inlineStr">
        <is>
          <t>INST-013</t>
        </is>
      </c>
      <c r="E42" s="23" t="inlineStr">
        <is>
          <t>Installation M1</t>
        </is>
      </c>
      <c r="F42" s="23" t="inlineStr">
        <is>
          <t>3 ans</t>
        </is>
      </c>
      <c r="G42" s="23" t="inlineStr">
        <is>
          <t>TYPE_C</t>
        </is>
      </c>
    </row>
    <row r="43">
      <c r="A43" s="23" t="inlineStr">
        <is>
          <t>PERIM_A</t>
        </is>
      </c>
      <c r="B43" s="23" t="inlineStr">
        <is>
          <t>GRP_A2</t>
        </is>
      </c>
      <c r="C43" s="24" t="n">
        <v>2026</v>
      </c>
      <c r="D43" s="23" t="inlineStr">
        <is>
          <t>INST-013</t>
        </is>
      </c>
      <c r="E43" s="23" t="inlineStr">
        <is>
          <t>Installation M1</t>
        </is>
      </c>
      <c r="F43" s="23" t="inlineStr">
        <is>
          <t>1 an</t>
        </is>
      </c>
      <c r="G43" s="23" t="inlineStr">
        <is>
          <t>TYPE_A</t>
        </is>
      </c>
    </row>
    <row r="44">
      <c r="A44" s="23" t="inlineStr">
        <is>
          <t>PERIM_A</t>
        </is>
      </c>
      <c r="B44" s="23" t="inlineStr">
        <is>
          <t>GRP_A2</t>
        </is>
      </c>
      <c r="C44" s="24" t="n">
        <v>2029</v>
      </c>
      <c r="D44" s="23" t="inlineStr">
        <is>
          <t>INST-014</t>
        </is>
      </c>
      <c r="E44" s="23" t="inlineStr">
        <is>
          <t>Installation N1</t>
        </is>
      </c>
      <c r="F44" s="23" t="inlineStr">
        <is>
          <t>6 ans</t>
        </is>
      </c>
      <c r="G44" s="23" t="inlineStr">
        <is>
          <t>TYPE_D</t>
        </is>
      </c>
    </row>
    <row r="45">
      <c r="A45" s="23" t="inlineStr">
        <is>
          <t>PERIM_A</t>
        </is>
      </c>
      <c r="B45" s="23" t="inlineStr">
        <is>
          <t>GRP_A2</t>
        </is>
      </c>
      <c r="C45" s="24" t="n">
        <v>2027</v>
      </c>
      <c r="D45" s="23" t="inlineStr">
        <is>
          <t>INST-014</t>
        </is>
      </c>
      <c r="E45" s="23" t="inlineStr">
        <is>
          <t>Installation N1</t>
        </is>
      </c>
      <c r="F45" s="23" t="inlineStr">
        <is>
          <t>1 an</t>
        </is>
      </c>
      <c r="G45" s="23" t="inlineStr">
        <is>
          <t>TYPE_A</t>
        </is>
      </c>
    </row>
    <row r="46">
      <c r="A46" s="23" t="inlineStr">
        <is>
          <t>PERIM_A</t>
        </is>
      </c>
      <c r="B46" s="23" t="inlineStr">
        <is>
          <t>GRP_A2</t>
        </is>
      </c>
      <c r="C46" s="24" t="n">
        <v>2029</v>
      </c>
      <c r="D46" s="23" t="inlineStr">
        <is>
          <t>INST-014</t>
        </is>
      </c>
      <c r="E46" s="23" t="inlineStr">
        <is>
          <t>Installation N1</t>
        </is>
      </c>
      <c r="F46" s="23" t="inlineStr">
        <is>
          <t>3 ans</t>
        </is>
      </c>
      <c r="G46" s="23" t="inlineStr">
        <is>
          <t>TYPE_C</t>
        </is>
      </c>
    </row>
    <row r="47">
      <c r="A47" s="23" t="inlineStr">
        <is>
          <t>PERIM_A</t>
        </is>
      </c>
      <c r="B47" s="23" t="inlineStr">
        <is>
          <t>GRP_A2</t>
        </is>
      </c>
      <c r="C47" s="24" t="n">
        <v>2027</v>
      </c>
      <c r="D47" s="23" t="inlineStr">
        <is>
          <t>INST-015</t>
        </is>
      </c>
      <c r="E47" s="23" t="inlineStr">
        <is>
          <t>Installation O1</t>
        </is>
      </c>
      <c r="F47" s="23" t="inlineStr">
        <is>
          <t>2 ans</t>
        </is>
      </c>
      <c r="G47" s="23" t="inlineStr">
        <is>
          <t>TYPE_B</t>
        </is>
      </c>
    </row>
    <row r="48">
      <c r="A48" s="23" t="inlineStr">
        <is>
          <t>PERIM_A</t>
        </is>
      </c>
      <c r="B48" s="23" t="inlineStr">
        <is>
          <t>GRP_A2</t>
        </is>
      </c>
      <c r="C48" s="24" t="n">
        <v>2032</v>
      </c>
      <c r="D48" s="23" t="inlineStr">
        <is>
          <t>INST-015</t>
        </is>
      </c>
      <c r="E48" s="23" t="inlineStr">
        <is>
          <t>Installation O1</t>
        </is>
      </c>
      <c r="F48" s="23" t="inlineStr">
        <is>
          <t>2 ans</t>
        </is>
      </c>
      <c r="G48" s="23" t="inlineStr">
        <is>
          <t>TYPE_B</t>
        </is>
      </c>
    </row>
    <row r="49">
      <c r="A49" s="23" t="inlineStr">
        <is>
          <t>PERIM_A</t>
        </is>
      </c>
      <c r="B49" s="23" t="inlineStr">
        <is>
          <t>GRP_A2</t>
        </is>
      </c>
      <c r="C49" s="24" t="n">
        <v>2030</v>
      </c>
      <c r="D49" s="23" t="inlineStr">
        <is>
          <t>INST-015</t>
        </is>
      </c>
      <c r="E49" s="23" t="inlineStr">
        <is>
          <t>Installation O1</t>
        </is>
      </c>
      <c r="F49" s="23" t="inlineStr">
        <is>
          <t>3 ans</t>
        </is>
      </c>
      <c r="G49" s="23" t="inlineStr">
        <is>
          <t>TYPE_C</t>
        </is>
      </c>
    </row>
    <row r="50">
      <c r="A50" s="23" t="inlineStr">
        <is>
          <t>PERIM_A</t>
        </is>
      </c>
      <c r="B50" s="23" t="inlineStr">
        <is>
          <t>GRP_A2</t>
        </is>
      </c>
      <c r="C50" s="24" t="n">
        <v>2027</v>
      </c>
      <c r="D50" s="23" t="inlineStr">
        <is>
          <t>INST-015</t>
        </is>
      </c>
      <c r="E50" s="23" t="inlineStr">
        <is>
          <t>Installation O1</t>
        </is>
      </c>
      <c r="F50" s="23" t="inlineStr">
        <is>
          <t>1 an</t>
        </is>
      </c>
      <c r="G50" s="23" t="inlineStr">
        <is>
          <t>TYPE_A</t>
        </is>
      </c>
    </row>
    <row r="51">
      <c r="A51" s="23" t="inlineStr">
        <is>
          <t>PERIM_A</t>
        </is>
      </c>
      <c r="B51" s="23" t="inlineStr">
        <is>
          <t>GRP_A2</t>
        </is>
      </c>
      <c r="C51" s="24" t="n">
        <v>2026</v>
      </c>
      <c r="D51" s="23" t="inlineStr">
        <is>
          <t>INST-016</t>
        </is>
      </c>
      <c r="E51" s="23" t="inlineStr">
        <is>
          <t>Installation P1</t>
        </is>
      </c>
      <c r="F51" s="23" t="inlineStr">
        <is>
          <t>2 ans</t>
        </is>
      </c>
      <c r="G51" s="23" t="inlineStr">
        <is>
          <t>TYPE_B</t>
        </is>
      </c>
    </row>
    <row r="52">
      <c r="A52" s="23" t="inlineStr">
        <is>
          <t>PERIM_A</t>
        </is>
      </c>
      <c r="B52" s="23" t="inlineStr">
        <is>
          <t>GRP_A2</t>
        </is>
      </c>
      <c r="C52" s="24" t="n">
        <v>2027</v>
      </c>
      <c r="D52" s="23" t="inlineStr">
        <is>
          <t>INST-016</t>
        </is>
      </c>
      <c r="E52" s="23" t="inlineStr">
        <is>
          <t>Installation P1</t>
        </is>
      </c>
      <c r="F52" s="23" t="inlineStr">
        <is>
          <t>1 an</t>
        </is>
      </c>
      <c r="G52" s="23" t="inlineStr">
        <is>
          <t>TYPE_A</t>
        </is>
      </c>
    </row>
    <row r="53">
      <c r="A53" s="23" t="inlineStr">
        <is>
          <t>PERIM_B</t>
        </is>
      </c>
      <c r="B53" s="23" t="inlineStr">
        <is>
          <t>GRP_B1</t>
        </is>
      </c>
      <c r="C53" s="24" t="n">
        <v>2029</v>
      </c>
      <c r="D53" s="23" t="inlineStr">
        <is>
          <t>INST-017</t>
        </is>
      </c>
      <c r="E53" s="23" t="inlineStr">
        <is>
          <t>Installation Q1</t>
        </is>
      </c>
      <c r="F53" s="23" t="inlineStr">
        <is>
          <t>6 ans</t>
        </is>
      </c>
      <c r="G53" s="23" t="inlineStr">
        <is>
          <t>TYPE_D</t>
        </is>
      </c>
    </row>
    <row r="54">
      <c r="A54" s="23" t="inlineStr">
        <is>
          <t>PERIM_B</t>
        </is>
      </c>
      <c r="B54" s="23" t="inlineStr">
        <is>
          <t>GRP_B1</t>
        </is>
      </c>
      <c r="C54" s="24" t="n">
        <v>2027</v>
      </c>
      <c r="D54" s="23" t="inlineStr">
        <is>
          <t>INST-017</t>
        </is>
      </c>
      <c r="E54" s="23" t="inlineStr">
        <is>
          <t>Installation Q1</t>
        </is>
      </c>
      <c r="F54" s="23" t="inlineStr">
        <is>
          <t>6 ans</t>
        </is>
      </c>
      <c r="G54" s="23" t="inlineStr">
        <is>
          <t>TYPE_D</t>
        </is>
      </c>
    </row>
    <row r="55">
      <c r="A55" s="23" t="inlineStr">
        <is>
          <t>PERIM_B</t>
        </is>
      </c>
      <c r="B55" s="23" t="inlineStr">
        <is>
          <t>GRP_B1</t>
        </is>
      </c>
      <c r="C55" s="24" t="n">
        <v>2031</v>
      </c>
      <c r="D55" s="23" t="inlineStr">
        <is>
          <t>INST-018</t>
        </is>
      </c>
      <c r="E55" s="23" t="inlineStr">
        <is>
          <t>Installation R1</t>
        </is>
      </c>
      <c r="F55" s="23" t="inlineStr">
        <is>
          <t>3 ans</t>
        </is>
      </c>
      <c r="G55" s="23" t="inlineStr">
        <is>
          <t>TYPE_C</t>
        </is>
      </c>
    </row>
    <row r="56">
      <c r="A56" s="23" t="inlineStr">
        <is>
          <t>PERIM_B</t>
        </is>
      </c>
      <c r="B56" s="23" t="inlineStr">
        <is>
          <t>GRP_B1</t>
        </is>
      </c>
      <c r="C56" s="24" t="n">
        <v>2029</v>
      </c>
      <c r="D56" s="23" t="inlineStr">
        <is>
          <t>INST-018</t>
        </is>
      </c>
      <c r="E56" s="23" t="inlineStr">
        <is>
          <t>Installation R1</t>
        </is>
      </c>
      <c r="F56" s="23" t="inlineStr">
        <is>
          <t>1 an</t>
        </is>
      </c>
      <c r="G56" s="23" t="inlineStr">
        <is>
          <t>TYPE_A</t>
        </is>
      </c>
    </row>
    <row r="57">
      <c r="A57" s="23" t="inlineStr">
        <is>
          <t>PERIM_B</t>
        </is>
      </c>
      <c r="B57" s="23" t="inlineStr">
        <is>
          <t>GRP_B1</t>
        </is>
      </c>
      <c r="C57" s="24" t="n">
        <v>2027</v>
      </c>
      <c r="D57" s="23" t="inlineStr">
        <is>
          <t>INST-018</t>
        </is>
      </c>
      <c r="E57" s="23" t="inlineStr">
        <is>
          <t>Installation R1</t>
        </is>
      </c>
      <c r="F57" s="23" t="inlineStr">
        <is>
          <t>2 ans</t>
        </is>
      </c>
      <c r="G57" s="23" t="inlineStr">
        <is>
          <t>TYPE_B</t>
        </is>
      </c>
    </row>
    <row r="58">
      <c r="A58" s="23" t="inlineStr">
        <is>
          <t>PERIM_B</t>
        </is>
      </c>
      <c r="B58" s="23" t="inlineStr">
        <is>
          <t>GRP_B1</t>
        </is>
      </c>
      <c r="C58" s="24" t="n">
        <v>2027</v>
      </c>
      <c r="D58" s="23" t="inlineStr">
        <is>
          <t>INST-018</t>
        </is>
      </c>
      <c r="E58" s="23" t="inlineStr">
        <is>
          <t>Installation R1</t>
        </is>
      </c>
      <c r="F58" s="23" t="inlineStr">
        <is>
          <t>6 ans</t>
        </is>
      </c>
      <c r="G58" s="23" t="inlineStr">
        <is>
          <t>TYPE_D</t>
        </is>
      </c>
    </row>
    <row r="59">
      <c r="A59" s="23" t="inlineStr">
        <is>
          <t>PERIM_B</t>
        </is>
      </c>
      <c r="B59" s="23" t="inlineStr">
        <is>
          <t>GRP_B1</t>
        </is>
      </c>
      <c r="C59" s="24" t="n">
        <v>2029</v>
      </c>
      <c r="D59" s="23" t="inlineStr">
        <is>
          <t>INST-019</t>
        </is>
      </c>
      <c r="E59" s="23" t="inlineStr">
        <is>
          <t>Installation S1</t>
        </is>
      </c>
      <c r="F59" s="23" t="inlineStr">
        <is>
          <t>3 ans</t>
        </is>
      </c>
      <c r="G59" s="23" t="inlineStr">
        <is>
          <t>TYPE_C</t>
        </is>
      </c>
    </row>
    <row r="60">
      <c r="A60" s="23" t="inlineStr">
        <is>
          <t>PERIM_B</t>
        </is>
      </c>
      <c r="B60" s="23" t="inlineStr">
        <is>
          <t>GRP_B1</t>
        </is>
      </c>
      <c r="C60" s="24" t="n">
        <v>2030</v>
      </c>
      <c r="D60" s="23" t="inlineStr">
        <is>
          <t>INST-019</t>
        </is>
      </c>
      <c r="E60" s="23" t="inlineStr">
        <is>
          <t>Installation S1</t>
        </is>
      </c>
      <c r="F60" s="23" t="inlineStr">
        <is>
          <t>2 ans</t>
        </is>
      </c>
      <c r="G60" s="23" t="inlineStr">
        <is>
          <t>TYPE_E</t>
        </is>
      </c>
    </row>
    <row r="61">
      <c r="A61" s="23" t="inlineStr">
        <is>
          <t>PERIM_B</t>
        </is>
      </c>
      <c r="B61" s="23" t="inlineStr">
        <is>
          <t>GRP_B1</t>
        </is>
      </c>
      <c r="C61" s="24" t="n">
        <v>2029</v>
      </c>
      <c r="D61" s="23" t="inlineStr">
        <is>
          <t>INST-019</t>
        </is>
      </c>
      <c r="E61" s="23" t="inlineStr">
        <is>
          <t>Installation S1</t>
        </is>
      </c>
      <c r="F61" s="23" t="inlineStr">
        <is>
          <t>2 ans</t>
        </is>
      </c>
      <c r="G61" s="23" t="inlineStr">
        <is>
          <t>TYPE_B</t>
        </is>
      </c>
    </row>
    <row r="62">
      <c r="A62" s="23" t="inlineStr">
        <is>
          <t>PERIM_B</t>
        </is>
      </c>
      <c r="B62" s="23" t="inlineStr">
        <is>
          <t>GRP_B1</t>
        </is>
      </c>
      <c r="C62" s="24" t="n">
        <v>2029</v>
      </c>
      <c r="D62" s="23" t="inlineStr">
        <is>
          <t>INST-020</t>
        </is>
      </c>
      <c r="E62" s="23" t="inlineStr">
        <is>
          <t>Installation T1</t>
        </is>
      </c>
      <c r="F62" s="23" t="inlineStr">
        <is>
          <t>2 ans</t>
        </is>
      </c>
      <c r="G62" s="23" t="inlineStr">
        <is>
          <t>TYPE_E</t>
        </is>
      </c>
    </row>
    <row r="63">
      <c r="A63" s="23" t="inlineStr">
        <is>
          <t>PERIM_B</t>
        </is>
      </c>
      <c r="B63" s="23" t="inlineStr">
        <is>
          <t>GRP_B1</t>
        </is>
      </c>
      <c r="C63" s="24" t="n">
        <v>2027</v>
      </c>
      <c r="D63" s="23" t="inlineStr">
        <is>
          <t>INST-020</t>
        </is>
      </c>
      <c r="E63" s="23" t="inlineStr">
        <is>
          <t>Installation T1</t>
        </is>
      </c>
      <c r="F63" s="23" t="inlineStr">
        <is>
          <t>2 ans</t>
        </is>
      </c>
      <c r="G63" s="23" t="inlineStr">
        <is>
          <t>TYPE_B</t>
        </is>
      </c>
    </row>
    <row r="64">
      <c r="A64" s="23" t="inlineStr">
        <is>
          <t>PERIM_B</t>
        </is>
      </c>
      <c r="B64" s="23" t="inlineStr">
        <is>
          <t>GRP_B1</t>
        </is>
      </c>
      <c r="C64" s="24" t="n">
        <v>2029</v>
      </c>
      <c r="D64" s="23" t="inlineStr">
        <is>
          <t>INST-020</t>
        </is>
      </c>
      <c r="E64" s="23" t="inlineStr">
        <is>
          <t>Installation T1</t>
        </is>
      </c>
      <c r="F64" s="23" t="inlineStr">
        <is>
          <t>2 ans</t>
        </is>
      </c>
      <c r="G64" s="23" t="inlineStr">
        <is>
          <t>TYPE_E</t>
        </is>
      </c>
    </row>
    <row r="65">
      <c r="A65" s="23" t="inlineStr">
        <is>
          <t>PERIM_B</t>
        </is>
      </c>
      <c r="B65" s="23" t="inlineStr">
        <is>
          <t>GRP_B1</t>
        </is>
      </c>
      <c r="C65" s="24" t="n">
        <v>2027</v>
      </c>
      <c r="D65" s="23" t="inlineStr">
        <is>
          <t>INST-021</t>
        </is>
      </c>
      <c r="E65" s="23" t="inlineStr">
        <is>
          <t>Installation U1</t>
        </is>
      </c>
      <c r="F65" s="23" t="inlineStr">
        <is>
          <t>1 an</t>
        </is>
      </c>
      <c r="G65" s="23" t="inlineStr">
        <is>
          <t>TYPE_A</t>
        </is>
      </c>
    </row>
    <row r="66">
      <c r="A66" s="23" t="inlineStr">
        <is>
          <t>PERIM_B</t>
        </is>
      </c>
      <c r="B66" s="23" t="inlineStr">
        <is>
          <t>GRP_B1</t>
        </is>
      </c>
      <c r="C66" s="24" t="n">
        <v>2027</v>
      </c>
      <c r="D66" s="23" t="inlineStr">
        <is>
          <t>INST-021</t>
        </is>
      </c>
      <c r="E66" s="23" t="inlineStr">
        <is>
          <t>Installation U1</t>
        </is>
      </c>
      <c r="F66" s="23" t="inlineStr">
        <is>
          <t>3 ans</t>
        </is>
      </c>
      <c r="G66" s="23" t="inlineStr">
        <is>
          <t>TYPE_C</t>
        </is>
      </c>
    </row>
    <row r="67">
      <c r="A67" s="23" t="inlineStr">
        <is>
          <t>PERIM_B</t>
        </is>
      </c>
      <c r="B67" s="23" t="inlineStr">
        <is>
          <t>GRP_B1</t>
        </is>
      </c>
      <c r="C67" s="24" t="n">
        <v>2027</v>
      </c>
      <c r="D67" s="23" t="inlineStr">
        <is>
          <t>INST-021</t>
        </is>
      </c>
      <c r="E67" s="23" t="inlineStr">
        <is>
          <t>Installation U1</t>
        </is>
      </c>
      <c r="F67" s="23" t="inlineStr">
        <is>
          <t>2 ans</t>
        </is>
      </c>
      <c r="G67" s="23" t="inlineStr">
        <is>
          <t>TYPE_B</t>
        </is>
      </c>
    </row>
    <row r="68">
      <c r="A68" s="23" t="inlineStr">
        <is>
          <t>PERIM_B</t>
        </is>
      </c>
      <c r="B68" s="23" t="inlineStr">
        <is>
          <t>GRP_B1</t>
        </is>
      </c>
      <c r="C68" s="24" t="n">
        <v>2027</v>
      </c>
      <c r="D68" s="23" t="inlineStr">
        <is>
          <t>INST-021</t>
        </is>
      </c>
      <c r="E68" s="23" t="inlineStr">
        <is>
          <t>Installation U1</t>
        </is>
      </c>
      <c r="F68" s="23" t="inlineStr">
        <is>
          <t>1 an</t>
        </is>
      </c>
      <c r="G68" s="23" t="inlineStr">
        <is>
          <t>TYPE_A</t>
        </is>
      </c>
    </row>
    <row r="69">
      <c r="A69" s="23" t="inlineStr">
        <is>
          <t>PERIM_B</t>
        </is>
      </c>
      <c r="B69" s="23" t="inlineStr">
        <is>
          <t>GRP_B1</t>
        </is>
      </c>
      <c r="C69" s="24" t="n">
        <v>2030</v>
      </c>
      <c r="D69" s="23" t="inlineStr">
        <is>
          <t>INST-022</t>
        </is>
      </c>
      <c r="E69" s="23" t="inlineStr">
        <is>
          <t>Installation V1</t>
        </is>
      </c>
      <c r="F69" s="23" t="inlineStr">
        <is>
          <t>2 ans</t>
        </is>
      </c>
      <c r="G69" s="23" t="inlineStr">
        <is>
          <t>TYPE_B</t>
        </is>
      </c>
    </row>
    <row r="70">
      <c r="A70" s="23" t="inlineStr">
        <is>
          <t>PERIM_B</t>
        </is>
      </c>
      <c r="B70" s="23" t="inlineStr">
        <is>
          <t>GRP_B1</t>
        </is>
      </c>
      <c r="C70" s="24" t="n">
        <v>2027</v>
      </c>
      <c r="D70" s="23" t="inlineStr">
        <is>
          <t>INST-022</t>
        </is>
      </c>
      <c r="E70" s="23" t="inlineStr">
        <is>
          <t>Installation V1</t>
        </is>
      </c>
      <c r="F70" s="23" t="inlineStr">
        <is>
          <t>1 an</t>
        </is>
      </c>
      <c r="G70" s="23" t="inlineStr">
        <is>
          <t>TYPE_A</t>
        </is>
      </c>
    </row>
    <row r="71">
      <c r="A71" s="23" t="inlineStr">
        <is>
          <t>PERIM_B</t>
        </is>
      </c>
      <c r="B71" s="23" t="inlineStr">
        <is>
          <t>GRP_B1</t>
        </is>
      </c>
      <c r="C71" s="24" t="n">
        <v>2028</v>
      </c>
      <c r="D71" s="23" t="inlineStr">
        <is>
          <t>INST-023</t>
        </is>
      </c>
      <c r="E71" s="23" t="inlineStr">
        <is>
          <t>Installation W1</t>
        </is>
      </c>
      <c r="F71" s="23" t="inlineStr">
        <is>
          <t>1 an</t>
        </is>
      </c>
      <c r="G71" s="23" t="inlineStr">
        <is>
          <t>TYPE_A</t>
        </is>
      </c>
    </row>
    <row r="72">
      <c r="A72" s="23" t="inlineStr">
        <is>
          <t>PERIM_B</t>
        </is>
      </c>
      <c r="B72" s="23" t="inlineStr">
        <is>
          <t>GRP_B1</t>
        </is>
      </c>
      <c r="C72" s="24" t="n">
        <v>2030</v>
      </c>
      <c r="D72" s="23" t="inlineStr">
        <is>
          <t>INST-023</t>
        </is>
      </c>
      <c r="E72" s="23" t="inlineStr">
        <is>
          <t>Installation W1</t>
        </is>
      </c>
      <c r="F72" s="23" t="inlineStr">
        <is>
          <t>2 ans</t>
        </is>
      </c>
      <c r="G72" s="23" t="inlineStr">
        <is>
          <t>TYPE_E</t>
        </is>
      </c>
    </row>
    <row r="73">
      <c r="A73" s="23" t="inlineStr">
        <is>
          <t>PERIM_B</t>
        </is>
      </c>
      <c r="B73" s="23" t="inlineStr">
        <is>
          <t>GRP_B1</t>
        </is>
      </c>
      <c r="C73" s="24" t="n">
        <v>2029</v>
      </c>
      <c r="D73" s="23" t="inlineStr">
        <is>
          <t>INST-023</t>
        </is>
      </c>
      <c r="E73" s="23" t="inlineStr">
        <is>
          <t>Installation W1</t>
        </is>
      </c>
      <c r="F73" s="23" t="inlineStr">
        <is>
          <t>6 ans</t>
        </is>
      </c>
      <c r="G73" s="23" t="inlineStr">
        <is>
          <t>TYPE_D</t>
        </is>
      </c>
    </row>
    <row r="74">
      <c r="A74" s="23" t="inlineStr">
        <is>
          <t>PERIM_B</t>
        </is>
      </c>
      <c r="B74" s="23" t="inlineStr">
        <is>
          <t>GRP_B1</t>
        </is>
      </c>
      <c r="C74" s="24" t="n">
        <v>2032</v>
      </c>
      <c r="D74" s="23" t="inlineStr">
        <is>
          <t>INST-024</t>
        </is>
      </c>
      <c r="E74" s="23" t="inlineStr">
        <is>
          <t>Installation X1</t>
        </is>
      </c>
      <c r="F74" s="23" t="inlineStr">
        <is>
          <t>3 ans</t>
        </is>
      </c>
      <c r="G74" s="23" t="inlineStr">
        <is>
          <t>TYPE_C</t>
        </is>
      </c>
    </row>
    <row r="75">
      <c r="A75" s="23" t="inlineStr">
        <is>
          <t>PERIM_B</t>
        </is>
      </c>
      <c r="B75" s="23" t="inlineStr">
        <is>
          <t>GRP_B1</t>
        </is>
      </c>
      <c r="C75" s="24" t="n">
        <v>2027</v>
      </c>
      <c r="D75" s="23" t="inlineStr">
        <is>
          <t>INST-024</t>
        </is>
      </c>
      <c r="E75" s="23" t="inlineStr">
        <is>
          <t>Installation X1</t>
        </is>
      </c>
      <c r="F75" s="23" t="inlineStr">
        <is>
          <t>2 ans</t>
        </is>
      </c>
      <c r="G75" s="23" t="inlineStr">
        <is>
          <t>TYPE_B</t>
        </is>
      </c>
    </row>
    <row r="76">
      <c r="A76" s="23" t="inlineStr">
        <is>
          <t>PERIM_B</t>
        </is>
      </c>
      <c r="B76" s="23" t="inlineStr">
        <is>
          <t>GRP_B2</t>
        </is>
      </c>
      <c r="C76" s="24" t="n">
        <v>2032</v>
      </c>
      <c r="D76" s="23" t="inlineStr">
        <is>
          <t>INST-025</t>
        </is>
      </c>
      <c r="E76" s="23" t="inlineStr">
        <is>
          <t>Installation Y1</t>
        </is>
      </c>
      <c r="F76" s="23" t="inlineStr">
        <is>
          <t>2 ans</t>
        </is>
      </c>
      <c r="G76" s="23" t="inlineStr">
        <is>
          <t>TYPE_E</t>
        </is>
      </c>
    </row>
    <row r="77">
      <c r="A77" s="23" t="inlineStr">
        <is>
          <t>PERIM_B</t>
        </is>
      </c>
      <c r="B77" s="23" t="inlineStr">
        <is>
          <t>GRP_B2</t>
        </is>
      </c>
      <c r="C77" s="24" t="n">
        <v>2027</v>
      </c>
      <c r="D77" s="23" t="inlineStr">
        <is>
          <t>INST-025</t>
        </is>
      </c>
      <c r="E77" s="23" t="inlineStr">
        <is>
          <t>Installation Y1</t>
        </is>
      </c>
      <c r="F77" s="23" t="inlineStr">
        <is>
          <t>6 ans</t>
        </is>
      </c>
      <c r="G77" s="23" t="inlineStr">
        <is>
          <t>TYPE_D</t>
        </is>
      </c>
    </row>
    <row r="78">
      <c r="A78" s="23" t="inlineStr">
        <is>
          <t>PERIM_B</t>
        </is>
      </c>
      <c r="B78" s="23" t="inlineStr">
        <is>
          <t>GRP_B2</t>
        </is>
      </c>
      <c r="C78" s="24" t="n">
        <v>2027</v>
      </c>
      <c r="D78" s="23" t="inlineStr">
        <is>
          <t>INST-025</t>
        </is>
      </c>
      <c r="E78" s="23" t="inlineStr">
        <is>
          <t>Installation Y1</t>
        </is>
      </c>
      <c r="F78" s="23" t="inlineStr">
        <is>
          <t>2 ans</t>
        </is>
      </c>
      <c r="G78" s="23" t="inlineStr">
        <is>
          <t>TYPE_E</t>
        </is>
      </c>
    </row>
    <row r="79">
      <c r="A79" s="23" t="inlineStr">
        <is>
          <t>PERIM_B</t>
        </is>
      </c>
      <c r="B79" s="23" t="inlineStr">
        <is>
          <t>GRP_B2</t>
        </is>
      </c>
      <c r="C79" s="24" t="n">
        <v>2027</v>
      </c>
      <c r="D79" s="23" t="inlineStr">
        <is>
          <t>INST-025</t>
        </is>
      </c>
      <c r="E79" s="23" t="inlineStr">
        <is>
          <t>Installation Y1</t>
        </is>
      </c>
      <c r="F79" s="23" t="inlineStr">
        <is>
          <t>2 ans</t>
        </is>
      </c>
      <c r="G79" s="23" t="inlineStr">
        <is>
          <t>TYPE_B</t>
        </is>
      </c>
    </row>
    <row r="80">
      <c r="A80" s="23" t="inlineStr">
        <is>
          <t>PERIM_B</t>
        </is>
      </c>
      <c r="B80" s="23" t="inlineStr">
        <is>
          <t>GRP_B2</t>
        </is>
      </c>
      <c r="C80" s="24" t="n">
        <v>2028</v>
      </c>
      <c r="D80" s="23" t="inlineStr">
        <is>
          <t>INST-026</t>
        </is>
      </c>
      <c r="E80" s="23" t="inlineStr">
        <is>
          <t>Installation Z1</t>
        </is>
      </c>
      <c r="F80" s="23" t="inlineStr">
        <is>
          <t>2 ans</t>
        </is>
      </c>
      <c r="G80" s="23" t="inlineStr">
        <is>
          <t>TYPE_B</t>
        </is>
      </c>
    </row>
    <row r="81">
      <c r="A81" s="23" t="inlineStr">
        <is>
          <t>PERIM_B</t>
        </is>
      </c>
      <c r="B81" s="23" t="inlineStr">
        <is>
          <t>GRP_B2</t>
        </is>
      </c>
      <c r="C81" s="24" t="n">
        <v>2031</v>
      </c>
      <c r="D81" s="23" t="inlineStr">
        <is>
          <t>INST-026</t>
        </is>
      </c>
      <c r="E81" s="23" t="inlineStr">
        <is>
          <t>Installation Z1</t>
        </is>
      </c>
      <c r="F81" s="23" t="inlineStr">
        <is>
          <t>3 ans</t>
        </is>
      </c>
      <c r="G81" s="23" t="inlineStr">
        <is>
          <t>TYPE_C</t>
        </is>
      </c>
    </row>
    <row r="82">
      <c r="A82" s="23" t="inlineStr">
        <is>
          <t>PERIM_B</t>
        </is>
      </c>
      <c r="B82" s="23" t="inlineStr">
        <is>
          <t>GRP_B2</t>
        </is>
      </c>
      <c r="C82" s="24" t="n">
        <v>2028</v>
      </c>
      <c r="D82" s="23" t="inlineStr">
        <is>
          <t>INST-026</t>
        </is>
      </c>
      <c r="E82" s="23" t="inlineStr">
        <is>
          <t>Installation Z1</t>
        </is>
      </c>
      <c r="F82" s="23" t="inlineStr">
        <is>
          <t>6 ans</t>
        </is>
      </c>
      <c r="G82" s="23" t="inlineStr">
        <is>
          <t>TYPE_D</t>
        </is>
      </c>
    </row>
    <row r="83">
      <c r="A83" s="23" t="inlineStr">
        <is>
          <t>PERIM_B</t>
        </is>
      </c>
      <c r="B83" s="23" t="inlineStr">
        <is>
          <t>GRP_B2</t>
        </is>
      </c>
      <c r="C83" s="24" t="n">
        <v>2029</v>
      </c>
      <c r="D83" s="23" t="inlineStr">
        <is>
          <t>INST-027</t>
        </is>
      </c>
      <c r="E83" s="23" t="inlineStr">
        <is>
          <t>Installation A2</t>
        </is>
      </c>
      <c r="F83" s="23" t="inlineStr">
        <is>
          <t>2 ans</t>
        </is>
      </c>
      <c r="G83" s="23" t="inlineStr">
        <is>
          <t>TYPE_B</t>
        </is>
      </c>
    </row>
    <row r="84">
      <c r="A84" s="23" t="inlineStr">
        <is>
          <t>PERIM_B</t>
        </is>
      </c>
      <c r="B84" s="23" t="inlineStr">
        <is>
          <t>GRP_B2</t>
        </is>
      </c>
      <c r="C84" s="24" t="n">
        <v>2030</v>
      </c>
      <c r="D84" s="23" t="inlineStr">
        <is>
          <t>INST-027</t>
        </is>
      </c>
      <c r="E84" s="23" t="inlineStr">
        <is>
          <t>Installation A2</t>
        </is>
      </c>
      <c r="F84" s="23" t="inlineStr">
        <is>
          <t>2 ans</t>
        </is>
      </c>
      <c r="G84" s="23" t="inlineStr">
        <is>
          <t>TYPE_E</t>
        </is>
      </c>
    </row>
    <row r="85">
      <c r="A85" s="23" t="inlineStr">
        <is>
          <t>PERIM_B</t>
        </is>
      </c>
      <c r="B85" s="23" t="inlineStr">
        <is>
          <t>GRP_B2</t>
        </is>
      </c>
      <c r="C85" s="24" t="n">
        <v>2026</v>
      </c>
      <c r="D85" s="23" t="inlineStr">
        <is>
          <t>INST-028</t>
        </is>
      </c>
      <c r="E85" s="23" t="inlineStr">
        <is>
          <t>Installation B2</t>
        </is>
      </c>
      <c r="F85" s="23" t="inlineStr">
        <is>
          <t>2 ans</t>
        </is>
      </c>
      <c r="G85" s="23" t="inlineStr">
        <is>
          <t>TYPE_B</t>
        </is>
      </c>
    </row>
    <row r="86">
      <c r="A86" s="23" t="inlineStr">
        <is>
          <t>PERIM_B</t>
        </is>
      </c>
      <c r="B86" s="23" t="inlineStr">
        <is>
          <t>GRP_B2</t>
        </is>
      </c>
      <c r="C86" s="24" t="n">
        <v>2032</v>
      </c>
      <c r="D86" s="23" t="inlineStr">
        <is>
          <t>INST-028</t>
        </is>
      </c>
      <c r="E86" s="23" t="inlineStr">
        <is>
          <t>Installation B2</t>
        </is>
      </c>
      <c r="F86" s="23" t="inlineStr">
        <is>
          <t>2 ans</t>
        </is>
      </c>
      <c r="G86" s="23" t="inlineStr">
        <is>
          <t>TYPE_E</t>
        </is>
      </c>
    </row>
    <row r="87">
      <c r="A87" s="23" t="inlineStr">
        <is>
          <t>PERIM_B</t>
        </is>
      </c>
      <c r="B87" s="23" t="inlineStr">
        <is>
          <t>GRP_B2</t>
        </is>
      </c>
      <c r="C87" s="24" t="n">
        <v>2028</v>
      </c>
      <c r="D87" s="23" t="inlineStr">
        <is>
          <t>INST-029</t>
        </is>
      </c>
      <c r="E87" s="23" t="inlineStr">
        <is>
          <t>Installation C2</t>
        </is>
      </c>
      <c r="F87" s="23" t="inlineStr">
        <is>
          <t>1 an</t>
        </is>
      </c>
      <c r="G87" s="23" t="inlineStr">
        <is>
          <t>TYPE_A</t>
        </is>
      </c>
    </row>
    <row r="88">
      <c r="A88" s="23" t="inlineStr">
        <is>
          <t>PERIM_B</t>
        </is>
      </c>
      <c r="B88" s="23" t="inlineStr">
        <is>
          <t>GRP_B2</t>
        </is>
      </c>
      <c r="C88" s="24" t="n">
        <v>2027</v>
      </c>
      <c r="D88" s="23" t="inlineStr">
        <is>
          <t>INST-029</t>
        </is>
      </c>
      <c r="E88" s="23" t="inlineStr">
        <is>
          <t>Installation C2</t>
        </is>
      </c>
      <c r="F88" s="23" t="inlineStr">
        <is>
          <t>2 ans</t>
        </is>
      </c>
      <c r="G88" s="23" t="inlineStr">
        <is>
          <t>TYPE_B</t>
        </is>
      </c>
    </row>
    <row r="89">
      <c r="A89" s="23" t="inlineStr">
        <is>
          <t>PERIM_B</t>
        </is>
      </c>
      <c r="B89" s="23" t="inlineStr">
        <is>
          <t>GRP_B2</t>
        </is>
      </c>
      <c r="C89" s="24" t="n">
        <v>2031</v>
      </c>
      <c r="D89" s="23" t="inlineStr">
        <is>
          <t>INST-029</t>
        </is>
      </c>
      <c r="E89" s="23" t="inlineStr">
        <is>
          <t>Installation C2</t>
        </is>
      </c>
      <c r="F89" s="23" t="inlineStr">
        <is>
          <t>2 ans</t>
        </is>
      </c>
      <c r="G89" s="23" t="inlineStr">
        <is>
          <t>TYPE_E</t>
        </is>
      </c>
    </row>
    <row r="90">
      <c r="A90" s="23" t="inlineStr">
        <is>
          <t>PERIM_B</t>
        </is>
      </c>
      <c r="B90" s="23" t="inlineStr">
        <is>
          <t>GRP_B2</t>
        </is>
      </c>
      <c r="C90" s="24" t="n">
        <v>2029</v>
      </c>
      <c r="D90" s="23" t="inlineStr">
        <is>
          <t>INST-029</t>
        </is>
      </c>
      <c r="E90" s="23" t="inlineStr">
        <is>
          <t>Installation C2</t>
        </is>
      </c>
      <c r="F90" s="23" t="inlineStr">
        <is>
          <t>3 ans</t>
        </is>
      </c>
      <c r="G90" s="23" t="inlineStr">
        <is>
          <t>TYPE_C</t>
        </is>
      </c>
    </row>
    <row r="91">
      <c r="A91" s="23" t="inlineStr">
        <is>
          <t>PERIM_B</t>
        </is>
      </c>
      <c r="B91" s="23" t="inlineStr">
        <is>
          <t>GRP_B2</t>
        </is>
      </c>
      <c r="C91" s="24" t="n">
        <v>2030</v>
      </c>
      <c r="D91" s="23" t="inlineStr">
        <is>
          <t>INST-030</t>
        </is>
      </c>
      <c r="E91" s="23" t="inlineStr">
        <is>
          <t>Installation D2</t>
        </is>
      </c>
      <c r="F91" s="23" t="inlineStr">
        <is>
          <t>6 ans</t>
        </is>
      </c>
      <c r="G91" s="23" t="inlineStr">
        <is>
          <t>TYPE_D</t>
        </is>
      </c>
    </row>
    <row r="92">
      <c r="A92" s="23" t="inlineStr">
        <is>
          <t>PERIM_B</t>
        </is>
      </c>
      <c r="B92" s="23" t="inlineStr">
        <is>
          <t>GRP_B2</t>
        </is>
      </c>
      <c r="C92" s="24" t="n">
        <v>2032</v>
      </c>
      <c r="D92" s="23" t="inlineStr">
        <is>
          <t>INST-030</t>
        </is>
      </c>
      <c r="E92" s="23" t="inlineStr">
        <is>
          <t>Installation D2</t>
        </is>
      </c>
      <c r="F92" s="23" t="inlineStr">
        <is>
          <t>2 ans</t>
        </is>
      </c>
      <c r="G92" s="23" t="inlineStr">
        <is>
          <t>TYPE_E</t>
        </is>
      </c>
    </row>
    <row r="93">
      <c r="A93" s="23" t="inlineStr">
        <is>
          <t>PERIM_B</t>
        </is>
      </c>
      <c r="B93" s="23" t="inlineStr">
        <is>
          <t>GRP_B2</t>
        </is>
      </c>
      <c r="C93" s="24" t="n">
        <v>2028</v>
      </c>
      <c r="D93" s="23" t="inlineStr">
        <is>
          <t>INST-030</t>
        </is>
      </c>
      <c r="E93" s="23" t="inlineStr">
        <is>
          <t>Installation D2</t>
        </is>
      </c>
      <c r="F93" s="23" t="inlineStr">
        <is>
          <t>1 an</t>
        </is>
      </c>
      <c r="G93" s="23" t="inlineStr">
        <is>
          <t>TYPE_A</t>
        </is>
      </c>
    </row>
    <row r="94">
      <c r="A94" s="23" t="inlineStr">
        <is>
          <t>PERIM_B</t>
        </is>
      </c>
      <c r="B94" s="23" t="inlineStr">
        <is>
          <t>GRP_B2</t>
        </is>
      </c>
      <c r="C94" s="24" t="n">
        <v>2029</v>
      </c>
      <c r="D94" s="23" t="inlineStr">
        <is>
          <t>INST-030</t>
        </is>
      </c>
      <c r="E94" s="23" t="inlineStr">
        <is>
          <t>Installation D2</t>
        </is>
      </c>
      <c r="F94" s="23" t="inlineStr">
        <is>
          <t>3 ans</t>
        </is>
      </c>
      <c r="G94" s="23" t="inlineStr">
        <is>
          <t>TYPE_C</t>
        </is>
      </c>
    </row>
    <row r="95">
      <c r="A95" s="23" t="inlineStr">
        <is>
          <t>PERIM_B</t>
        </is>
      </c>
      <c r="B95" s="23" t="inlineStr">
        <is>
          <t>GRP_B2</t>
        </is>
      </c>
      <c r="C95" s="24" t="n">
        <v>2027</v>
      </c>
      <c r="D95" s="23" t="inlineStr">
        <is>
          <t>INST-031</t>
        </is>
      </c>
      <c r="E95" s="23" t="inlineStr">
        <is>
          <t>Installation E2</t>
        </is>
      </c>
      <c r="F95" s="23" t="inlineStr">
        <is>
          <t>6 ans</t>
        </is>
      </c>
      <c r="G95" s="23" t="inlineStr">
        <is>
          <t>TYPE_D</t>
        </is>
      </c>
    </row>
    <row r="96">
      <c r="A96" s="23" t="inlineStr">
        <is>
          <t>PERIM_B</t>
        </is>
      </c>
      <c r="B96" s="23" t="inlineStr">
        <is>
          <t>GRP_B2</t>
        </is>
      </c>
      <c r="C96" s="24" t="n">
        <v>2032</v>
      </c>
      <c r="D96" s="23" t="inlineStr">
        <is>
          <t>INST-031</t>
        </is>
      </c>
      <c r="E96" s="23" t="inlineStr">
        <is>
          <t>Installation E2</t>
        </is>
      </c>
      <c r="F96" s="23" t="inlineStr">
        <is>
          <t>2 ans</t>
        </is>
      </c>
      <c r="G96" s="23" t="inlineStr">
        <is>
          <t>TYPE_B</t>
        </is>
      </c>
    </row>
    <row r="97">
      <c r="A97" s="23" t="inlineStr">
        <is>
          <t>PERIM_B</t>
        </is>
      </c>
      <c r="B97" s="23" t="inlineStr">
        <is>
          <t>GRP_B2</t>
        </is>
      </c>
      <c r="C97" s="24" t="n">
        <v>2028</v>
      </c>
      <c r="D97" s="23" t="inlineStr">
        <is>
          <t>INST-031</t>
        </is>
      </c>
      <c r="E97" s="23" t="inlineStr">
        <is>
          <t>Installation E2</t>
        </is>
      </c>
      <c r="F97" s="23" t="inlineStr">
        <is>
          <t>2 ans</t>
        </is>
      </c>
      <c r="G97" s="23" t="inlineStr">
        <is>
          <t>TYPE_E</t>
        </is>
      </c>
    </row>
    <row r="98">
      <c r="A98" s="23" t="inlineStr">
        <is>
          <t>PERIM_B</t>
        </is>
      </c>
      <c r="B98" s="23" t="inlineStr">
        <is>
          <t>GRP_B2</t>
        </is>
      </c>
      <c r="C98" s="24" t="n">
        <v>2029</v>
      </c>
      <c r="D98" s="23" t="inlineStr">
        <is>
          <t>INST-032</t>
        </is>
      </c>
      <c r="E98" s="23" t="inlineStr">
        <is>
          <t>Installation F2</t>
        </is>
      </c>
      <c r="F98" s="23" t="inlineStr">
        <is>
          <t>2 ans</t>
        </is>
      </c>
      <c r="G98" s="23" t="inlineStr">
        <is>
          <t>TYPE_B</t>
        </is>
      </c>
    </row>
    <row r="99">
      <c r="A99" s="23" t="inlineStr">
        <is>
          <t>PERIM_B</t>
        </is>
      </c>
      <c r="B99" s="23" t="inlineStr">
        <is>
          <t>GRP_B2</t>
        </is>
      </c>
      <c r="C99" s="24" t="n">
        <v>2027</v>
      </c>
      <c r="D99" s="23" t="inlineStr">
        <is>
          <t>INST-032</t>
        </is>
      </c>
      <c r="E99" s="23" t="inlineStr">
        <is>
          <t>Installation F2</t>
        </is>
      </c>
      <c r="F99" s="23" t="inlineStr">
        <is>
          <t>1 an</t>
        </is>
      </c>
      <c r="G99" s="23" t="inlineStr">
        <is>
          <t>TYPE_A</t>
        </is>
      </c>
    </row>
    <row r="100">
      <c r="A100" s="23" t="inlineStr">
        <is>
          <t>PERIM_C</t>
        </is>
      </c>
      <c r="B100" s="23" t="inlineStr">
        <is>
          <t>GRP_C1</t>
        </is>
      </c>
      <c r="C100" s="24" t="n">
        <v>2030</v>
      </c>
      <c r="D100" s="23" t="inlineStr">
        <is>
          <t>INST-033</t>
        </is>
      </c>
      <c r="E100" s="23" t="inlineStr">
        <is>
          <t>Installation G2</t>
        </is>
      </c>
      <c r="F100" s="23" t="inlineStr">
        <is>
          <t>2 ans</t>
        </is>
      </c>
      <c r="G100" s="23" t="inlineStr">
        <is>
          <t>TYPE_B</t>
        </is>
      </c>
    </row>
    <row r="101">
      <c r="A101" s="23" t="inlineStr">
        <is>
          <t>PERIM_C</t>
        </is>
      </c>
      <c r="B101" s="23" t="inlineStr">
        <is>
          <t>GRP_C1</t>
        </is>
      </c>
      <c r="C101" s="24" t="n">
        <v>2027</v>
      </c>
      <c r="D101" s="23" t="inlineStr">
        <is>
          <t>INST-033</t>
        </is>
      </c>
      <c r="E101" s="23" t="inlineStr">
        <is>
          <t>Installation G2</t>
        </is>
      </c>
      <c r="F101" s="23" t="inlineStr">
        <is>
          <t>6 ans</t>
        </is>
      </c>
      <c r="G101" s="23" t="inlineStr">
        <is>
          <t>TYPE_D</t>
        </is>
      </c>
    </row>
    <row r="102">
      <c r="A102" s="23" t="inlineStr">
        <is>
          <t>PERIM_C</t>
        </is>
      </c>
      <c r="B102" s="23" t="inlineStr">
        <is>
          <t>GRP_C1</t>
        </is>
      </c>
      <c r="C102" s="24" t="n">
        <v>2026</v>
      </c>
      <c r="D102" s="23" t="inlineStr">
        <is>
          <t>INST-033</t>
        </is>
      </c>
      <c r="E102" s="23" t="inlineStr">
        <is>
          <t>Installation G2</t>
        </is>
      </c>
      <c r="F102" s="23" t="inlineStr">
        <is>
          <t>3 ans</t>
        </is>
      </c>
      <c r="G102" s="23" t="inlineStr">
        <is>
          <t>TYPE_C</t>
        </is>
      </c>
    </row>
    <row r="103">
      <c r="A103" s="23" t="inlineStr">
        <is>
          <t>PERIM_C</t>
        </is>
      </c>
      <c r="B103" s="23" t="inlineStr">
        <is>
          <t>GRP_C1</t>
        </is>
      </c>
      <c r="C103" s="24" t="n">
        <v>2028</v>
      </c>
      <c r="D103" s="23" t="inlineStr">
        <is>
          <t>INST-034</t>
        </is>
      </c>
      <c r="E103" s="23" t="inlineStr">
        <is>
          <t>Installation H2</t>
        </is>
      </c>
      <c r="F103" s="23" t="inlineStr">
        <is>
          <t>1 an</t>
        </is>
      </c>
      <c r="G103" s="23" t="inlineStr">
        <is>
          <t>TYPE_A</t>
        </is>
      </c>
    </row>
    <row r="104">
      <c r="A104" s="23" t="inlineStr">
        <is>
          <t>PERIM_C</t>
        </is>
      </c>
      <c r="B104" s="23" t="inlineStr">
        <is>
          <t>GRP_C1</t>
        </is>
      </c>
      <c r="C104" s="24" t="n">
        <v>2026</v>
      </c>
      <c r="D104" s="23" t="inlineStr">
        <is>
          <t>INST-034</t>
        </is>
      </c>
      <c r="E104" s="23" t="inlineStr">
        <is>
          <t>Installation H2</t>
        </is>
      </c>
      <c r="F104" s="23" t="inlineStr">
        <is>
          <t>2 ans</t>
        </is>
      </c>
      <c r="G104" s="23" t="inlineStr">
        <is>
          <t>TYPE_E</t>
        </is>
      </c>
    </row>
    <row r="105">
      <c r="A105" s="23" t="inlineStr">
        <is>
          <t>PERIM_C</t>
        </is>
      </c>
      <c r="B105" s="23" t="inlineStr">
        <is>
          <t>GRP_C1</t>
        </is>
      </c>
      <c r="C105" s="24" t="n">
        <v>2031</v>
      </c>
      <c r="D105" s="23" t="inlineStr">
        <is>
          <t>INST-035</t>
        </is>
      </c>
      <c r="E105" s="23" t="inlineStr">
        <is>
          <t>Installation I2</t>
        </is>
      </c>
      <c r="F105" s="23" t="inlineStr">
        <is>
          <t>6 ans</t>
        </is>
      </c>
      <c r="G105" s="23" t="inlineStr">
        <is>
          <t>TYPE_D</t>
        </is>
      </c>
    </row>
    <row r="106">
      <c r="A106" s="23" t="inlineStr">
        <is>
          <t>PERIM_C</t>
        </is>
      </c>
      <c r="B106" s="23" t="inlineStr">
        <is>
          <t>GRP_C1</t>
        </is>
      </c>
      <c r="C106" s="24" t="n">
        <v>2032</v>
      </c>
      <c r="D106" s="23" t="inlineStr">
        <is>
          <t>INST-035</t>
        </is>
      </c>
      <c r="E106" s="23" t="inlineStr">
        <is>
          <t>Installation I2</t>
        </is>
      </c>
      <c r="F106" s="23" t="inlineStr">
        <is>
          <t>3 ans</t>
        </is>
      </c>
      <c r="G106" s="23" t="inlineStr">
        <is>
          <t>TYPE_C</t>
        </is>
      </c>
    </row>
    <row r="107">
      <c r="A107" s="23" t="inlineStr">
        <is>
          <t>PERIM_C</t>
        </is>
      </c>
      <c r="B107" s="23" t="inlineStr">
        <is>
          <t>GRP_C1</t>
        </is>
      </c>
      <c r="C107" s="24" t="n">
        <v>2030</v>
      </c>
      <c r="D107" s="23" t="inlineStr">
        <is>
          <t>INST-036</t>
        </is>
      </c>
      <c r="E107" s="23" t="inlineStr">
        <is>
          <t>Installation J2</t>
        </is>
      </c>
      <c r="F107" s="23" t="inlineStr">
        <is>
          <t>2 ans</t>
        </is>
      </c>
      <c r="G107" s="23" t="inlineStr">
        <is>
          <t>TYPE_B</t>
        </is>
      </c>
    </row>
    <row r="108">
      <c r="A108" s="23" t="inlineStr">
        <is>
          <t>PERIM_C</t>
        </is>
      </c>
      <c r="B108" s="23" t="inlineStr">
        <is>
          <t>GRP_C1</t>
        </is>
      </c>
      <c r="C108" s="24" t="n">
        <v>2028</v>
      </c>
      <c r="D108" s="23" t="inlineStr">
        <is>
          <t>INST-036</t>
        </is>
      </c>
      <c r="E108" s="23" t="inlineStr">
        <is>
          <t>Installation J2</t>
        </is>
      </c>
      <c r="F108" s="23" t="inlineStr">
        <is>
          <t>3 ans</t>
        </is>
      </c>
      <c r="G108" s="23" t="inlineStr">
        <is>
          <t>TYPE_C</t>
        </is>
      </c>
    </row>
    <row r="109">
      <c r="A109" s="23" t="inlineStr">
        <is>
          <t>PERIM_C</t>
        </is>
      </c>
      <c r="B109" s="23" t="inlineStr">
        <is>
          <t>GRP_C1</t>
        </is>
      </c>
      <c r="C109" s="24" t="n">
        <v>2030</v>
      </c>
      <c r="D109" s="23" t="inlineStr">
        <is>
          <t>INST-037</t>
        </is>
      </c>
      <c r="E109" s="23" t="inlineStr">
        <is>
          <t>Installation K2</t>
        </is>
      </c>
      <c r="F109" s="23" t="inlineStr">
        <is>
          <t>2 ans</t>
        </is>
      </c>
      <c r="G109" s="23" t="inlineStr">
        <is>
          <t>TYPE_E</t>
        </is>
      </c>
    </row>
    <row r="110">
      <c r="A110" s="23" t="inlineStr">
        <is>
          <t>PERIM_C</t>
        </is>
      </c>
      <c r="B110" s="23" t="inlineStr">
        <is>
          <t>GRP_C1</t>
        </is>
      </c>
      <c r="C110" s="24" t="n">
        <v>2032</v>
      </c>
      <c r="D110" s="23" t="inlineStr">
        <is>
          <t>INST-037</t>
        </is>
      </c>
      <c r="E110" s="23" t="inlineStr">
        <is>
          <t>Installation K2</t>
        </is>
      </c>
      <c r="F110" s="23" t="inlineStr">
        <is>
          <t>2 ans</t>
        </is>
      </c>
      <c r="G110" s="23" t="inlineStr">
        <is>
          <t>TYPE_E</t>
        </is>
      </c>
    </row>
    <row r="111">
      <c r="A111" s="23" t="inlineStr">
        <is>
          <t>PERIM_C</t>
        </is>
      </c>
      <c r="B111" s="23" t="inlineStr">
        <is>
          <t>GRP_C1</t>
        </is>
      </c>
      <c r="C111" s="24" t="n">
        <v>2028</v>
      </c>
      <c r="D111" s="23" t="inlineStr">
        <is>
          <t>INST-037</t>
        </is>
      </c>
      <c r="E111" s="23" t="inlineStr">
        <is>
          <t>Installation K2</t>
        </is>
      </c>
      <c r="F111" s="23" t="inlineStr">
        <is>
          <t>3 ans</t>
        </is>
      </c>
      <c r="G111" s="23" t="inlineStr">
        <is>
          <t>TYPE_C</t>
        </is>
      </c>
    </row>
    <row r="112">
      <c r="A112" s="23" t="inlineStr">
        <is>
          <t>PERIM_C</t>
        </is>
      </c>
      <c r="B112" s="23" t="inlineStr">
        <is>
          <t>GRP_C1</t>
        </is>
      </c>
      <c r="C112" s="24" t="n">
        <v>2029</v>
      </c>
      <c r="D112" s="23" t="inlineStr">
        <is>
          <t>INST-037</t>
        </is>
      </c>
      <c r="E112" s="23" t="inlineStr">
        <is>
          <t>Installation K2</t>
        </is>
      </c>
      <c r="F112" s="23" t="inlineStr">
        <is>
          <t>2 ans</t>
        </is>
      </c>
      <c r="G112" s="23" t="inlineStr">
        <is>
          <t>TYPE_B</t>
        </is>
      </c>
    </row>
    <row r="113">
      <c r="A113" s="23" t="inlineStr">
        <is>
          <t>PERIM_C</t>
        </is>
      </c>
      <c r="B113" s="23" t="inlineStr">
        <is>
          <t>GRP_C1</t>
        </is>
      </c>
      <c r="C113" s="24" t="n">
        <v>2027</v>
      </c>
      <c r="D113" s="23" t="inlineStr">
        <is>
          <t>INST-038</t>
        </is>
      </c>
      <c r="E113" s="23" t="inlineStr">
        <is>
          <t>Installation L2</t>
        </is>
      </c>
      <c r="F113" s="23" t="inlineStr">
        <is>
          <t>1 an</t>
        </is>
      </c>
      <c r="G113" s="23" t="inlineStr">
        <is>
          <t>TYPE_A</t>
        </is>
      </c>
    </row>
    <row r="114">
      <c r="A114" s="23" t="inlineStr">
        <is>
          <t>PERIM_C</t>
        </is>
      </c>
      <c r="B114" s="23" t="inlineStr">
        <is>
          <t>GRP_C1</t>
        </is>
      </c>
      <c r="C114" s="24" t="n">
        <v>2032</v>
      </c>
      <c r="D114" s="23" t="inlineStr">
        <is>
          <t>INST-038</t>
        </is>
      </c>
      <c r="E114" s="23" t="inlineStr">
        <is>
          <t>Installation L2</t>
        </is>
      </c>
      <c r="F114" s="23" t="inlineStr">
        <is>
          <t>2 ans</t>
        </is>
      </c>
      <c r="G114" s="23" t="inlineStr">
        <is>
          <t>TYPE_B</t>
        </is>
      </c>
    </row>
    <row r="115">
      <c r="A115" s="23" t="inlineStr">
        <is>
          <t>PERIM_C</t>
        </is>
      </c>
      <c r="B115" s="23" t="inlineStr">
        <is>
          <t>GRP_C1</t>
        </is>
      </c>
      <c r="C115" s="24" t="n">
        <v>2031</v>
      </c>
      <c r="D115" s="23" t="inlineStr">
        <is>
          <t>INST-038</t>
        </is>
      </c>
      <c r="E115" s="23" t="inlineStr">
        <is>
          <t>Installation L2</t>
        </is>
      </c>
      <c r="F115" s="23" t="inlineStr">
        <is>
          <t>2 ans</t>
        </is>
      </c>
      <c r="G115" s="23" t="inlineStr">
        <is>
          <t>TYPE_E</t>
        </is>
      </c>
    </row>
    <row r="116">
      <c r="A116" s="23" t="inlineStr">
        <is>
          <t>PERIM_C</t>
        </is>
      </c>
      <c r="B116" s="23" t="inlineStr">
        <is>
          <t>GRP_C1</t>
        </is>
      </c>
      <c r="C116" s="24" t="n">
        <v>2027</v>
      </c>
      <c r="D116" s="23" t="inlineStr">
        <is>
          <t>INST-039</t>
        </is>
      </c>
      <c r="E116" s="23" t="inlineStr">
        <is>
          <t>Installation M2</t>
        </is>
      </c>
      <c r="F116" s="23" t="inlineStr">
        <is>
          <t>2 ans</t>
        </is>
      </c>
      <c r="G116" s="23" t="inlineStr">
        <is>
          <t>TYPE_B</t>
        </is>
      </c>
    </row>
    <row r="117">
      <c r="A117" s="23" t="inlineStr">
        <is>
          <t>PERIM_C</t>
        </is>
      </c>
      <c r="B117" s="23" t="inlineStr">
        <is>
          <t>GRP_C1</t>
        </is>
      </c>
      <c r="C117" s="24" t="n">
        <v>2029</v>
      </c>
      <c r="D117" s="23" t="inlineStr">
        <is>
          <t>INST-039</t>
        </is>
      </c>
      <c r="E117" s="23" t="inlineStr">
        <is>
          <t>Installation M2</t>
        </is>
      </c>
      <c r="F117" s="23" t="inlineStr">
        <is>
          <t>1 an</t>
        </is>
      </c>
      <c r="G117" s="23" t="inlineStr">
        <is>
          <t>TYPE_A</t>
        </is>
      </c>
    </row>
    <row r="118">
      <c r="A118" s="23" t="inlineStr">
        <is>
          <t>PERIM_C</t>
        </is>
      </c>
      <c r="B118" s="23" t="inlineStr">
        <is>
          <t>GRP_C1</t>
        </is>
      </c>
      <c r="C118" s="24" t="n">
        <v>2030</v>
      </c>
      <c r="D118" s="23" t="inlineStr">
        <is>
          <t>INST-039</t>
        </is>
      </c>
      <c r="E118" s="23" t="inlineStr">
        <is>
          <t>Installation M2</t>
        </is>
      </c>
      <c r="F118" s="23" t="inlineStr">
        <is>
          <t>1 an</t>
        </is>
      </c>
      <c r="G118" s="23" t="inlineStr">
        <is>
          <t>TYPE_A</t>
        </is>
      </c>
    </row>
    <row r="119">
      <c r="A119" s="23" t="inlineStr">
        <is>
          <t>PERIM_C</t>
        </is>
      </c>
      <c r="B119" s="23" t="inlineStr">
        <is>
          <t>GRP_C1</t>
        </is>
      </c>
      <c r="C119" s="24" t="n">
        <v>2028</v>
      </c>
      <c r="D119" s="23" t="inlineStr">
        <is>
          <t>INST-039</t>
        </is>
      </c>
      <c r="E119" s="23" t="inlineStr">
        <is>
          <t>Installation M2</t>
        </is>
      </c>
      <c r="F119" s="23" t="inlineStr">
        <is>
          <t>3 ans</t>
        </is>
      </c>
      <c r="G119" s="23" t="inlineStr">
        <is>
          <t>TYPE_C</t>
        </is>
      </c>
    </row>
    <row r="120">
      <c r="A120" s="23" t="inlineStr">
        <is>
          <t>PERIM_C</t>
        </is>
      </c>
      <c r="B120" s="23" t="inlineStr">
        <is>
          <t>GRP_C1</t>
        </is>
      </c>
      <c r="C120" s="24" t="n">
        <v>2028</v>
      </c>
      <c r="D120" s="23" t="inlineStr">
        <is>
          <t>INST-040</t>
        </is>
      </c>
      <c r="E120" s="23" t="inlineStr">
        <is>
          <t>Installation N2</t>
        </is>
      </c>
      <c r="F120" s="23" t="inlineStr">
        <is>
          <t>1 an</t>
        </is>
      </c>
      <c r="G120" s="23" t="inlineStr">
        <is>
          <t>TYPE_A</t>
        </is>
      </c>
    </row>
    <row r="121">
      <c r="A121" s="23" t="inlineStr">
        <is>
          <t>PERIM_C</t>
        </is>
      </c>
      <c r="B121" s="23" t="inlineStr">
        <is>
          <t>GRP_C1</t>
        </is>
      </c>
      <c r="C121" s="24" t="n">
        <v>2028</v>
      </c>
      <c r="D121" s="23" t="inlineStr">
        <is>
          <t>INST-040</t>
        </is>
      </c>
      <c r="E121" s="23" t="inlineStr">
        <is>
          <t>Installation N2</t>
        </is>
      </c>
      <c r="F121" s="23" t="inlineStr">
        <is>
          <t>1 an</t>
        </is>
      </c>
      <c r="G121" s="23" t="inlineStr">
        <is>
          <t>TYPE_A</t>
        </is>
      </c>
    </row>
    <row r="122">
      <c r="A122" s="23" t="inlineStr">
        <is>
          <t>PERIM_C</t>
        </is>
      </c>
      <c r="B122" s="23" t="inlineStr">
        <is>
          <t>GRP_C1</t>
        </is>
      </c>
      <c r="C122" s="24" t="n">
        <v>2027</v>
      </c>
      <c r="D122" s="23" t="inlineStr">
        <is>
          <t>INST-040</t>
        </is>
      </c>
      <c r="E122" s="23" t="inlineStr">
        <is>
          <t>Installation N2</t>
        </is>
      </c>
      <c r="F122" s="23" t="inlineStr">
        <is>
          <t>3 ans</t>
        </is>
      </c>
      <c r="G122" s="23" t="inlineStr">
        <is>
          <t>TYPE_C</t>
        </is>
      </c>
    </row>
    <row r="123">
      <c r="A123" s="23" t="inlineStr">
        <is>
          <t>PERIM_C</t>
        </is>
      </c>
      <c r="B123" s="23" t="inlineStr">
        <is>
          <t>GRP_C1</t>
        </is>
      </c>
      <c r="C123" s="24" t="n">
        <v>2027</v>
      </c>
      <c r="D123" s="23" t="inlineStr">
        <is>
          <t>INST-040</t>
        </is>
      </c>
      <c r="E123" s="23" t="inlineStr">
        <is>
          <t>Installation N2</t>
        </is>
      </c>
      <c r="F123" s="23" t="inlineStr">
        <is>
          <t>1 an</t>
        </is>
      </c>
      <c r="G123" s="23" t="inlineStr">
        <is>
          <t>TYPE_A</t>
        </is>
      </c>
    </row>
  </sheetData>
  <pageMargins left="0.4" right="0.4" top="0.5" bottom="0.5" header="0.5" footer="0.5"/>
  <pageSetup orientation="portrait" paperSize="9" fitToHeight="0" fitToWidth="1"/>
  <headerFooter>
    <oddHeader/>
    <oddFooter>&amp;L&amp;8 Prototype V0.1 – données fictives – la GMAO reste la source de référence&amp;R&amp;8 &amp;A – 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14B4D"/>
    <outlinePr summaryBelow="1" summaryRight="1"/>
    <pageSetUpPr fitToPage="1"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1" customWidth="1" min="3" max="3"/>
    <col width="13" customWidth="1" min="4" max="4"/>
    <col width="16" customWidth="1" min="5" max="5"/>
    <col width="44" customWidth="1" min="6" max="6"/>
    <col width="16" customWidth="1" min="7" max="7"/>
    <col width="3" customWidth="1" min="8" max="8"/>
    <col width="60" customWidth="1" min="9" max="9"/>
  </cols>
  <sheetData>
    <row r="1" ht="30" customHeight="1">
      <c r="A1" s="19" t="inlineStr">
        <is>
          <t>Valeur source</t>
        </is>
      </c>
      <c r="B1" s="19" t="inlineStr">
        <is>
          <t>Libellé affiché</t>
        </is>
      </c>
      <c r="C1" s="19" t="inlineStr">
        <is>
          <t>Famille</t>
        </is>
      </c>
      <c r="D1" s="19" t="inlineStr">
        <is>
          <t>Périodicité indicative</t>
        </is>
      </c>
      <c r="E1" s="19" t="inlineStr">
        <is>
          <t>Référence technique fictive</t>
        </is>
      </c>
      <c r="F1" s="19" t="inlineStr">
        <is>
          <t>Description courte</t>
        </is>
      </c>
      <c r="G1" s="19" t="inlineStr">
        <is>
          <t>Statut</t>
        </is>
      </c>
      <c r="I1" s="25" t="inlineStr">
        <is>
          <t>Comment ce référentiel est utilisé</t>
        </is>
      </c>
    </row>
    <row r="2" ht="33" customHeight="1">
      <c r="A2" s="26" t="inlineStr">
        <is>
          <t>TYPE_A</t>
        </is>
      </c>
      <c r="B2" s="26" t="inlineStr">
        <is>
          <t>Contrôle annuel</t>
        </is>
      </c>
      <c r="C2" s="26" t="inlineStr">
        <is>
          <t>Contrôle</t>
        </is>
      </c>
      <c r="D2" s="26" t="inlineStr">
        <is>
          <t>1 an</t>
        </is>
      </c>
      <c r="E2" s="26" t="inlineStr">
        <is>
          <t>REF-001</t>
        </is>
      </c>
      <c r="F2" s="26" t="inlineStr">
        <is>
          <t>Contrôle périodique de démonstration.</t>
        </is>
      </c>
      <c r="G2" s="26" t="inlineStr">
        <is>
          <t>Validé pour démo</t>
        </is>
      </c>
      <c r="I2" s="27" t="inlineStr">
        <is>
          <t>Les colonnes Opération, Famille, Référence technique et Statut de 01_SUIVI_2027 sont lues ici à partir du code « Valeur source ».</t>
        </is>
      </c>
    </row>
    <row r="3" ht="33" customHeight="1">
      <c r="A3" s="26" t="inlineStr">
        <is>
          <t>TYPE_B</t>
        </is>
      </c>
      <c r="B3" s="26" t="inlineStr">
        <is>
          <t>Essai de conformité</t>
        </is>
      </c>
      <c r="C3" s="26" t="inlineStr">
        <is>
          <t>Contrôle</t>
        </is>
      </c>
      <c r="D3" s="26" t="inlineStr">
        <is>
          <t>2 ans</t>
        </is>
      </c>
      <c r="E3" s="26" t="inlineStr">
        <is>
          <t>REF-002</t>
        </is>
      </c>
      <c r="F3" s="26" t="inlineStr">
        <is>
          <t>Essai périodique de démonstration.</t>
        </is>
      </c>
      <c r="G3" s="26" t="inlineStr">
        <is>
          <t>Validé pour démo</t>
        </is>
      </c>
      <c r="I3" s="27" t="inlineStr">
        <is>
          <t>Corriger un libellé ici le corrige partout dans la vue.</t>
        </is>
      </c>
    </row>
    <row r="4" ht="33" customHeight="1">
      <c r="A4" s="26" t="inlineStr">
        <is>
          <t>TYPE_C</t>
        </is>
      </c>
      <c r="B4" s="26" t="inlineStr">
        <is>
          <t>Contrôle filtre</t>
        </is>
      </c>
      <c r="C4" s="26" t="inlineStr">
        <is>
          <t>Contrôle</t>
        </is>
      </c>
      <c r="D4" s="26" t="inlineStr">
        <is>
          <t>3 ans</t>
        </is>
      </c>
      <c r="E4" s="26" t="inlineStr">
        <is>
          <t>REF-003</t>
        </is>
      </c>
      <c r="F4" s="26" t="inlineStr">
        <is>
          <t>Contrôle filtre de démonstration.</t>
        </is>
      </c>
      <c r="G4" s="26" t="inlineStr">
        <is>
          <t>Validé pour démo</t>
        </is>
      </c>
      <c r="I4" s="27" t="inlineStr">
        <is>
          <t>Un code de la source absent de ce tableau apparaît « Absent du référentiel ».</t>
        </is>
      </c>
    </row>
    <row r="5" ht="33" customHeight="1">
      <c r="A5" s="26" t="inlineStr">
        <is>
          <t>TYPE_D</t>
        </is>
      </c>
      <c r="B5" s="26" t="inlineStr">
        <is>
          <t>Révision</t>
        </is>
      </c>
      <c r="C5" s="26" t="inlineStr">
        <is>
          <t>Révision</t>
        </is>
      </c>
      <c r="D5" s="26" t="inlineStr">
        <is>
          <t>6 ans</t>
        </is>
      </c>
      <c r="E5" s="26" t="inlineStr">
        <is>
          <t>REF-004</t>
        </is>
      </c>
      <c r="F5" s="26" t="inlineStr">
        <is>
          <t>Révision périodique de démonstration.</t>
        </is>
      </c>
      <c r="G5" s="26" t="inlineStr">
        <is>
          <t>Validé pour démo</t>
        </is>
      </c>
      <c r="I5" s="27" t="inlineStr">
        <is>
          <t>« À confirmer » : information non validée, affichée telle quelle.</t>
        </is>
      </c>
    </row>
    <row r="6" ht="33" customHeight="1">
      <c r="A6" s="26" t="inlineStr">
        <is>
          <t>TYPE_E</t>
        </is>
      </c>
      <c r="B6" s="26" t="inlineStr">
        <is>
          <t>Opération spécifique</t>
        </is>
      </c>
      <c r="C6" s="26" t="inlineStr">
        <is>
          <t>Autre</t>
        </is>
      </c>
      <c r="D6" s="26" t="inlineStr">
        <is>
          <t>2 ans</t>
        </is>
      </c>
      <c r="E6" s="26" t="inlineStr">
        <is>
          <t>À confirmer</t>
        </is>
      </c>
      <c r="F6" s="26" t="inlineStr">
        <is>
          <t>Exemple volontairement incomplet pour tester la gestion des inconnues.</t>
        </is>
      </c>
      <c r="G6" s="26" t="inlineStr">
        <is>
          <t>À confirmer</t>
        </is>
      </c>
    </row>
  </sheetData>
  <conditionalFormatting sqref="A2:G200">
    <cfRule type="expression" priority="1" dxfId="0">
      <formula>A2="À confirmer"</formula>
    </cfRule>
  </conditionalFormatting>
  <pageMargins left="0.4" right="0.4" top="0.5" bottom="0.5" header="0.5" footer="0.5"/>
  <pageSetup orientation="landscape" paperSize="9" fitToHeight="0" fitToWidth="1"/>
  <headerFooter>
    <oddHeader/>
    <oddFooter>&amp;L&amp;8 Prototype V0.1 – données fictives – la GMAO reste la source de référence&amp;R&amp;8 &amp;A – 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14B4D"/>
    <outlinePr summaryBelow="1" summaryRight="1"/>
    <pageSetUpPr fitToPage="1"/>
  </sheetPr>
  <dimension ref="A1:H4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2" customWidth="1" min="4" max="4"/>
    <col width="50" customWidth="1" min="5" max="5"/>
    <col width="11" customWidth="1" min="6" max="6"/>
    <col width="22" customWidth="1" min="7" max="7"/>
    <col width="28" customWidth="1" min="8" max="8"/>
  </cols>
  <sheetData>
    <row r="1" ht="30" customHeight="1">
      <c r="A1" s="1" t="inlineStr">
        <is>
          <t>Avis utilisateurs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5" t="inlineStr">
        <is>
          <t>Vos retours orientent la V0.2. Une ligne = une remarque.</t>
        </is>
      </c>
      <c r="B2" s="2" t="n"/>
      <c r="C2" s="2" t="n"/>
      <c r="D2" s="2" t="n"/>
      <c r="E2" s="2" t="n"/>
      <c r="F2" s="2" t="n"/>
      <c r="G2" s="2" t="n"/>
      <c r="H2" s="2" t="n"/>
    </row>
    <row r="3" ht="3" customHeight="1">
      <c r="A3" s="8" t="n"/>
      <c r="B3" s="8" t="n"/>
      <c r="C3" s="8" t="n"/>
      <c r="D3" s="8" t="n"/>
      <c r="E3" s="8" t="n"/>
      <c r="F3" s="8" t="n"/>
      <c r="G3" s="8" t="n"/>
      <c r="H3" s="8" t="n"/>
    </row>
    <row r="5">
      <c r="A5" s="28" t="inlineStr">
        <is>
          <t>Questions pour guider vos retours</t>
        </is>
      </c>
    </row>
    <row r="6">
      <c r="A6" s="29" t="inlineStr">
        <is>
          <t>•</t>
        </is>
      </c>
      <c r="B6" s="30" t="inlineStr">
        <is>
          <t>Utile</t>
        </is>
      </c>
      <c r="D6" s="31" t="inlineStr">
        <is>
          <t>Quelles colonnes ou informations vous servent vraiment ?</t>
        </is>
      </c>
    </row>
    <row r="7">
      <c r="A7" s="29" t="inlineStr">
        <is>
          <t>•</t>
        </is>
      </c>
      <c r="B7" s="30" t="inlineStr">
        <is>
          <t>Inutile</t>
        </is>
      </c>
      <c r="D7" s="31" t="inlineStr">
        <is>
          <t>Qu'est-ce qui pourrait être retiré ou simplifié ?</t>
        </is>
      </c>
    </row>
    <row r="8">
      <c r="A8" s="29" t="inlineStr">
        <is>
          <t>•</t>
        </is>
      </c>
      <c r="B8" s="30" t="inlineStr">
        <is>
          <t>Information manquante</t>
        </is>
      </c>
      <c r="D8" s="31" t="inlineStr">
        <is>
          <t>Que vous manque-t-il pour préparer l'année ?</t>
        </is>
      </c>
    </row>
    <row r="9">
      <c r="A9" s="29" t="inlineStr">
        <is>
          <t>•</t>
        </is>
      </c>
      <c r="B9" s="30" t="inlineStr">
        <is>
          <t>Filtre indispensable</t>
        </is>
      </c>
      <c r="D9" s="31" t="inlineStr">
        <is>
          <t>Sur quoi devez-vous pouvoir filtrer ou trier ?</t>
        </is>
      </c>
    </row>
    <row r="10">
      <c r="A10" s="29" t="inlineStr">
        <is>
          <t>•</t>
        </is>
      </c>
      <c r="B10" s="30" t="inlineStr">
        <is>
          <t>Besoin spécifique</t>
        </is>
      </c>
      <c r="D10" s="31" t="inlineStr">
        <is>
          <t>Un besoin propre à votre périmètre ou à votre métier ?</t>
        </is>
      </c>
    </row>
    <row r="11">
      <c r="A11" s="29" t="inlineStr">
        <is>
          <t>•</t>
        </is>
      </c>
      <c r="B11" s="30" t="inlineStr">
        <is>
          <t>Saisie / commentaires</t>
        </is>
      </c>
      <c r="D11" s="31" t="inlineStr">
        <is>
          <t>Avez-vous besoin de saisir ou de commenter ? Quoi, et qui ?</t>
        </is>
      </c>
    </row>
    <row r="12">
      <c r="A12" s="29" t="inlineStr">
        <is>
          <t>•</t>
        </is>
      </c>
      <c r="B12" s="30" t="inlineStr">
        <is>
          <t>Donnée GMAO à rechercher</t>
        </is>
      </c>
      <c r="D12" s="31" t="inlineStr">
        <is>
          <t>Quelles données faudrait-il récupérer dans l'extraction GMAO ?</t>
        </is>
      </c>
    </row>
    <row r="14">
      <c r="A14" s="32" t="inlineStr">
        <is>
          <t>Comment remplir : une ligne par remarque dans le tableau ci-dessous (cellules blanches). Thème, Priorité : listes déroulantes. La ligne grisée est un exemple à écraser.</t>
        </is>
      </c>
    </row>
    <row r="16" ht="30" customHeight="1">
      <c r="A16" s="19" t="inlineStr">
        <is>
          <t>Date</t>
        </is>
      </c>
      <c r="B16" s="19" t="inlineStr">
        <is>
          <t>Contributeur (nom, fonction)</t>
        </is>
      </c>
      <c r="C16" s="19" t="inlineStr">
        <is>
          <t>Périmètre / site</t>
        </is>
      </c>
      <c r="D16" s="19" t="inlineStr">
        <is>
          <t>Thème</t>
        </is>
      </c>
      <c r="E16" s="19" t="inlineStr">
        <is>
          <t>Remarque</t>
        </is>
      </c>
      <c r="F16" s="19" t="inlineStr">
        <is>
          <t>Priorité</t>
        </is>
      </c>
      <c r="G16" s="19" t="inlineStr">
        <is>
          <t>Élément concerné (onglet, colonne)</t>
        </is>
      </c>
      <c r="H16" s="19" t="inlineStr">
        <is>
          <t>Suite donnée (équipe projet)</t>
        </is>
      </c>
    </row>
    <row r="17" ht="30" customHeight="1">
      <c r="A17" s="33" t="n">
        <v>46308</v>
      </c>
      <c r="B17" s="34" t="inlineStr">
        <is>
          <t>EXEMPLE – responsable d'exploitation</t>
        </is>
      </c>
      <c r="C17" s="34" t="inlineStr">
        <is>
          <t>PERIM_A</t>
        </is>
      </c>
      <c r="D17" s="34" t="inlineStr">
        <is>
          <t>Filtre indispensable</t>
        </is>
      </c>
      <c r="E17" s="34" t="inlineStr">
        <is>
          <t>Pouvoir filtrer par tournée pour préparer les passages sur le terrain.</t>
        </is>
      </c>
      <c r="F17" s="34" t="inlineStr">
        <is>
          <t>Moyenne</t>
        </is>
      </c>
      <c r="G17" s="34" t="inlineStr">
        <is>
          <t>01_SUIVI_2027 – filtres</t>
        </is>
      </c>
      <c r="H17" s="34" t="inlineStr"/>
    </row>
    <row r="18" ht="30" customHeight="1">
      <c r="A18" s="35" t="n"/>
      <c r="B18" s="36" t="n"/>
      <c r="C18" s="36" t="n"/>
      <c r="D18" s="36" t="n"/>
      <c r="E18" s="36" t="n"/>
      <c r="F18" s="36" t="n"/>
      <c r="G18" s="36" t="n"/>
      <c r="H18" s="36" t="n"/>
    </row>
    <row r="19" ht="30" customHeight="1">
      <c r="A19" s="35" t="n"/>
      <c r="B19" s="36" t="n"/>
      <c r="C19" s="36" t="n"/>
      <c r="D19" s="36" t="n"/>
      <c r="E19" s="36" t="n"/>
      <c r="F19" s="36" t="n"/>
      <c r="G19" s="36" t="n"/>
      <c r="H19" s="36" t="n"/>
    </row>
    <row r="20" ht="30" customHeight="1">
      <c r="A20" s="35" t="n"/>
      <c r="B20" s="36" t="n"/>
      <c r="C20" s="36" t="n"/>
      <c r="D20" s="36" t="n"/>
      <c r="E20" s="36" t="n"/>
      <c r="F20" s="36" t="n"/>
      <c r="G20" s="36" t="n"/>
      <c r="H20" s="36" t="n"/>
    </row>
    <row r="21" ht="30" customHeight="1">
      <c r="A21" s="35" t="n"/>
      <c r="B21" s="36" t="n"/>
      <c r="C21" s="36" t="n"/>
      <c r="D21" s="36" t="n"/>
      <c r="E21" s="36" t="n"/>
      <c r="F21" s="36" t="n"/>
      <c r="G21" s="36" t="n"/>
      <c r="H21" s="36" t="n"/>
    </row>
    <row r="22" ht="30" customHeight="1">
      <c r="A22" s="35" t="n"/>
      <c r="B22" s="36" t="n"/>
      <c r="C22" s="36" t="n"/>
      <c r="D22" s="36" t="n"/>
      <c r="E22" s="36" t="n"/>
      <c r="F22" s="36" t="n"/>
      <c r="G22" s="36" t="n"/>
      <c r="H22" s="36" t="n"/>
    </row>
    <row r="23" ht="30" customHeight="1">
      <c r="A23" s="35" t="n"/>
      <c r="B23" s="36" t="n"/>
      <c r="C23" s="36" t="n"/>
      <c r="D23" s="36" t="n"/>
      <c r="E23" s="36" t="n"/>
      <c r="F23" s="36" t="n"/>
      <c r="G23" s="36" t="n"/>
      <c r="H23" s="36" t="n"/>
    </row>
    <row r="24" ht="30" customHeight="1">
      <c r="A24" s="35" t="n"/>
      <c r="B24" s="36" t="n"/>
      <c r="C24" s="36" t="n"/>
      <c r="D24" s="36" t="n"/>
      <c r="E24" s="36" t="n"/>
      <c r="F24" s="36" t="n"/>
      <c r="G24" s="36" t="n"/>
      <c r="H24" s="36" t="n"/>
    </row>
    <row r="25" ht="30" customHeight="1">
      <c r="A25" s="35" t="n"/>
      <c r="B25" s="36" t="n"/>
      <c r="C25" s="36" t="n"/>
      <c r="D25" s="36" t="n"/>
      <c r="E25" s="36" t="n"/>
      <c r="F25" s="36" t="n"/>
      <c r="G25" s="36" t="n"/>
      <c r="H25" s="36" t="n"/>
    </row>
    <row r="26" ht="30" customHeight="1">
      <c r="A26" s="35" t="n"/>
      <c r="B26" s="36" t="n"/>
      <c r="C26" s="36" t="n"/>
      <c r="D26" s="36" t="n"/>
      <c r="E26" s="36" t="n"/>
      <c r="F26" s="36" t="n"/>
      <c r="G26" s="36" t="n"/>
      <c r="H26" s="36" t="n"/>
    </row>
    <row r="27" ht="30" customHeight="1">
      <c r="A27" s="35" t="n"/>
      <c r="B27" s="36" t="n"/>
      <c r="C27" s="36" t="n"/>
      <c r="D27" s="36" t="n"/>
      <c r="E27" s="36" t="n"/>
      <c r="F27" s="36" t="n"/>
      <c r="G27" s="36" t="n"/>
      <c r="H27" s="36" t="n"/>
    </row>
    <row r="28" ht="30" customHeight="1">
      <c r="A28" s="35" t="n"/>
      <c r="B28" s="36" t="n"/>
      <c r="C28" s="36" t="n"/>
      <c r="D28" s="36" t="n"/>
      <c r="E28" s="36" t="n"/>
      <c r="F28" s="36" t="n"/>
      <c r="G28" s="36" t="n"/>
      <c r="H28" s="36" t="n"/>
    </row>
    <row r="29" ht="30" customHeight="1">
      <c r="A29" s="35" t="n"/>
      <c r="B29" s="36" t="n"/>
      <c r="C29" s="36" t="n"/>
      <c r="D29" s="36" t="n"/>
      <c r="E29" s="36" t="n"/>
      <c r="F29" s="36" t="n"/>
      <c r="G29" s="36" t="n"/>
      <c r="H29" s="36" t="n"/>
    </row>
    <row r="30" ht="30" customHeight="1">
      <c r="A30" s="35" t="n"/>
      <c r="B30" s="36" t="n"/>
      <c r="C30" s="36" t="n"/>
      <c r="D30" s="36" t="n"/>
      <c r="E30" s="36" t="n"/>
      <c r="F30" s="36" t="n"/>
      <c r="G30" s="36" t="n"/>
      <c r="H30" s="36" t="n"/>
    </row>
    <row r="31" ht="30" customHeight="1">
      <c r="A31" s="35" t="n"/>
      <c r="B31" s="36" t="n"/>
      <c r="C31" s="36" t="n"/>
      <c r="D31" s="36" t="n"/>
      <c r="E31" s="36" t="n"/>
      <c r="F31" s="36" t="n"/>
      <c r="G31" s="36" t="n"/>
      <c r="H31" s="36" t="n"/>
    </row>
    <row r="32" ht="30" customHeight="1">
      <c r="A32" s="35" t="n"/>
      <c r="B32" s="36" t="n"/>
      <c r="C32" s="36" t="n"/>
      <c r="D32" s="36" t="n"/>
      <c r="E32" s="36" t="n"/>
      <c r="F32" s="36" t="n"/>
      <c r="G32" s="36" t="n"/>
      <c r="H32" s="36" t="n"/>
    </row>
    <row r="33" ht="30" customHeight="1">
      <c r="A33" s="35" t="n"/>
      <c r="B33" s="36" t="n"/>
      <c r="C33" s="36" t="n"/>
      <c r="D33" s="36" t="n"/>
      <c r="E33" s="36" t="n"/>
      <c r="F33" s="36" t="n"/>
      <c r="G33" s="36" t="n"/>
      <c r="H33" s="36" t="n"/>
    </row>
    <row r="34" ht="30" customHeight="1">
      <c r="A34" s="35" t="n"/>
      <c r="B34" s="36" t="n"/>
      <c r="C34" s="36" t="n"/>
      <c r="D34" s="36" t="n"/>
      <c r="E34" s="36" t="n"/>
      <c r="F34" s="36" t="n"/>
      <c r="G34" s="36" t="n"/>
      <c r="H34" s="36" t="n"/>
    </row>
    <row r="35" ht="30" customHeight="1">
      <c r="A35" s="35" t="n"/>
      <c r="B35" s="36" t="n"/>
      <c r="C35" s="36" t="n"/>
      <c r="D35" s="36" t="n"/>
      <c r="E35" s="36" t="n"/>
      <c r="F35" s="36" t="n"/>
      <c r="G35" s="36" t="n"/>
      <c r="H35" s="36" t="n"/>
    </row>
    <row r="36" ht="30" customHeight="1">
      <c r="A36" s="35" t="n"/>
      <c r="B36" s="36" t="n"/>
      <c r="C36" s="36" t="n"/>
      <c r="D36" s="36" t="n"/>
      <c r="E36" s="36" t="n"/>
      <c r="F36" s="36" t="n"/>
      <c r="G36" s="36" t="n"/>
      <c r="H36" s="36" t="n"/>
    </row>
    <row r="37" ht="30" customHeight="1">
      <c r="A37" s="35" t="n"/>
      <c r="B37" s="36" t="n"/>
      <c r="C37" s="36" t="n"/>
      <c r="D37" s="36" t="n"/>
      <c r="E37" s="36" t="n"/>
      <c r="F37" s="36" t="n"/>
      <c r="G37" s="36" t="n"/>
      <c r="H37" s="36" t="n"/>
    </row>
    <row r="38" ht="30" customHeight="1">
      <c r="A38" s="35" t="n"/>
      <c r="B38" s="36" t="n"/>
      <c r="C38" s="36" t="n"/>
      <c r="D38" s="36" t="n"/>
      <c r="E38" s="36" t="n"/>
      <c r="F38" s="36" t="n"/>
      <c r="G38" s="36" t="n"/>
      <c r="H38" s="36" t="n"/>
    </row>
    <row r="39" ht="30" customHeight="1">
      <c r="A39" s="35" t="n"/>
      <c r="B39" s="36" t="n"/>
      <c r="C39" s="36" t="n"/>
      <c r="D39" s="36" t="n"/>
      <c r="E39" s="36" t="n"/>
      <c r="F39" s="36" t="n"/>
      <c r="G39" s="36" t="n"/>
      <c r="H39" s="36" t="n"/>
    </row>
    <row r="40" ht="30" customHeight="1">
      <c r="A40" s="35" t="n"/>
      <c r="B40" s="36" t="n"/>
      <c r="C40" s="36" t="n"/>
      <c r="D40" s="36" t="n"/>
      <c r="E40" s="36" t="n"/>
      <c r="F40" s="36" t="n"/>
      <c r="G40" s="36" t="n"/>
      <c r="H40" s="36" t="n"/>
    </row>
    <row r="41" ht="30" customHeight="1">
      <c r="A41" s="35" t="n"/>
      <c r="B41" s="36" t="n"/>
      <c r="C41" s="36" t="n"/>
      <c r="D41" s="36" t="n"/>
      <c r="E41" s="36" t="n"/>
      <c r="F41" s="36" t="n"/>
      <c r="G41" s="36" t="n"/>
      <c r="H41" s="36" t="n"/>
    </row>
    <row r="42" ht="30" customHeight="1">
      <c r="A42" s="35" t="n"/>
      <c r="B42" s="36" t="n"/>
      <c r="C42" s="36" t="n"/>
      <c r="D42" s="36" t="n"/>
      <c r="E42" s="36" t="n"/>
      <c r="F42" s="36" t="n"/>
      <c r="G42" s="36" t="n"/>
      <c r="H42" s="36" t="n"/>
    </row>
    <row r="43" ht="30" customHeight="1">
      <c r="A43" s="35" t="n"/>
      <c r="B43" s="36" t="n"/>
      <c r="C43" s="36" t="n"/>
      <c r="D43" s="36" t="n"/>
      <c r="E43" s="36" t="n"/>
      <c r="F43" s="36" t="n"/>
      <c r="G43" s="36" t="n"/>
      <c r="H43" s="36" t="n"/>
    </row>
    <row r="44" ht="30" customHeight="1">
      <c r="A44" s="35" t="n"/>
      <c r="B44" s="36" t="n"/>
      <c r="C44" s="36" t="n"/>
      <c r="D44" s="36" t="n"/>
      <c r="E44" s="36" t="n"/>
      <c r="F44" s="36" t="n"/>
      <c r="G44" s="36" t="n"/>
      <c r="H44" s="36" t="n"/>
    </row>
    <row r="45" ht="30" customHeight="1">
      <c r="A45" s="35" t="n"/>
      <c r="B45" s="36" t="n"/>
      <c r="C45" s="36" t="n"/>
      <c r="D45" s="36" t="n"/>
      <c r="E45" s="36" t="n"/>
      <c r="F45" s="36" t="n"/>
      <c r="G45" s="36" t="n"/>
      <c r="H45" s="36" t="n"/>
    </row>
    <row r="46" ht="30" customHeight="1">
      <c r="A46" s="35" t="n"/>
      <c r="B46" s="36" t="n"/>
      <c r="C46" s="36" t="n"/>
      <c r="D46" s="36" t="n"/>
      <c r="E46" s="36" t="n"/>
      <c r="F46" s="36" t="n"/>
      <c r="G46" s="36" t="n"/>
      <c r="H46" s="36" t="n"/>
    </row>
    <row r="47" ht="30" customHeight="1">
      <c r="A47" s="35" t="n"/>
      <c r="B47" s="36" t="n"/>
      <c r="C47" s="36" t="n"/>
      <c r="D47" s="36" t="n"/>
      <c r="E47" s="36" t="n"/>
      <c r="F47" s="36" t="n"/>
      <c r="G47" s="36" t="n"/>
      <c r="H47" s="36" t="n"/>
    </row>
  </sheetData>
  <dataValidations count="3">
    <dataValidation sqref="D17:D47" showDropDown="0" showInputMessage="1" showErrorMessage="1" allowBlank="1" errorTitle="Thème" error="Choisir un thème dans la liste." promptTitle="Thème" prompt="Utile, inutile, manquant, filtre, besoin, saisie, donnée GMAO…" type="list">
      <formula1>"Utile,Inutile,Information manquante,Filtre indispensable,Besoin spécifique,Saisie / commentaires,Donnée GMAO à rechercher,Autre"</formula1>
    </dataValidation>
    <dataValidation sqref="F17:F47" showDropDown="0" showInputMessage="0" showErrorMessage="1" allowBlank="1" errorTitle="Priorité" error="Haute, Moyenne ou Basse." type="list">
      <formula1>"Haute,Moyenne,Basse"</formula1>
    </dataValidation>
    <dataValidation sqref="A17:A47" showDropDown="0" showInputMessage="0" showErrorMessage="1" allowBlank="1" errorTitle="Date" error="Saisir une date (jj/mm/aaaa)." type="date" operator="greaterThan">
      <formula1>36526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&amp;L&amp;8 Prototype V0.1 – données fictives – la GMAO reste la source de référence&amp;R&amp;8 &amp;A – 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14B4D"/>
    <outlinePr summaryBelow="1" summaryRight="1"/>
    <pageSetUpPr fitToPage="1"/>
  </sheetPr>
  <dimension ref="A1:G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6" customWidth="1" min="3" max="3"/>
    <col width="34" customWidth="1" min="4" max="4"/>
    <col width="34" customWidth="1" min="5" max="5"/>
    <col width="13" customWidth="1" min="6" max="6"/>
    <col width="30" customWidth="1" min="7" max="7"/>
  </cols>
  <sheetData>
    <row r="1" ht="30" customHeight="1">
      <c r="A1" s="1" t="inlineStr">
        <is>
          <t>Points à valider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5" t="inlineStr">
        <is>
          <t>Hypothèses et incohérences relevées dans les sources fictives. Rien n'a été corrigé ni supprimé.</t>
        </is>
      </c>
      <c r="B2" s="2" t="n"/>
      <c r="C2" s="2" t="n"/>
      <c r="D2" s="2" t="n"/>
      <c r="E2" s="2" t="n"/>
      <c r="F2" s="2" t="n"/>
      <c r="G2" s="2" t="n"/>
    </row>
    <row r="3" ht="3" customHeight="1">
      <c r="A3" s="8" t="n"/>
      <c r="B3" s="8" t="n"/>
      <c r="C3" s="8" t="n"/>
      <c r="D3" s="8" t="n"/>
      <c r="E3" s="8" t="n"/>
      <c r="F3" s="8" t="n"/>
      <c r="G3" s="8" t="n"/>
    </row>
    <row r="5" ht="30" customHeight="1">
      <c r="A5" s="19" t="inlineStr">
        <is>
          <t>N°</t>
        </is>
      </c>
      <c r="B5" s="19" t="inlineStr">
        <is>
          <t>Thème</t>
        </is>
      </c>
      <c r="C5" s="19" t="inlineStr">
        <is>
          <t>Constat (dans les sources)</t>
        </is>
      </c>
      <c r="D5" s="19" t="inlineStr">
        <is>
          <t>Traitement dans la V0.1</t>
        </is>
      </c>
      <c r="E5" s="19" t="inlineStr">
        <is>
          <t>Question à trancher</t>
        </is>
      </c>
      <c r="F5" s="19" t="inlineStr">
        <is>
          <t>Statut</t>
        </is>
      </c>
      <c r="G5" s="19" t="inlineStr">
        <is>
          <t>Décision / réponse</t>
        </is>
      </c>
    </row>
    <row r="6" ht="46.5" customHeight="1">
      <c r="A6" s="37" t="n">
        <v>1</v>
      </c>
      <c r="B6" s="38" t="inlineStr">
        <is>
          <t>Référentiel</t>
        </is>
      </c>
      <c r="C6" s="39" t="inlineStr">
        <is>
          <t>TYPE_E « Opération spécifique » : référence technique « À confirmer », statut « À confirmer ». 4 opérations 2027 concernées.</t>
        </is>
      </c>
      <c r="D6" s="39" t="inlineStr">
        <is>
          <t>Libellé affiché tel quel ; référence et statut « À confirmer » (cellules jaunes).</t>
        </is>
      </c>
      <c r="E6" s="39" t="inlineStr">
        <is>
          <t>Quel libellé, quelle famille et quelle référence technique ? Ce type existe-t-il dans la GMAO ?</t>
        </is>
      </c>
      <c r="F6" s="38" t="inlineStr">
        <is>
          <t>À confirmer</t>
        </is>
      </c>
      <c r="G6" s="39" t="n"/>
    </row>
    <row r="7" ht="87" customHeight="1">
      <c r="A7" s="37" t="n">
        <v>2</v>
      </c>
      <c r="B7" s="38" t="inlineStr">
        <is>
          <t>Doublons</t>
        </is>
      </c>
      <c r="C7" s="39" t="inlineStr">
        <is>
          <t>Lignes strictement identiques dans la source : INST-006 / TYPE_A / 2027 (2 lignes) ; INST-010 / TYPE_A / 2027 (2 lignes) ; INST-021 / TYPE_A / 2027 (2 lignes) ; INST-040 / TYPE_A / 2028 (2 lignes) ; INST-020 / TYPE_E / 2029 (2 lignes).</t>
        </is>
      </c>
      <c r="D7" s="39" t="inlineStr">
        <is>
          <t>Toutes les lignes sont conservées ; les 6 lignes 2027 concernées sont signalées « Doublon potentiel ».</t>
        </is>
      </c>
      <c r="E7" s="39" t="inlineStr">
        <is>
          <t>Deux interventions distinctes ou doublon d'extraction ? Quel identifiant unique (n° de gamme, d'OT) l'export GMAO fournira-t-il ?</t>
        </is>
      </c>
      <c r="F7" s="38" t="inlineStr">
        <is>
          <t>À confirmer</t>
        </is>
      </c>
      <c r="G7" s="39" t="n"/>
    </row>
    <row r="8" ht="114" customHeight="1">
      <c r="A8" s="37" t="n">
        <v>3</v>
      </c>
      <c r="B8" s="38" t="inlineStr">
        <is>
          <t>Périodicité</t>
        </is>
      </c>
      <c r="C8" s="39" t="inlineStr">
        <is>
          <t>L'intervalle entre deux occurrences ne correspond pas toujours à la périodicité indiquée, ex. INST-003 Révision « 6 ans » : 2029 puis 2032 ; INST-008 Révision « 6 ans » : 2027 puis 2031 ; INST-009 Essai de conformité « 2 ans » : 2027 puis 2028 ; INST-011 Contrôle annuel « 1 an » : 2027 puis 2029 (7 cas).</t>
        </is>
      </c>
      <c r="D8" s="39" t="inlineStr">
        <is>
          <t>Aucune année n'est recalculée : seules les années présentes dans la source sont affichées.</t>
        </is>
      </c>
      <c r="E8" s="39" t="inlineStr">
        <is>
          <t>La périodicité est-elle indicative ? L'année prévue doit-elle venir uniquement de la GMAO ?</t>
        </is>
      </c>
      <c r="F8" s="38" t="inlineStr">
        <is>
          <t>À confirmer</t>
        </is>
      </c>
      <c r="G8" s="39" t="n"/>
    </row>
    <row r="9" ht="60" customHeight="1">
      <c r="A9" s="37" t="n">
        <v>4</v>
      </c>
      <c r="B9" s="38" t="inlineStr">
        <is>
          <t>Ancien suivi</t>
        </is>
      </c>
      <c r="C9" s="39" t="inlineStr">
        <is>
          <t>Les mêmes codes portent des libellés différents dans l'ancien suivi et dans la source (ex. INST-001 = « Installation Démo 01 » / « Installation A1 »).</t>
        </is>
      </c>
      <c r="D9" s="39" t="inlineStr">
        <is>
          <t>Aucun rapprochement entre l'ancien suivi et la source.</t>
        </is>
      </c>
      <c r="E9" s="39" t="inlineStr">
        <is>
          <t>Le code installation est-il l'identifiant commun fiable entre les outils ?</t>
        </is>
      </c>
      <c r="F9" s="38" t="inlineStr">
        <is>
          <t>À confirmer</t>
        </is>
      </c>
      <c r="G9" s="39" t="n"/>
    </row>
    <row r="10" ht="73.5" customHeight="1">
      <c r="A10" s="37" t="n">
        <v>5</v>
      </c>
      <c r="B10" s="38" t="inlineStr">
        <is>
          <t>Ancien suivi</t>
        </is>
      </c>
      <c r="C10" s="39" t="inlineStr">
        <is>
          <t>Les colonnes « contrôle », « révision » et « contrôle filtre » de l'ancien suivi semblent correspondre à TYPE_A, TYPE_D et TYPE_C, mais aucune table de correspondance ne le confirme.</t>
        </is>
      </c>
      <c r="D10" s="39" t="inlineStr">
        <is>
          <t>Hypothèse non appliquée.</t>
        </is>
      </c>
      <c r="E10" s="39" t="inlineStr">
        <is>
          <t>Confirmer la correspondance avant toute reprise de l'historique.</t>
        </is>
      </c>
      <c r="F10" s="38" t="inlineStr">
        <is>
          <t>À confirmer</t>
        </is>
      </c>
      <c r="G10" s="39" t="n"/>
    </row>
    <row r="11" ht="46.5" customHeight="1">
      <c r="A11" s="37" t="n">
        <v>6</v>
      </c>
      <c r="B11" s="38" t="inlineStr">
        <is>
          <t>Référentiel</t>
        </is>
      </c>
      <c r="C11" s="39" t="inlineStr">
        <is>
          <t>Périmètre et Groupe ne sont fournis que sous forme de codes (PERIM_A, GRP_A1…).</t>
        </is>
      </c>
      <c r="D11" s="39" t="inlineStr">
        <is>
          <t>Codes affichés tels quels.</t>
        </is>
      </c>
      <c r="E11" s="39" t="inlineStr">
        <is>
          <t>Faut-il un référentiel des périmètres et groupes (libellés lisibles, responsables) ?</t>
        </is>
      </c>
      <c r="F11" s="38" t="inlineStr">
        <is>
          <t>À confirmer</t>
        </is>
      </c>
      <c r="G11" s="39" t="n"/>
    </row>
    <row r="12" ht="46.5" customHeight="1">
      <c r="A12" s="37" t="n">
        <v>7</v>
      </c>
      <c r="B12" s="38" t="inlineStr">
        <is>
          <t>Référentiel</t>
        </is>
      </c>
      <c r="C12" s="39" t="inlineStr">
        <is>
          <t>La référence technique est portée par le type d'opération, pas par l'installation.</t>
        </is>
      </c>
      <c r="D12" s="39" t="inlineStr">
        <is>
          <t>Même référence pour toutes les opérations d'un même type.</t>
        </is>
      </c>
      <c r="E12" s="39" t="inlineStr">
        <is>
          <t>Dans la réalité, la référence dépend-elle de l'installation ou du matériel ?</t>
        </is>
      </c>
      <c r="F12" s="38" t="inlineStr">
        <is>
          <t>À confirmer</t>
        </is>
      </c>
      <c r="G12" s="39" t="n"/>
    </row>
    <row r="13" ht="46.5" customHeight="1">
      <c r="A13" s="37" t="n">
        <v>8</v>
      </c>
      <c r="B13" s="38" t="inlineStr">
        <is>
          <t>Granularité</t>
        </is>
      </c>
      <c r="C13" s="39" t="inlineStr">
        <is>
          <t>La source ne donne que l'année ; l'ancien suivi donnait des dates (dernier / prochain passage).</t>
        </is>
      </c>
      <c r="D13" s="39" t="inlineStr">
        <is>
          <t>Vue à l'année, sans mois ni date.</t>
        </is>
      </c>
      <c r="E13" s="39" t="inlineStr">
        <is>
          <t>Un mois ou une date prévisionnelle est-il nécessaire ? Est-il disponible dans la GMAO ?</t>
        </is>
      </c>
      <c r="F13" s="38" t="inlineStr">
        <is>
          <t>À confirmer</t>
        </is>
      </c>
      <c r="G13" s="39" t="n"/>
    </row>
    <row r="14" ht="46.5" customHeight="1">
      <c r="A14" s="37" t="n">
        <v>9</v>
      </c>
      <c r="B14" s="38" t="inlineStr">
        <is>
          <t>Périmètre de la vue</t>
        </is>
      </c>
      <c r="C14" s="39" t="inlineStr">
        <is>
          <t>La source couvre 2026 à 2032 (122 lignes) ; 45 lignes concernent 2027.</t>
        </is>
      </c>
      <c r="D14" s="39" t="inlineStr">
        <is>
          <t>Toutes les années restent dans 02_DONNEES_SOURCE ; la vue n'affiche que 2027.</t>
        </is>
      </c>
      <c r="E14" s="39" t="inlineStr">
        <is>
          <t>Une vue N+1 ou pluriannuelle serait-elle utile ?</t>
        </is>
      </c>
      <c r="F14" s="38" t="inlineStr">
        <is>
          <t>À confirmer</t>
        </is>
      </c>
      <c r="G14" s="39" t="n"/>
    </row>
  </sheetData>
  <dataValidations count="1">
    <dataValidation sqref="F6:F34" showDropDown="0" showInputMessage="0" showErrorMessage="0" allowBlank="1" type="list">
      <formula1>"À confirmer,Validé,Rejeté,Reporté V0.2"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&amp;L&amp;8 Prototype V0.1 – données fictives – la GMAO reste la source de référence&amp;R&amp;8 &amp;A – 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D3DBDB"/>
    <outlinePr summaryBelow="1" summaryRight="1"/>
    <pageSetUpPr fitToPage="1"/>
  </sheetPr>
  <dimension ref="A1:C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44" customWidth="1" min="3" max="3"/>
  </cols>
  <sheetData>
    <row r="1" ht="30" customHeight="1">
      <c r="A1" s="1" t="inlineStr">
        <is>
          <t>Notice</t>
        </is>
      </c>
      <c r="B1" s="2" t="n"/>
      <c r="C1" s="2" t="n"/>
    </row>
    <row r="2" ht="18" customHeight="1">
      <c r="A2" s="5" t="inlineStr">
        <is>
          <t>Prototype V0.1 de suivi annuel de maintenance – à lire avant diffusion.</t>
        </is>
      </c>
      <c r="B2" s="2" t="n"/>
      <c r="C2" s="2" t="n"/>
    </row>
    <row r="3" ht="3" customHeight="1">
      <c r="A3" s="8" t="n"/>
      <c r="B3" s="8" t="n"/>
      <c r="C3" s="8" t="n"/>
    </row>
    <row r="6" ht="22" customHeight="1">
      <c r="A6" s="40" t="inlineStr">
        <is>
          <t>En bref</t>
        </is>
      </c>
      <c r="B6" s="41" t="n"/>
      <c r="C6" s="41" t="n"/>
    </row>
    <row r="7" ht="33" customHeight="1">
      <c r="A7" s="42" t="inlineStr">
        <is>
          <t>Ce classeur répond à une question : « Qu'est-ce que j'ai à faire en maintenance en 2027 ? ». Il sert à recueillir l'avis des responsables avant toute industrialisation.</t>
        </is>
      </c>
    </row>
    <row r="8" ht="33" customHeight="1">
      <c r="A8" s="42" t="inlineStr">
        <is>
          <t>Les données sont 100 % fictives. La future GMAO restera la source officielle : ce fichier n'est qu'une lecture, il ne doit pas devenir une seconde source de vérité (ne pas y corriger les données).</t>
        </is>
      </c>
    </row>
    <row r="10" ht="22" customHeight="1">
      <c r="A10" s="40" t="inlineStr">
        <is>
          <t>Onglets</t>
        </is>
      </c>
      <c r="B10" s="41" t="n"/>
      <c r="C10" s="41" t="n"/>
    </row>
    <row r="11">
      <c r="A11" s="43" t="inlineStr">
        <is>
          <t>Onglet</t>
        </is>
      </c>
      <c r="B11" s="43" t="inlineStr">
        <is>
          <t>Rôle</t>
        </is>
      </c>
      <c r="C11" s="43" t="inlineStr">
        <is>
          <t>Qui le modifie</t>
        </is>
      </c>
    </row>
    <row r="12" ht="33" customHeight="1">
      <c r="A12" s="44" t="inlineStr">
        <is>
          <t>01_SUIVI_2027</t>
        </is>
      </c>
      <c r="B12" s="42" t="inlineStr">
        <is>
          <t>Vue de consultation des opérations de l'année suivie, enrichie par le référentiel.</t>
        </is>
      </c>
      <c r="C12" s="42" t="inlineStr">
        <is>
          <t>Personne : consultation, filtres et tris.</t>
        </is>
      </c>
    </row>
    <row r="13" ht="33" customHeight="1">
      <c r="A13" s="44" t="inlineStr">
        <is>
          <t>02_DONNEES_SOURCE</t>
        </is>
      </c>
      <c r="B13" s="42" t="inlineStr">
        <is>
          <t>Copie tabulaire de l'export (toutes années). Une ligne = une opération sur une installation.</t>
        </is>
      </c>
      <c r="C13" s="42" t="inlineStr">
        <is>
          <t>Remplacé à chaque import. Jamais modifié à la main.</t>
        </is>
      </c>
    </row>
    <row r="14" ht="33" customHeight="1">
      <c r="A14" s="44" t="inlineStr">
        <is>
          <t>03_REFERENTIEL</t>
        </is>
      </c>
      <c r="B14" s="42" t="inlineStr">
        <is>
          <t>Correspondance code source → libellé, famille, référence technique, statut.</t>
        </is>
      </c>
      <c r="C14" s="42" t="inlineStr">
        <is>
          <t>Référent données.</t>
        </is>
      </c>
    </row>
    <row r="15" ht="19.5" customHeight="1">
      <c r="A15" s="44" t="inlineStr">
        <is>
          <t>04_AVIS_UTILISATEURS</t>
        </is>
      </c>
      <c r="B15" s="42" t="inlineStr">
        <is>
          <t>Recueil des retours, une ligne par remarque.</t>
        </is>
      </c>
      <c r="C15" s="42" t="inlineStr">
        <is>
          <t>Tous les testeurs.</t>
        </is>
      </c>
    </row>
    <row r="16" ht="19.5" customHeight="1">
      <c r="A16" s="44" t="inlineStr">
        <is>
          <t>05_POINTS_A_VALIDER</t>
        </is>
      </c>
      <c r="B16" s="42" t="inlineStr">
        <is>
          <t>Hypothèses et incohérences à trancher avant la V0.2.</t>
        </is>
      </c>
      <c r="C16" s="42" t="inlineStr">
        <is>
          <t>Équipe projet.</t>
        </is>
      </c>
    </row>
    <row r="18" ht="22" customHeight="1">
      <c r="A18" s="40" t="inlineStr">
        <is>
          <t>Colonnes du tableau principal</t>
        </is>
      </c>
      <c r="B18" s="41" t="n"/>
      <c r="C18" s="41" t="n"/>
    </row>
    <row r="19">
      <c r="A19" s="43" t="inlineStr">
        <is>
          <t>Colonne</t>
        </is>
      </c>
      <c r="B19" s="43" t="inlineStr">
        <is>
          <t>Origine</t>
        </is>
      </c>
      <c r="C19" s="43" t="inlineStr">
        <is>
          <t>Remarque</t>
        </is>
      </c>
    </row>
    <row r="20" ht="33" customHeight="1">
      <c r="A20" s="44" t="inlineStr">
        <is>
          <t>Périmètre, Groupe</t>
        </is>
      </c>
      <c r="B20" s="42" t="inlineStr">
        <is>
          <t>Source (02) – codes tels qu'exportés.</t>
        </is>
      </c>
      <c r="C20" s="42" t="inlineStr">
        <is>
          <t>Pas de libellé lisible fourni : à confirmer.</t>
        </is>
      </c>
    </row>
    <row r="21" ht="19.5" customHeight="1">
      <c r="A21" s="44" t="inlineStr">
        <is>
          <t>Code installation</t>
        </is>
      </c>
      <c r="B21" s="42" t="inlineStr">
        <is>
          <t>Source (02) – identifiant de l'installation.</t>
        </is>
      </c>
      <c r="C21" s="42" t="inlineStr"/>
    </row>
    <row r="22" ht="19.5" customHeight="1">
      <c r="A22" s="44" t="inlineStr">
        <is>
          <t>Installation</t>
        </is>
      </c>
      <c r="B22" s="42" t="inlineStr">
        <is>
          <t>Source (02) – libellé de l'installation.</t>
        </is>
      </c>
      <c r="C22" s="42" t="inlineStr"/>
    </row>
    <row r="23" ht="19.5" customHeight="1">
      <c r="A23" s="44" t="inlineStr">
        <is>
          <t>Opération</t>
        </is>
      </c>
      <c r="B23" s="42" t="inlineStr">
        <is>
          <t>Référentiel (03) – « Libellé affiché » du code type.</t>
        </is>
      </c>
      <c r="C23" s="42" t="inlineStr">
        <is>
          <t>« À confirmer » si le code est inconnu.</t>
        </is>
      </c>
    </row>
    <row r="24" ht="19.5" customHeight="1">
      <c r="A24" s="44" t="inlineStr">
        <is>
          <t>Famille</t>
        </is>
      </c>
      <c r="B24" s="42" t="inlineStr">
        <is>
          <t>Référentiel (03).</t>
        </is>
      </c>
      <c r="C24" s="42" t="inlineStr"/>
    </row>
    <row r="25" ht="33" customHeight="1">
      <c r="A25" s="44" t="inlineStr">
        <is>
          <t>Périodicité</t>
        </is>
      </c>
      <c r="B25" s="42" t="inlineStr">
        <is>
          <t>Source (02) – texte tel qu'exporté.</t>
        </is>
      </c>
      <c r="C25" s="42" t="inlineStr">
        <is>
          <t>Indicative : aucune année n'est recalculée à partir d'elle.</t>
        </is>
      </c>
    </row>
    <row r="26" ht="19.5" customHeight="1">
      <c r="A26" s="44" t="inlineStr">
        <is>
          <t>Référence technique</t>
        </is>
      </c>
      <c r="B26" s="42" t="inlineStr">
        <is>
          <t>Référentiel (03) – rattachée au type d'opération.</t>
        </is>
      </c>
      <c r="C26" s="42" t="inlineStr"/>
    </row>
    <row r="27" ht="19.5" customHeight="1">
      <c r="A27" s="44" t="inlineStr">
        <is>
          <t>Code type source</t>
        </is>
      </c>
      <c r="B27" s="42" t="inlineStr">
        <is>
          <t>Source (02) – « Type opération source ».</t>
        </is>
      </c>
      <c r="C27" s="42" t="inlineStr">
        <is>
          <t>Garde le lien avec la GMAO.</t>
        </is>
      </c>
    </row>
    <row r="28" ht="33" customHeight="1">
      <c r="A28" s="44" t="inlineStr">
        <is>
          <t>Statut référentiel</t>
        </is>
      </c>
      <c r="B28" s="42" t="inlineStr">
        <is>
          <t>Référentiel (03) – « Statut ».</t>
        </is>
      </c>
      <c r="C28" s="42" t="inlineStr">
        <is>
          <t>« Absent du référentiel » si le code est inconnu.</t>
        </is>
      </c>
    </row>
    <row r="29" ht="60" customHeight="1">
      <c r="A29" s="44" t="inlineStr">
        <is>
          <t>Point de vigilance</t>
        </is>
      </c>
      <c r="B29" s="42" t="inlineStr">
        <is>
          <t>Contrôle calculé.</t>
        </is>
      </c>
      <c r="C29" s="42" t="inlineStr">
        <is>
          <t>« Doublon potentiel » : même installation, même type, même périodicité, même année. « Absente de la source » : la vue n'est plus à jour.</t>
        </is>
      </c>
    </row>
    <row r="31" ht="22" customHeight="1">
      <c r="A31" s="40" t="inlineStr">
        <is>
          <t>Lire le tableau</t>
        </is>
      </c>
      <c r="B31" s="41" t="n"/>
      <c r="C31" s="41" t="n"/>
    </row>
    <row r="32" ht="19.5" customHeight="1">
      <c r="A32" s="42" t="inlineStr">
        <is>
          <t>Filtres et recherche : flèches des en-têtes (zone de recherche intégrée), ou Ctrl + F.</t>
        </is>
      </c>
    </row>
    <row r="33" ht="19.5" customHeight="1">
      <c r="A33" s="42" t="inlineStr">
        <is>
          <t>« Affichées (filtres) » compte les lignes visibles ; les autres indicateurs portent sur toute l'année.</t>
        </is>
      </c>
    </row>
    <row r="34" ht="19.5" customHeight="1">
      <c r="A34" s="42" t="inlineStr">
        <is>
          <t>Jaune = information à confirmer. La couleur ne fait que souligner : le texte de la cellule le dit toujours.</t>
        </is>
      </c>
    </row>
    <row r="35" ht="19.5" customHeight="1">
      <c r="A35" s="42" t="inlineStr">
        <is>
          <t>Seules cellules à modifier dans 01_SUIVI_2027 : la date « Actualisé le » (D6). Rien d'autre n'est à saisir.</t>
        </is>
      </c>
    </row>
    <row r="37" ht="22" customHeight="1">
      <c r="A37" s="40" t="inlineStr">
        <is>
          <t>Actualiser les données</t>
        </is>
      </c>
      <c r="B37" s="41" t="n"/>
      <c r="C37" s="41" t="n"/>
    </row>
    <row r="38" ht="19.5" customHeight="1">
      <c r="A38" s="42" t="inlineStr">
        <is>
          <t>1. Remplacer les lignes de 02_DONNEES_SOURCE par le nouvel export (mêmes colonnes, à partir de A2).</t>
        </is>
      </c>
    </row>
    <row r="39" ht="19.5" customHeight="1">
      <c r="A39" s="42" t="inlineStr">
        <is>
          <t>2. Mettre à jour la date « Actualisé le » (01_SUIVI_2027, cellule D6).</t>
        </is>
      </c>
    </row>
    <row r="40" ht="33" customHeight="1">
      <c r="A40" s="42" t="inlineStr">
        <is>
          <t>3. Lire le contrôle source (01_SUIVI_2027, ligne 6). « VUE À ACTUALISER » signifie que la vue 2027 ne correspond plus à la source : en V0.1, elle est régénérée par le concepteur du prototype (outils/construire_prototype.py).</t>
        </is>
      </c>
    </row>
    <row r="41" ht="33" customHeight="1">
      <c r="A41" s="42" t="inlineStr">
        <is>
          <t>Cible V0.2 : une requête Power Query (export GMAO → filtre sur l'année → fusion avec le référentiel) remplace l'étape 3 ; l'actualisation se fait alors par Données › Actualiser tout.</t>
        </is>
      </c>
    </row>
    <row r="43" ht="22" customHeight="1">
      <c r="A43" s="40" t="inlineStr">
        <is>
          <t>Compatibilité Power BI</t>
        </is>
      </c>
      <c r="B43" s="41" t="n"/>
      <c r="C43" s="41" t="n"/>
    </row>
    <row r="44" ht="33" customHeight="1">
      <c r="A44" s="42" t="inlineStr">
        <is>
          <t>T_Source (02) et T_Referentiel (03) sont des tableaux plats sans cellule fusionnée ni formule. Relation : T_Source[Type opération source] → T_Referentiel[Valeur source]. T_Avis (04) et T_Points (05) sont aussi importables.</t>
        </is>
      </c>
    </row>
  </sheetData>
  <mergeCells count="11">
    <mergeCell ref="A41:C41"/>
    <mergeCell ref="A33:C33"/>
    <mergeCell ref="A44:C44"/>
    <mergeCell ref="A32:C32"/>
    <mergeCell ref="A8:C8"/>
    <mergeCell ref="A40:C40"/>
    <mergeCell ref="A39:C39"/>
    <mergeCell ref="A34:C34"/>
    <mergeCell ref="A35:C35"/>
    <mergeCell ref="A7:C7"/>
    <mergeCell ref="A38:C38"/>
  </mergeCells>
  <pageMargins left="0.4" right="0.4" top="0.5" bottom="0.5" header="0.5" footer="0.5"/>
  <pageSetup orientation="portrait" paperSize="9" fitToHeight="0" fitToWidth="1"/>
  <headerFooter>
    <oddHeader/>
    <oddFooter>&amp;L&amp;8 Prototype V0.1 – données fictives – la GMAO reste la source de référence&amp;R&amp;8 &amp;A –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Prototype V0.1</dc:creator>
  <dc:title xmlns:dc="http://purl.org/dc/elements/1.1/">Prototype suivi maintenance 2027</dc:title>
  <dcterms:created xmlns:dcterms="http://purl.org/dc/terms/" xmlns:xsi="http://www.w3.org/2001/XMLSchema-instance" xsi:type="dcterms:W3CDTF">2026-10-13T14:25:14Z</dcterms:created>
  <dcterms:modified xmlns:dcterms="http://purl.org/dc/terms/" xmlns:xsi="http://www.w3.org/2001/XMLSchema-instance" xsi:type="dcterms:W3CDTF">2026-10-13T14:25:15Z</dcterms:modified>
</cp:coreProperties>
</file>