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2.xml" ContentType="application/vnd.ms-excel.slicer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VISION_GLOBALE" sheetId="1" state="visible" r:id="rId1"/>
    <sheet xmlns:r="http://schemas.openxmlformats.org/officeDocument/2006/relationships" name="02_COUVERTURE_OT" sheetId="2" state="visible" r:id="rId2"/>
    <sheet xmlns:r="http://schemas.openxmlformats.org/officeDocument/2006/relationships" name="03_DETAIL_OT" sheetId="3" state="visible" r:id="rId3"/>
    <sheet xmlns:r="http://schemas.openxmlformats.org/officeDocument/2006/relationships" name="04_PARAMETRES" sheetId="4" state="visible" r:id="rId4"/>
    <sheet xmlns:r="http://schemas.openxmlformats.org/officeDocument/2006/relationships" name="05_NOTICE" sheetId="5" state="visible" r:id="rId5"/>
    <sheet xmlns:r="http://schemas.openxmlformats.org/officeDocument/2006/relationships" name="90_CONTROLES" sheetId="6" state="hidden" r:id="rId6"/>
    <sheet xmlns:r="http://schemas.openxmlformats.org/officeDocument/2006/relationships" name="91_ANOMALIES" sheetId="7" state="hidden" r:id="rId7"/>
    <sheet xmlns:r="http://schemas.openxmlformats.org/officeDocument/2006/relationships" name="92_PROGRAMME" sheetId="8" state="hidden" r:id="rId8"/>
    <sheet xmlns:r="http://schemas.openxmlformats.org/officeDocument/2006/relationships" name="93_RAPPROCHEMENT" sheetId="9" state="hidden" r:id="rId9"/>
    <sheet xmlns:r="http://schemas.openxmlformats.org/officeDocument/2006/relationships" name="94_REFERENTIELS" sheetId="10" state="hidden" r:id="rId10"/>
    <sheet xmlns:r="http://schemas.openxmlformats.org/officeDocument/2006/relationships" name="95_CODE_M" sheetId="11" state="hidden" r:id="rId11"/>
  </sheets>
  <definedNames>
    <definedName name="P_FichierPDM">'04_PARAMETRES'!$C$5</definedName>
    <definedName name="P_FichierGMAO">'04_PARAMETRES'!$C$6</definedName>
    <definedName name="P_Annee">'04_PARAMETRES'!$C$7</definedName>
    <definedName name="P_Dossier">'04_PARAMETRES'!$C$14</definedName>
    <definedName name="P_CheminPDM">'04_PARAMETRES'!$C$15</definedName>
    <definedName name="P_CheminGMAO">'04_PARAMETRES'!$C$16</definedName>
    <definedName name="P_FeuillePDM">'04_PARAMETRES'!$C$17</definedName>
    <definedName name="P_FeuilleGMAO">'04_PARAMETRES'!$C$18</definedName>
    <definedName name="P_LongueurCodePoste">'04_PARAMETRES'!$C$19</definedName>
    <definedName name="P_ActiviteSecours">'04_PARAMETRES'!$C$20</definedName>
    <definedName name="_xlnm.Print_Titles" localSheetId="0">'01_VISION_GLOBALE'!$11:$11</definedName>
    <definedName name="_xlnm.Print_Area" localSheetId="0">'01_VISION_GLOBALE'!$A$1:$L$47</definedName>
    <definedName name="_xlnm.Print_Titles" localSheetId="1">'02_COUVERTURE_OT'!$13:$13</definedName>
    <definedName name="_xlnm.Print_Area" localSheetId="1">'02_COUVERTURE_OT'!$A$1:$P$78</definedName>
    <definedName name="_xlnm.Print_Titles" localSheetId="2">'03_DETAIL_OT'!$1:$1</definedName>
    <definedName name="_xlnm.Print_Area" localSheetId="2">'03_DETAIL_OT'!$A$1:$AL$125</definedName>
    <definedName name="_xlnm.Print_Area" localSheetId="3">'04_PARAMETRES'!$A$1:$D$20</definedName>
    <definedName name="_xlnm.Print_Area" localSheetId="4">'05_NOTICE'!$A$1:$C$32</definedName>
    <definedName name="ExternalData_1" localSheetId="7" hidden="1">'92_PROGRAMME'!$A$1:$S$360</definedName>
    <definedName name="ExternalData_2" localSheetId="0" hidden="1">'01_VISION_GLOBALE'!$A$11:$L$47</definedName>
    <definedName name="ExternalData_3" localSheetId="2" hidden="1">'03_DETAIL_OT'!$A$1:$AL$125</definedName>
    <definedName name="ExternalData_4" localSheetId="8" hidden="1">'93_RAPPROCHEMENT'!$A$1:$H$37</definedName>
    <definedName name="ExternalData_5" localSheetId="5" hidden="1">'90_CONTROLES'!$A$1:$H$42</definedName>
    <definedName name="ExternalData_6" localSheetId="6" hidden="1">'91_ANOMALIES'!$A$1:$H$28</definedName>
    <definedName name="Segment_Site_Vision">#N/A</definedName>
    <definedName name="Segment_Equipe_Vision">#N/A</definedName>
    <definedName name="Segment_Typologie_Vision">#N/A</definedName>
    <definedName name="Segment_Site_OT">#N/A</definedName>
    <definedName name="Segment_Equipe_OT">#N/A</definedName>
    <definedName name="Segment_Annee_OT">#N/A</definedName>
  </definedNames>
  <calcPr calcId="124519" fullCalcOnLoad="1"/>
  <pivotCaches>
    <pivotCache xmlns:r="http://schemas.openxmlformats.org/officeDocument/2006/relationships" cacheId="1" r:id="rId16"/>
  </pivotCaches>
  <extLst>
    <ext xmlns:x14="http://schemas.microsoft.com/office/spreadsheetml/2009/9/main" uri="{BBE1A952-AA13-448e-AADC-164F8A28A991}">
      <x14:slicerCaches>
        <x14:slicerCache xmlns:r="http://schemas.openxmlformats.org/officeDocument/2006/relationships" r:id="rId20"/>
        <x14:slicerCache xmlns:r="http://schemas.openxmlformats.org/officeDocument/2006/relationships" r:id="rId21"/>
        <x14:slicerCache xmlns:r="http://schemas.openxmlformats.org/officeDocument/2006/relationships" r:id="rId22"/>
      </x14:slicerCaches>
    </ext>
    <ext xmlns:x15="http://schemas.microsoft.com/office/spreadsheetml/2010/11/main" uri="{46BE6895-7355-4a93-B00E-2C351335B9C9}">
      <x15:slicerCaches xmlns:x14="http://schemas.microsoft.com/office/spreadsheetml/2009/9/main">
        <x14:slicerCache xmlns:r="http://schemas.openxmlformats.org/officeDocument/2006/relationships" r:id="rId17"/>
        <x14:slicerCache xmlns:r="http://schemas.openxmlformats.org/officeDocument/2006/relationships" r:id="rId18"/>
        <x14:slicerCache xmlns:r="http://schemas.openxmlformats.org/officeDocument/2006/relationships" r:id="rId19"/>
      </x15:slicerCaches>
    </ext>
  </extLst>
</workbook>
</file>

<file path=xl/connections.xml><?xml version="1.0" encoding="utf-8"?>
<connections xmlns="http://schemas.openxmlformats.org/spreadsheetml/2006/main">
  <connection id="1" keepAlive="1" name="Requête - PDM_Normalise" description="Connexion à la requête « PDM_Normalise » dans le classeur." type="5" refreshedVersion="8" background="0" saveData="1">
    <dbPr connection="Provider=Microsoft.Mashup.OleDb.1;Data Source=$Workbook$;Location=PDM_Normalise;Extended Properties=&quot;&quot;" command="SELECT * FROM [PDM_Normalise]"/>
  </connection>
  <connection id="2" keepAlive="1" name="Requête - Vision_Globale" description="Connexion à la requête « Vision_Globale » dans le classeur." type="5" refreshedVersion="8" background="0" saveData="1">
    <dbPr connection="Provider=Microsoft.Mashup.OleDb.1;Data Source=$Workbook$;Location=Vision_Globale;Extended Properties=&quot;&quot;" command="SELECT * FROM [Vision_Globale]"/>
  </connection>
  <connection id="3" keepAlive="1" name="Requête - GMAO_Lignes" description="Connexion à la requête « GMAO_Lignes » dans le classeur." type="5" refreshedVersion="8" background="0">
    <dbPr connection="Provider=Microsoft.Mashup.OleDb.1;Data Source=$Workbook$;Location=GMAO_Lignes;Extended Properties=&quot;&quot;" command="SELECT * FROM [GMAO_Lignes]"/>
  </connection>
  <connection id="4" keepAlive="1" name="Requête - OT_Detail" description="Connexion à la requête « OT_Detail » dans le classeur." type="5" refreshedVersion="8" background="0" saveData="1">
    <dbPr connection="Provider=Microsoft.Mashup.OleDb.1;Data Source=$Workbook$;Location=OT_Detail;Extended Properties=&quot;&quot;" command="SELECT * FROM [OT_Detail]"/>
  </connection>
  <connection id="5" keepAlive="1" name="Requête - Rapprochement" description="Connexion à la requête « Rapprochement » dans le classeur." type="5" refreshedVersion="8" background="0" saveData="1">
    <dbPr connection="Provider=Microsoft.Mashup.OleDb.1;Data Source=$Workbook$;Location=Rapprochement;Extended Properties=&quot;&quot;" command="SELECT * FROM [Rapprochement]"/>
  </connection>
  <connection id="6" keepAlive="1" name="Requête - Controles" description="Connexion à la requête « Controles » dans le classeur." type="5" refreshedVersion="8" background="0" saveData="1">
    <dbPr connection="Provider=Microsoft.Mashup.OleDb.1;Data Source=$Workbook$;Location=Controles;Extended Properties=&quot;&quot;" command="SELECT * FROM [Controles]"/>
  </connection>
  <connection id="7" keepAlive="1" name="Requête - Anomalies" description="Connexion à la requête « Anomalies » dans le classeur." type="5" refreshedVersion="8" background="0" saveData="1">
    <dbPr connection="Provider=Microsoft.Mashup.OleDb.1;Data Source=$Workbook$;Location=Anomalies;Extended Properties=&quot;&quot;" command="SELECT * FROM [Anomalies]"/>
  </connection>
</connections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dd/mm/yyyy hh:mm"/>
  </numFmts>
  <fonts count="27">
    <font>
      <sz val="10"/>
      <name val="Century Gothic"/>
      <family val="2"/>
    </font>
    <font>
      <b val="1"/>
      <sz val="18"/>
      <color rgb="00FFFFFF"/>
      <name val="Century Gothic"/>
    </font>
    <font>
      <sz val="9"/>
      <color rgb="00FFFFFF"/>
      <name val="Century Gothic"/>
    </font>
    <font>
      <b val="1"/>
      <sz val="9"/>
      <color rgb="00FFC600"/>
      <name val="Century Gothic"/>
    </font>
    <font>
      <i val="1"/>
      <sz val="9"/>
      <color rgb="00FFFFFF"/>
      <name val="Century Gothic"/>
    </font>
    <font>
      <b val="1"/>
      <sz val="8"/>
      <color rgb="005F6B6B"/>
      <name val="Century Gothic"/>
    </font>
    <font>
      <b val="1"/>
      <sz val="18"/>
      <color rgb="00214B4D"/>
      <name val="Century Gothic"/>
    </font>
    <font>
      <i val="1"/>
      <sz val="8.5"/>
      <color rgb="005F6B6B"/>
      <name val="Century Gothic"/>
    </font>
    <font>
      <b val="1"/>
      <sz val="9.5"/>
      <color rgb="00FFFFFF"/>
      <name val="Century Gothic"/>
    </font>
    <font>
      <sz val="10"/>
      <color rgb="002B2B2B"/>
      <name val="Century Gothic"/>
    </font>
    <font>
      <b val="1"/>
      <sz val="10"/>
      <color rgb="00214B4D"/>
      <name val="Century Gothic"/>
    </font>
    <font>
      <b val="1"/>
      <sz val="11"/>
      <color rgb="00214B4D"/>
      <name val="Century Gothic"/>
    </font>
    <font>
      <b val="1"/>
      <sz val="9"/>
      <color rgb="00214B4D"/>
      <name val="Century Gothic"/>
    </font>
    <font>
      <b val="1"/>
      <sz val="16"/>
      <color rgb="00214B4D"/>
      <name val="Century Gothic"/>
    </font>
    <font>
      <b val="1"/>
      <sz val="9.5"/>
      <color rgb="00214B4D"/>
      <name val="Century Gothic"/>
    </font>
    <font>
      <sz val="9.5"/>
      <color rgb="002B2B2B"/>
      <name val="Century Gothic"/>
    </font>
    <font>
      <b val="1"/>
      <sz val="9.5"/>
      <color rgb="002B2B2B"/>
      <name val="Century Gothic"/>
    </font>
    <font>
      <b val="1"/>
      <sz val="16"/>
      <color rgb="00FFFFFF"/>
      <name val="Century Gothic"/>
    </font>
    <font>
      <b val="1"/>
      <sz val="11"/>
      <color rgb="002B2B2B"/>
      <name val="Century Gothic"/>
    </font>
    <font>
      <sz val="11"/>
      <color rgb="002B2B2B"/>
      <name val="Century Gothic"/>
    </font>
    <font>
      <b val="1"/>
      <sz val="12"/>
      <color rgb="00214B4D"/>
      <name val="Century Gothic"/>
    </font>
    <font>
      <b val="1"/>
      <sz val="20"/>
      <color rgb="00214B4D"/>
      <name val="Century Gothic"/>
    </font>
    <font>
      <b val="1"/>
      <sz val="9.5"/>
      <color rgb="005F6B6B"/>
      <name val="Century Gothic"/>
    </font>
    <font>
      <sz val="9"/>
      <color rgb="005F6B6B"/>
      <name val="Century Gothic"/>
    </font>
    <font>
      <sz val="9"/>
      <color rgb="002B2B2B"/>
      <name val="Century Gothic"/>
    </font>
    <font>
      <i val="1"/>
      <sz val="8"/>
      <color rgb="005F6B6B"/>
      <name val="Century Gothic"/>
    </font>
    <font>
      <sz val="9"/>
      <color rgb="002B2B2B"/>
      <name val="Consolas"/>
    </font>
  </fonts>
  <fills count="7">
    <fill>
      <patternFill/>
    </fill>
    <fill>
      <patternFill patternType="gray125"/>
    </fill>
    <fill>
      <patternFill patternType="solid">
        <fgColor rgb="00214B4D"/>
        <bgColor rgb="00214B4D"/>
      </patternFill>
    </fill>
    <fill>
      <patternFill patternType="solid">
        <fgColor rgb="00FFC600"/>
        <bgColor rgb="00FFC600"/>
      </patternFill>
    </fill>
    <fill>
      <patternFill patternType="solid">
        <fgColor rgb="00E9EDED"/>
        <bgColor rgb="00E9EDED"/>
      </patternFill>
    </fill>
    <fill>
      <patternFill patternType="solid">
        <fgColor rgb="00FFF4CC"/>
        <bgColor rgb="00FFF4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medium">
        <color rgb="00FFFFFF"/>
      </left>
      <right style="medium">
        <color rgb="00FFFFFF"/>
      </right>
    </border>
    <border>
      <left style="thin">
        <color rgb="00D3DBDB"/>
      </left>
      <right style="thin">
        <color rgb="00D3DBDB"/>
      </right>
      <top style="thin">
        <color rgb="00D3DBDB"/>
      </top>
      <bottom style="thin">
        <color rgb="00D3DBDB"/>
      </bottom>
    </border>
    <border/>
    <border>
      <bottom style="thin">
        <color rgb="00D3DBDB"/>
      </bottom>
    </border>
    <border>
      <bottom style="thin">
        <color rgb="00FFC6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0" fillId="3" borderId="0" pivotButton="0" quotePrefix="0" xfId="0"/>
    <xf numFmtId="1" fontId="5" fillId="4" borderId="1" applyAlignment="1" pivotButton="0" quotePrefix="0" xfId="0">
      <alignment horizontal="center" vertical="bottom" wrapText="1"/>
    </xf>
    <xf numFmtId="0" fontId="0" fillId="4" borderId="1" pivotButton="0" quotePrefix="0" xfId="0"/>
    <xf numFmtId="1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 indent="1"/>
    </xf>
    <xf numFmtId="0" fontId="8" fillId="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vertical="center" indent="1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65" fontId="9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17" fillId="2" borderId="0" applyAlignment="1" pivotButton="0" quotePrefix="0" xfId="0">
      <alignment vertical="bottom" indent="1"/>
    </xf>
    <xf numFmtId="0" fontId="2" fillId="2" borderId="0" applyAlignment="1" pivotButton="0" quotePrefix="0" xfId="0">
      <alignment vertical="center" indent="1"/>
    </xf>
    <xf numFmtId="0" fontId="11" fillId="0" borderId="0" applyAlignment="1" pivotButton="0" quotePrefix="0" xfId="0">
      <alignment vertical="center"/>
    </xf>
    <xf numFmtId="49" fontId="18" fillId="6" borderId="2" applyAlignment="1" pivotButton="0" quotePrefix="0" xfId="0">
      <alignment horizontal="left" vertical="center" indent="1"/>
    </xf>
    <xf numFmtId="0" fontId="7" fillId="0" borderId="0" applyAlignment="1" pivotButton="0" quotePrefix="0" xfId="0">
      <alignment vertical="center" wrapText="1"/>
    </xf>
    <xf numFmtId="1" fontId="18" fillId="6" borderId="2" applyAlignment="1" pivotButton="0" quotePrefix="0" xfId="0">
      <alignment horizontal="left" vertical="center" indent="1"/>
    </xf>
    <xf numFmtId="167" fontId="19" fillId="4" borderId="3" applyAlignment="1" pivotButton="0" quotePrefix="0" xfId="0">
      <alignment horizontal="left" vertical="center" indent="1"/>
    </xf>
    <xf numFmtId="0" fontId="20" fillId="0" borderId="0" applyAlignment="1" pivotButton="0" quotePrefix="0" xfId="0">
      <alignment vertical="center"/>
    </xf>
    <xf numFmtId="1" fontId="21" fillId="4" borderId="0" applyAlignment="1" pivotButton="0" quotePrefix="0" xfId="0">
      <alignment horizontal="left" vertical="center" indent="1"/>
    </xf>
    <xf numFmtId="0" fontId="22" fillId="0" borderId="4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49" fontId="23" fillId="4" borderId="3" applyAlignment="1" pivotButton="0" quotePrefix="0" xfId="0">
      <alignment vertical="center" indent="1"/>
    </xf>
    <xf numFmtId="49" fontId="24" fillId="6" borderId="2" applyAlignment="1" pivotButton="0" quotePrefix="0" xfId="0">
      <alignment vertical="center" indent="1"/>
    </xf>
    <xf numFmtId="1" fontId="24" fillId="6" borderId="2" applyAlignment="1" pivotButton="0" quotePrefix="0" xfId="0">
      <alignment vertical="center" indent="1"/>
    </xf>
    <xf numFmtId="0" fontId="25" fillId="0" borderId="0" applyAlignment="1" pivotButton="0" quotePrefix="0" xfId="0">
      <alignment vertical="center" wrapText="1"/>
    </xf>
    <xf numFmtId="0" fontId="20" fillId="0" borderId="5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/>
    </xf>
    <xf numFmtId="0" fontId="26" fillId="0" borderId="0" pivotButton="0" quotePrefix="0" xfId="0"/>
  </cellXfs>
  <cellStyles count="1">
    <cellStyle name="Normal" xfId="0" builtinId="0" hidden="0"/>
  </cellStyles>
  <dxfs count="4">
    <dxf>
      <font>
        <b val="1"/>
        <color rgb="00214B4D"/>
        <name val="Century Gothic"/>
      </font>
      <fill>
        <patternFill patternType="solid">
          <fgColor rgb="00FFC600"/>
          <bgColor rgb="00FFC600"/>
        </patternFill>
      </fill>
    </dxf>
    <dxf>
      <fill>
        <patternFill patternType="solid">
          <fgColor rgb="00FFF4CC"/>
          <bgColor rgb="00FFF4CC"/>
        </patternFill>
      </fill>
    </dxf>
    <dxf>
      <font>
        <color rgb="00D3DBDB"/>
        <name val="Century Gothic"/>
      </font>
    </dxf>
    <dxf>
      <fill>
        <patternFill patternType="solid">
          <fgColor rgb="00FFC600"/>
          <bgColor rgb="00FFC6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Id="rId14" Type="http://schemas.openxmlformats.org/officeDocument/2006/relationships/customXml" Target="../customXml/item1.xml"/><Relationship Id="rId15" Type="http://schemas.openxmlformats.org/officeDocument/2006/relationships/connections" Target="connections.xml"/><Relationship Id="rId16" Type="http://schemas.openxmlformats.org/officeDocument/2006/relationships/pivotCacheDefinition" Target="pivotCache/pivotCacheDefinition1.xml"/><Relationship Id="rId17" Type="http://schemas.microsoft.com/office/2007/relationships/slicerCache" Target="slicerCaches/slicerCache1.xml"/><Relationship Id="rId18" Type="http://schemas.microsoft.com/office/2007/relationships/slicerCache" Target="slicerCaches/slicerCache2.xml"/><Relationship Id="rId19" Type="http://schemas.microsoft.com/office/2007/relationships/slicerCache" Target="slicerCaches/slicerCache3.xml"/><Relationship Id="rId20" Type="http://schemas.microsoft.com/office/2007/relationships/slicerCache" Target="slicerCaches/slicerCache4.xml"/><Relationship Id="rId21" Type="http://schemas.microsoft.com/office/2007/relationships/slicerCache" Target="slicerCaches/slicerCache5.xml"/><Relationship Id="rId22" Type="http://schemas.microsoft.com/office/2007/relationships/slicerCache" Target="slicerCaches/slicerCache6.xml"/></Relationships>
</file>

<file path=xl/comments/comment1.xml><?xml version="1.0" encoding="utf-8"?>
<comments xmlns="http://schemas.openxmlformats.org/spreadsheetml/2006/main">
  <authors>
    <author>Prototype</author>
  </authors>
  <commentList>
    <comment ref="J4" authorId="0" shapeId="0">
      <text>
        <t>Somme des opérations prévues l'année de référence sur les postes affichés (« PIS + EC SIMPLE » compte pour 2).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19050</rowOff>
    </from>
    <ext cx="139601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:a="http://schemas.openxmlformats.org/drawingml/2006/main" editAs="oneCell">
    <from>
      <col>0</col>
      <colOff>38100</colOff>
      <row>3</row>
      <rowOff>38100</rowOff>
    </from>
    <to>
      <col>3</col>
      <colOff>0</colOff>
      <row>9</row>
      <rowOff>0</rowOff>
    </to>
    <mc:AlternateContent xmlns:mc="http://schemas.openxmlformats.org/markup-compatibility/2006">
      <mc:Choice xmlns:sle15="http://schemas.microsoft.com/office/drawing/2012/slicer" Requires="sle15">
        <graphicFrame macro="">
          <nvGraphicFramePr>
            <cNvPr id="110" name="SITE (vision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SITE (vision)"/>
            </a:graphicData>
          </a:graphic>
        </graphicFrame>
      </mc:Choice>
      <mc:Fallback>
        <sp macro="" textlink="">
          <nvSpPr>
            <cNvPr id="610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</a:t>
              </a:r>
            </a:p>
          </txBody>
        </sp>
      </mc:Fallback>
    </mc:AlternateContent>
    <clientData/>
  </twoCellAnchor>
  <twoCellAnchor xmlns:a="http://schemas.openxmlformats.org/drawingml/2006/main" editAs="oneCell">
    <from>
      <col>3</col>
      <colOff>38100</colOff>
      <row>3</row>
      <rowOff>38100</rowOff>
    </from>
    <to>
      <col>4</col>
      <colOff>0</colOff>
      <row>9</row>
      <rowOff>0</rowOff>
    </to>
    <mc:AlternateContent xmlns:mc="http://schemas.openxmlformats.org/markup-compatibility/2006">
      <mc:Choice xmlns:sle15="http://schemas.microsoft.com/office/drawing/2012/slicer" Requires="sle15">
        <graphicFrame macro="">
          <nvGraphicFramePr>
            <cNvPr id="111" name="ÉQUIPE (vision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ÉQUIPE (vision)"/>
            </a:graphicData>
          </a:graphic>
        </graphicFrame>
      </mc:Choice>
      <mc:Fallback>
        <sp macro="" textlink="">
          <nvSpPr>
            <cNvPr id="611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</a:t>
              </a:r>
            </a:p>
          </txBody>
        </sp>
      </mc:Fallback>
    </mc:AlternateContent>
    <clientData/>
  </twoCellAnchor>
  <twoCellAnchor xmlns:a="http://schemas.openxmlformats.org/drawingml/2006/main" editAs="oneCell">
    <from>
      <col>4</col>
      <colOff>38100</colOff>
      <row>3</row>
      <rowOff>38100</rowOff>
    </from>
    <to>
      <col>7</col>
      <colOff>0</colOff>
      <row>9</row>
      <rowOff>0</rowOff>
    </to>
    <mc:AlternateContent xmlns:mc="http://schemas.openxmlformats.org/markup-compatibility/2006">
      <mc:Choice xmlns:sle15="http://schemas.microsoft.com/office/drawing/2012/slicer" Requires="sle15">
        <graphicFrame macro="">
          <nvGraphicFramePr>
            <cNvPr id="112" name="TYPOLOGIE (vision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TYPOLOGIE (vision)"/>
            </a:graphicData>
          </a:graphic>
        </graphicFrame>
      </mc:Choice>
      <mc:Fallback>
        <sp macro="" textlink="">
          <nvSpPr>
            <cNvPr id="612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 de table. Les segments de table sont pris en charge dans Excel 2013 ou version ultérieure.</a:t>
              </a:r>
            </a:p>
          </txBody>
        </sp>
      </mc:Fallback>
    </mc:AlternateContent>
    <clientData/>
  </twoCellAnchor>
</wsDr>
</file>

<file path=xl/drawings/drawing2.xml><?xml version="1.0" encoding="utf-8"?>
<wsDr xmlns="http://schemas.openxmlformats.org/drawingml/2006/spreadsheetDrawing">
  <oneCellAnchor>
    <from>
      <col>0</col>
      <colOff>57150</colOff>
      <row>0</row>
      <rowOff>19050</rowOff>
    </from>
    <ext cx="139601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:a="http://schemas.openxmlformats.org/drawingml/2006/main" editAs="oneCell">
    <from>
      <col>0</col>
      <colOff>38100</colOff>
      <row>3</row>
      <rowOff>38100</rowOff>
    </from>
    <to>
      <col>3</col>
      <colOff>0</colOff>
      <row>9</row>
      <rowOff>0</rowOff>
    </to>
    <mc:AlternateContent xmlns:mc="http://schemas.openxmlformats.org/markup-compatibility/2006">
      <mc:Choice xmlns:a14="http://schemas.microsoft.com/office/drawing/2010/main" Requires="a14">
        <graphicFrame macro="">
          <nvGraphicFramePr>
            <cNvPr id="140" name="SITE (OT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SITE (OT)"/>
            </a:graphicData>
          </a:graphic>
        </graphicFrame>
      </mc:Choice>
      <mc:Fallback>
        <sp macro="" textlink="">
          <nvSpPr>
            <cNvPr id="640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 2010 ou version ultérieure.</a:t>
              </a:r>
            </a:p>
          </txBody>
        </sp>
      </mc:Fallback>
    </mc:AlternateContent>
    <clientData/>
  </twoCellAnchor>
  <twoCellAnchor xmlns:a="http://schemas.openxmlformats.org/drawingml/2006/main" editAs="oneCell">
    <from>
      <col>3</col>
      <colOff>38100</colOff>
      <row>3</row>
      <rowOff>38100</rowOff>
    </from>
    <to>
      <col>4</col>
      <colOff>0</colOff>
      <row>9</row>
      <rowOff>0</rowOff>
    </to>
    <mc:AlternateContent xmlns:mc="http://schemas.openxmlformats.org/markup-compatibility/2006">
      <mc:Choice xmlns:a14="http://schemas.microsoft.com/office/drawing/2010/main" Requires="a14">
        <graphicFrame macro="">
          <nvGraphicFramePr>
            <cNvPr id="141" name="ÉQUIPE (OT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ÉQUIPE (OT)"/>
            </a:graphicData>
          </a:graphic>
        </graphicFrame>
      </mc:Choice>
      <mc:Fallback>
        <sp macro="" textlink="">
          <nvSpPr>
            <cNvPr id="641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 2010 ou version ultérieure.</a:t>
              </a:r>
            </a:p>
          </txBody>
        </sp>
      </mc:Fallback>
    </mc:AlternateContent>
    <clientData/>
  </twoCellAnchor>
  <twoCellAnchor xmlns:a="http://schemas.openxmlformats.org/drawingml/2006/main" editAs="oneCell">
    <from>
      <col>4</col>
      <colOff>38100</colOff>
      <row>3</row>
      <rowOff>38100</rowOff>
    </from>
    <to>
      <col>5</col>
      <colOff>0</colOff>
      <row>9</row>
      <rowOff>0</rowOff>
    </to>
    <mc:AlternateContent xmlns:mc="http://schemas.openxmlformats.org/markup-compatibility/2006">
      <mc:Choice xmlns:a14="http://schemas.microsoft.com/office/drawing/2010/main" Requires="a14">
        <graphicFrame macro="">
          <nvGraphicFramePr>
            <cNvPr id="142" name="ANNÉE (OT)"/>
            <cNvGraphicFramePr/>
          </nvGraphicFramePr>
          <xfrm>
            <a:off x="0" y="0"/>
            <a:ext cx="0" cy="0"/>
          </xfrm>
          <a:graphic>
            <a:graphicData uri="http://schemas.microsoft.com/office/drawing/2010/slicer">
              <sle:slicer xmlns:sle="http://schemas.microsoft.com/office/drawing/2010/slicer" name="ANNÉE (OT)"/>
            </a:graphicData>
          </a:graphic>
        </graphicFrame>
      </mc:Choice>
      <mc:Fallback>
        <sp macro="" textlink="">
          <nvSpPr>
            <cNvPr id="642" name=""/>
            <cNvSpPr>
              <a:spLocks noTextEdit="1"/>
            </cNvSpPr>
          </nvSpPr>
          <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spPr>
          <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 2010 ou version ultérieure.</a:t>
              </a:r>
            </a:p>
          </txBody>
        </sp>
      </mc:Fallback>
    </mc:AlternateContent>
    <clientData/>
  </twoCellAnchor>
</wsDr>
</file>

<file path=xl/pivotCache/_rels/pivotCacheDefinition1.xml.rels><?xml version='1.0' encoding='UTF-8' standalone='yes'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rototype" refreshedDate="46309.575707" createdVersion="6" refreshedVersion="6" minRefreshableVersion="3" recordCount="124">
  <cacheSource type="worksheet">
    <worksheetSource name="T_OT_Detail"/>
  </cacheSource>
  <cacheFields count="38">
    <cacheField name="Ordre" numFmtId="0">
      <sharedItems/>
    </cacheField>
    <cacheField name="Ordre supérieur" numFmtId="0">
      <sharedItems containsNonDate="0" containsString="0" containsBlank="1"/>
    </cacheField>
    <cacheField name="Site" numFmtId="0">
      <sharedItems count="10">
        <s v="ALZ"/>
        <s v="DEI"/>
        <s v="LRO"/>
        <s v="RNA"/>
        <s v="SET"/>
        <s v="SHL"/>
        <s v="SPS"/>
        <s v="SVI"/>
        <s v="VDY"/>
        <s v="VRS"/>
      </sharedItems>
    </cacheField>
    <cacheField name="Équipe" numFmtId="0">
      <sharedItems count="3">
        <s v="AA1"/>
        <s v="AA3"/>
        <s v="AA4"/>
      </sharedItems>
    </cacheField>
    <cacheField name="Code poste" numFmtId="0">
      <sharedItems count="35">
        <s v="G-I-AAA01"/>
        <s v="G-I-AAB27"/>
        <s v="G-I-BBB02"/>
        <s v="G-I-BBC28"/>
        <s v="G-I-CCC03"/>
        <s v="G-I-CCD29"/>
        <s v="G-I-DDD04"/>
        <s v="G-I-DDE30"/>
        <s v="G-I-EEE05"/>
        <s v="G-I-EEF31"/>
        <s v="G-I-FFF06"/>
        <s v="G-I-FFG32"/>
        <s v="G-I-GGG07"/>
        <s v="G-I-GGH33"/>
        <s v="G-I-HHH08"/>
        <s v="G-I-HHI34"/>
        <s v="G-I-III09"/>
        <s v="G-I-IIJ35"/>
        <s v="G-I-JJJ10"/>
        <s v="G-I-JJK36"/>
        <s v="G-I-KKK11"/>
        <s v="G-I-LLL12"/>
        <s v="G-I-MMN13"/>
        <s v="G-I-NNN14"/>
        <s v="G-I-OOO15"/>
        <s v="G-I-PPP16"/>
        <s v="G-I-QQQ17"/>
        <s v="G-I-RRR18"/>
        <s v="G-I-SSS19"/>
        <s v="G-I-TTT20"/>
        <s v="G-I-UUU21"/>
        <s v="G-I-VVV22"/>
        <s v="G-I-WWW23"/>
        <s v="G-I-XXX24"/>
        <s v="G-I-YYY25"/>
      </sharedItems>
    </cacheField>
    <cacheField name="Code site" numFmtId="0">
      <sharedItems containsBlank="1"/>
    </cacheField>
    <cacheField name="Poste technique" numFmtId="0">
      <sharedItems/>
    </cacheField>
    <cacheField name="Désign.poste techn." numFmtId="0">
      <sharedItems/>
    </cacheField>
    <cacheField name="Désignation" numFmtId="0">
      <sharedItems/>
    </cacheField>
    <cacheField name="Date début planifiée" numFmtId="0">
      <sharedItems containsSemiMixedTypes="0" containsNonDate="0" containsDate="1" containsString="0" minDate="2026-01-09T00:00:00" maxDate="2027-11-21T00:00:00"/>
    </cacheField>
    <cacheField name="Année planifiée" numFmtId="0">
      <sharedItems containsSemiMixedTypes="0" containsString="0" containsNumber="1" containsInteger="1" minValue="2026" maxValue="2027" count="2">
        <n v="2026"/>
        <n v="2027"/>
      </sharedItems>
    </cacheField>
    <cacheField name="Activité source" numFmtId="0">
      <sharedItems containsBlank="1"/>
    </cacheField>
    <cacheField name="Activité atomique" numFmtId="0">
      <sharedItems containsBlank="1" count="11">
        <s v="PIS"/>
        <s v="EC"/>
        <s v="PILOTAGE"/>
        <s v="FILTRE"/>
        <s v="REV"/>
        <s v="SURV DEC"/>
        <s v="INSPECTION TSF"/>
        <s v="INSPECTION TA"/>
        <s v="ENDO"/>
        <s v="CONTROLE VISUEL"/>
        <m/>
      </sharedItems>
    </cacheField>
    <cacheField name="Typologie" numFmtId="0">
      <sharedItems/>
    </cacheField>
    <cacheField name="Statut utilisateur" numFmtId="0">
      <sharedItems/>
    </cacheField>
    <cacheField name="Statut système" numFmtId="0">
      <sharedItems/>
    </cacheField>
    <cacheField name="Équipement" numFmtId="0">
      <sharedItems/>
    </cacheField>
    <cacheField name="Créé le" numFmtId="0">
      <sharedItems containsSemiMixedTypes="0" containsNonDate="0" containsDate="1" containsString="0" minDate="2025-11-20T00:00:00" maxDate="2027-09-22T00:00:00"/>
    </cacheField>
    <cacheField name="Date modif. fiche ordre" numFmtId="0">
      <sharedItems containsSemiMixedTypes="0" containsNonDate="0" containsDate="1" containsString="0" minDate="2025-12-22T00:00:00" maxDate="2027-11-09T00:00:00"/>
    </cacheField>
    <cacheField name="Désignation du poste" numFmtId="0">
      <sharedItems count="35">
        <s v="Poste fictif Alpha"/>
        <s v="Poste fictif Alpha II"/>
        <s v="Poste fictif Beta"/>
        <s v="Poste fictif Chi"/>
        <s v="Poste fictif Delta"/>
        <s v="Poste fictif Delta II"/>
        <s v="Poste fictif Epsilon"/>
        <s v="Poste fictif Epsilon II"/>
        <s v="Poste fictif Eta"/>
        <s v="Poste fictif Eta II"/>
        <s v="Poste fictif Gamma"/>
        <s v="Poste fictif Gamma II"/>
        <s v="Poste fictif Iota"/>
        <s v="Poste fictif Iota II"/>
        <s v="Poste fictif Kappa"/>
        <s v="Poste fictif Kappa II"/>
        <s v="Poste fictif Lambda"/>
        <s v="Poste fictif Lambda II"/>
        <s v="Poste fictif Mu"/>
        <s v="Poste fictif Mu II"/>
        <s v="Poste fictif Nu"/>
        <s v="Poste fictif Omega"/>
        <s v="Poste fictif Omicron"/>
        <s v="Poste fictif Phi"/>
        <s v="Poste fictif Pi"/>
        <s v="Poste fictif Psi"/>
        <s v="Poste fictif Rho"/>
        <s v="Poste fictif Sigma"/>
        <s v="Poste fictif Tau"/>
        <s v="Poste fictif Theta"/>
        <s v="Poste fictif Theta II"/>
        <s v="Poste fictif Upsilon"/>
        <s v="Poste fictif Xi"/>
        <s v="Poste fictif Zeta"/>
        <s v="Poste fictif Zeta II"/>
      </sharedItems>
    </cacheField>
    <cacheField name="Groupe gestionnaires" numFmtId="0">
      <sharedItems/>
    </cacheField>
    <cacheField name="Poste travail princ." numFmtId="0">
      <sharedItems/>
    </cacheField>
    <cacheField name="Type d'ordre" numFmtId="0">
      <sharedItems/>
    </cacheField>
    <cacheField name="Type de travail" numFmtId="0">
      <sharedItems count="1">
        <s v="PRE"/>
      </sharedItems>
    </cacheField>
    <cacheField name="Avis" numFmtId="0">
      <sharedItems containsNonDate="0" containsString="0" containsBlank="1"/>
    </cacheField>
    <cacheField name="Saisi par" numFmtId="0">
      <sharedItems/>
    </cacheField>
    <cacheField name="Total coûts réels" numFmtId="0">
      <sharedItems containsSemiMixedTypes="0" containsString="0" containsNumber="1" minValue="158.05" maxValue="1494.35"/>
    </cacheField>
    <cacheField name="Secteur exploitation" numFmtId="0">
      <sharedItems/>
    </cacheField>
    <cacheField name="Groupe de gamme principale" numFmtId="0">
      <sharedItems/>
    </cacheField>
    <cacheField name="Compteur de groupe de gamme principale" numFmtId="0">
      <sharedItems/>
    </cacheField>
    <cacheField name="Source code poste" numFmtId="0">
      <sharedItems/>
    </cacheField>
    <cacheField name="Activité reconstruite (secours)" numFmtId="0">
      <sharedItems containsNonDate="0" containsString="0" containsBlank="1"/>
    </cacheField>
    <cacheField name="Compte OT" numFmtId="0">
      <sharedItems containsSemiMixedTypes="0" containsString="0" containsNumber="1" containsInteger="1" minValue="0" maxValue="1"/>
    </cacheField>
    <cacheField name="Contrôle qualité" numFmtId="0">
      <sharedItems containsBlank="1"/>
    </cacheField>
    <cacheField name="Ligne export" numFmtId="0">
      <sharedItems containsSemiMixedTypes="0" containsString="0" containsNumber="1" containsInteger="1" minValue="2" maxValue="86"/>
    </cacheField>
    <cacheField name="Lignes export regroupées" numFmtId="0">
      <sharedItems containsBlank="1"/>
    </cacheField>
    <cacheField name="Fichier source" numFmtId="0">
      <sharedItems/>
    </cacheField>
    <cacheField name="Importé le" numFmtId="0">
      <sharedItems containsSemiMixedTypes="0" containsNonDate="0" containsDate="1" containsString="0" minDate="2026-10-14T15:00:00" maxDate="2026-10-15T15:00: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s v="910000001"/>
    <m/>
    <x v="4"/>
    <x v="0"/>
    <x v="0"/>
    <s v="G-I-AAA01"/>
    <s v="G-I-AAA01-REG01"/>
    <s v="Équipement fictif G-I-AAA01-REG01"/>
    <s v="Maintenance préventive fictive EC+PIS - poste G-I-AAA01"/>
    <d v="2026-11-03T00:00:00"/>
    <x v="0"/>
    <s v="EC+PIS"/>
    <x v="1"/>
    <s v="DETENTE"/>
    <s v="TERM"/>
    <s v="STAT_SYS_A"/>
    <s v="EQ-AAA01-08"/>
    <d v="2026-08-16T00:00:00"/>
    <d v="2026-10-12T00:00:00"/>
    <x v="0"/>
    <s v="SET"/>
    <s v="AA1"/>
    <s v="ZPR2"/>
    <x v="0"/>
    <m/>
    <s v="USER02"/>
    <n v="571.18"/>
    <s v="AA1"/>
    <s v="GG-PREV"/>
    <s v="1"/>
    <s v="Code site"/>
    <m/>
    <n v="1"/>
    <m/>
    <n v="2"/>
    <m/>
    <s v="DEMO_GMAO.xlsx"/>
    <d v="2026-10-14T15:00:00"/>
  </r>
  <r>
    <s v="910000001"/>
    <m/>
    <x v="4"/>
    <x v="0"/>
    <x v="0"/>
    <s v="G-I-AAA01"/>
    <s v="G-I-AAA01-REG01"/>
    <s v="Équipement fictif G-I-AAA01-REG01"/>
    <s v="Maintenance préventive fictive EC+PIS - poste G-I-AAA01"/>
    <d v="2026-11-03T00:00:00"/>
    <x v="0"/>
    <s v="EC+PIS"/>
    <x v="0"/>
    <s v="DETENTE"/>
    <s v="TERM"/>
    <s v="STAT_SYS_A"/>
    <s v="EQ-AAA01-08"/>
    <d v="2026-08-16T00:00:00"/>
    <d v="2026-10-12T00:00:00"/>
    <x v="0"/>
    <s v="SET"/>
    <s v="AA1"/>
    <s v="ZPR2"/>
    <x v="0"/>
    <m/>
    <s v="USER02"/>
    <n v="571.18"/>
    <s v="AA1"/>
    <s v="GG-PREV"/>
    <s v="1"/>
    <s v="Code site"/>
    <m/>
    <n v="0"/>
    <m/>
    <n v="2"/>
    <m/>
    <s v="DEMO_GMAO.xlsx"/>
    <d v="2026-10-14T15:00:00"/>
  </r>
  <r>
    <s v="910000002"/>
    <m/>
    <x v="4"/>
    <x v="1"/>
    <x v="2"/>
    <s v="G-I-BBB02"/>
    <s v="G-I-BBB02-VAN01"/>
    <s v="Équipement fictif G-I-BBB02-VAN01"/>
    <s v="Maintenance préventive fictive PIS - poste G-I-BBB02"/>
    <d v="2026-03-22T00:00:00"/>
    <x v="0"/>
    <s v="PIS"/>
    <x v="0"/>
    <s v="LIVRAISON"/>
    <s v="ACTI"/>
    <s v="STAT_SYS_A"/>
    <s v="EQ-BBB02-02"/>
    <d v="2025-12-30T00:00:00"/>
    <d v="2026-03-07T00:00:00"/>
    <x v="2"/>
    <s v="SET"/>
    <s v="AA3"/>
    <s v="ZPR2"/>
    <x v="0"/>
    <m/>
    <s v="USER03"/>
    <n v="1279.21"/>
    <s v="AA3"/>
    <s v="GG-PREV"/>
    <s v="2"/>
    <s v="Code site"/>
    <m/>
    <n v="1"/>
    <m/>
    <n v="3"/>
    <m/>
    <s v="DEMO_GMAO.xlsx"/>
    <d v="2026-10-14T15:00:00"/>
  </r>
  <r>
    <s v="910000003"/>
    <m/>
    <x v="4"/>
    <x v="1"/>
    <x v="2"/>
    <s v="G-I-BBB02"/>
    <s v="G-I-BBB02-VAN01"/>
    <s v="Équipement fictif G-I-BBB02-VAN01"/>
    <s v="Maintenance préventive fictive PIS - poste G-I-BBB02"/>
    <d v="2026-09-03T00:00:00"/>
    <x v="0"/>
    <s v="PIS"/>
    <x v="0"/>
    <s v="LIVRAISON"/>
    <s v="ACTI"/>
    <s v="STAT_SYS_A"/>
    <s v="EQ-BBB02-04"/>
    <d v="2026-07-06T00:00:00"/>
    <d v="2026-08-19T00:00:00"/>
    <x v="2"/>
    <s v="SET"/>
    <s v="AA3"/>
    <s v="ZPR2"/>
    <x v="0"/>
    <m/>
    <s v="USER02"/>
    <n v="525.63"/>
    <s v="AA3"/>
    <s v="GG-PREV"/>
    <s v="1"/>
    <s v="Code site"/>
    <m/>
    <n v="1"/>
    <m/>
    <n v="4"/>
    <m/>
    <s v="DEMO_GMAO.xlsx"/>
    <d v="2026-10-14T15:00:00"/>
  </r>
  <r>
    <s v="910000004"/>
    <m/>
    <x v="4"/>
    <x v="1"/>
    <x v="2"/>
    <s v="G-I-BBB02"/>
    <s v="G-I-BBB02-VAN01"/>
    <s v="Équipement fictif G-I-BBB02-VAN01"/>
    <s v="Maintenance préventive fictive EC+PIS+PILOTAGE+FILTRE - poste G-I-BBB02"/>
    <d v="2027-06-05T00:00:00"/>
    <x v="1"/>
    <s v="EC+PIS+PILOTAGE+FILTRE"/>
    <x v="1"/>
    <s v="LIVRAISON"/>
    <s v="TERM"/>
    <s v="STAT_SYS_A"/>
    <s v="EQ-BBB02-06"/>
    <d v="2027-04-08T00:00:00"/>
    <d v="2027-05-08T00:00:00"/>
    <x v="2"/>
    <s v="SET"/>
    <s v="AA3"/>
    <s v="ZPR2"/>
    <x v="0"/>
    <m/>
    <s v="USER01"/>
    <n v="552.2"/>
    <s v="AA3"/>
    <s v="GG-PREV"/>
    <s v="3"/>
    <s v="Code site"/>
    <m/>
    <n v="1"/>
    <m/>
    <n v="5"/>
    <m/>
    <s v="DEMO_GMAO.xlsx"/>
    <d v="2026-10-14T15:00:00"/>
  </r>
  <r>
    <s v="910000004"/>
    <m/>
    <x v="4"/>
    <x v="1"/>
    <x v="2"/>
    <s v="G-I-BBB02"/>
    <s v="G-I-BBB02-VAN01"/>
    <s v="Équipement fictif G-I-BBB02-VAN01"/>
    <s v="Maintenance préventive fictive EC+PIS+PILOTAGE+FILTRE - poste G-I-BBB02"/>
    <d v="2027-06-05T00:00:00"/>
    <x v="1"/>
    <s v="EC+PIS+PILOTAGE+FILTRE"/>
    <x v="0"/>
    <s v="LIVRAISON"/>
    <s v="TERM"/>
    <s v="STAT_SYS_A"/>
    <s v="EQ-BBB02-06"/>
    <d v="2027-04-08T00:00:00"/>
    <d v="2027-05-08T00:00:00"/>
    <x v="2"/>
    <s v="SET"/>
    <s v="AA3"/>
    <s v="ZPR2"/>
    <x v="0"/>
    <m/>
    <s v="USER01"/>
    <n v="552.2"/>
    <s v="AA3"/>
    <s v="GG-PREV"/>
    <s v="3"/>
    <s v="Code site"/>
    <m/>
    <n v="0"/>
    <m/>
    <n v="5"/>
    <m/>
    <s v="DEMO_GMAO.xlsx"/>
    <d v="2026-10-14T15:00:00"/>
  </r>
  <r>
    <s v="910000004"/>
    <m/>
    <x v="4"/>
    <x v="1"/>
    <x v="2"/>
    <s v="G-I-BBB02"/>
    <s v="G-I-BBB02-VAN01"/>
    <s v="Équipement fictif G-I-BBB02-VAN01"/>
    <s v="Maintenance préventive fictive EC+PIS+PILOTAGE+FILTRE - poste G-I-BBB02"/>
    <d v="2027-06-05T00:00:00"/>
    <x v="1"/>
    <s v="EC+PIS+PILOTAGE+FILTRE"/>
    <x v="2"/>
    <s v="LIVRAISON"/>
    <s v="TERM"/>
    <s v="STAT_SYS_A"/>
    <s v="EQ-BBB02-06"/>
    <d v="2027-04-08T00:00:00"/>
    <d v="2027-05-08T00:00:00"/>
    <x v="2"/>
    <s v="SET"/>
    <s v="AA3"/>
    <s v="ZPR2"/>
    <x v="0"/>
    <m/>
    <s v="USER01"/>
    <n v="552.2"/>
    <s v="AA3"/>
    <s v="GG-PREV"/>
    <s v="3"/>
    <s v="Code site"/>
    <m/>
    <n v="0"/>
    <m/>
    <n v="5"/>
    <m/>
    <s v="DEMO_GMAO.xlsx"/>
    <d v="2026-10-14T15:00:00"/>
  </r>
  <r>
    <s v="910000004"/>
    <m/>
    <x v="4"/>
    <x v="1"/>
    <x v="2"/>
    <s v="G-I-BBB02"/>
    <s v="G-I-BBB02-VAN01"/>
    <s v="Équipement fictif G-I-BBB02-VAN01"/>
    <s v="Maintenance préventive fictive EC+PIS+PILOTAGE+FILTRE - poste G-I-BBB02"/>
    <d v="2027-06-05T00:00:00"/>
    <x v="1"/>
    <s v="EC+PIS+PILOTAGE+FILTRE"/>
    <x v="3"/>
    <s v="LIVRAISON"/>
    <s v="TERM"/>
    <s v="STAT_SYS_A"/>
    <s v="EQ-BBB02-06"/>
    <d v="2027-04-08T00:00:00"/>
    <d v="2027-05-08T00:00:00"/>
    <x v="2"/>
    <s v="SET"/>
    <s v="AA3"/>
    <s v="ZPR2"/>
    <x v="0"/>
    <m/>
    <s v="USER01"/>
    <n v="552.2"/>
    <s v="AA3"/>
    <s v="GG-PREV"/>
    <s v="3"/>
    <s v="Code site"/>
    <m/>
    <n v="0"/>
    <m/>
    <n v="5"/>
    <m/>
    <s v="DEMO_GMAO.xlsx"/>
    <d v="2026-10-14T15:00:00"/>
  </r>
  <r>
    <s v="910000005"/>
    <m/>
    <x v="4"/>
    <x v="2"/>
    <x v="4"/>
    <s v="G-I-CCC03"/>
    <s v="G-I-CCC03-FILT01"/>
    <s v="Équipement fictif G-I-CCC03-FILT01"/>
    <s v="Maintenance préventive fictive PIS - poste G-I-CCC03"/>
    <d v="2026-03-12T00:00:00"/>
    <x v="0"/>
    <s v="PIS"/>
    <x v="0"/>
    <s v="PIQUAGE"/>
    <s v="ACTI"/>
    <s v="STAT_SYS_A"/>
    <s v="EQ-CCC03-04"/>
    <d v="2026-01-26T00:00:00"/>
    <d v="2026-03-07T00:00:00"/>
    <x v="10"/>
    <s v="SET"/>
    <s v="AA4"/>
    <s v="ZPR2"/>
    <x v="0"/>
    <m/>
    <s v="USER01"/>
    <n v="881.26"/>
    <s v="AA4"/>
    <s v="GG-PREV"/>
    <s v="3"/>
    <s v="Code site"/>
    <m/>
    <n v="1"/>
    <m/>
    <n v="6"/>
    <m/>
    <s v="DEMO_GMAO.xlsx"/>
    <d v="2026-10-14T15:00:00"/>
  </r>
  <r>
    <s v="910000006"/>
    <m/>
    <x v="4"/>
    <x v="2"/>
    <x v="4"/>
    <s v="G-I-CCC03"/>
    <s v="G-I-CCC03-FILT01"/>
    <s v="Équipement fictif G-I-CCC03-FILT01"/>
    <s v="Maintenance préventive fictive PIS - poste G-I-CCC03"/>
    <d v="2026-09-08T00:00:00"/>
    <x v="0"/>
    <s v="PIS"/>
    <x v="0"/>
    <s v="PIQUAGE"/>
    <s v="ACTI"/>
    <s v="STAT_SYS_A"/>
    <s v="EQ-CCC03-04"/>
    <d v="2026-06-12T00:00:00"/>
    <d v="2026-08-16T00:00:00"/>
    <x v="10"/>
    <s v="SET"/>
    <s v="AA4"/>
    <s v="ZPR2"/>
    <x v="0"/>
    <m/>
    <s v="USER03"/>
    <n v="867.81"/>
    <s v="AA4"/>
    <s v="GG-PREV"/>
    <s v="3"/>
    <s v="Code site"/>
    <m/>
    <n v="1"/>
    <m/>
    <n v="7"/>
    <m/>
    <s v="DEMO_GMAO.xlsx"/>
    <d v="2026-10-14T15:00:00"/>
  </r>
  <r>
    <s v="910000007"/>
    <m/>
    <x v="4"/>
    <x v="2"/>
    <x v="4"/>
    <s v="G-I-CCC03"/>
    <s v="G-I-CCC03-FILT01"/>
    <s v="Équipement fictif G-I-CCC03-FILT01"/>
    <s v="Maintenance préventive fictive PIS - poste G-I-CCC03"/>
    <d v="2027-09-12T00:00:00"/>
    <x v="1"/>
    <s v="PIS"/>
    <x v="0"/>
    <s v="PIQUAGE"/>
    <s v="TERM"/>
    <s v="STAT_SYS_A"/>
    <s v="EQ-CCC03-04"/>
    <d v="2027-07-06T00:00:00"/>
    <d v="2027-09-05T00:00:00"/>
    <x v="10"/>
    <s v="SET"/>
    <s v="AA4"/>
    <s v="ZPR2"/>
    <x v="0"/>
    <m/>
    <s v="USER01"/>
    <n v="1349.42"/>
    <s v="AA4"/>
    <s v="GG-PREV"/>
    <s v="2"/>
    <s v="Code site"/>
    <m/>
    <n v="1"/>
    <m/>
    <n v="8"/>
    <m/>
    <s v="DEMO_GMAO.xlsx"/>
    <d v="2026-10-14T15:00:00"/>
  </r>
  <r>
    <s v="910000008"/>
    <m/>
    <x v="6"/>
    <x v="0"/>
    <x v="6"/>
    <s v="G-I-DDD04"/>
    <s v="G-I-DDD04-SEC01"/>
    <s v="Équipement fictif G-I-DDD04-SEC01"/>
    <s v="Maintenance préventive fictive PIS - poste G-I-DDD04"/>
    <d v="2027-03-13T00:00:00"/>
    <x v="1"/>
    <s v="PIS"/>
    <x v="0"/>
    <s v="LIVRAISON"/>
    <s v="ACTI"/>
    <s v="STAT_SYS_A"/>
    <s v="EQ-DDD04-05"/>
    <d v="2026-12-24T00:00:00"/>
    <d v="2027-02-23T00:00:00"/>
    <x v="4"/>
    <s v="SPS"/>
    <s v="AA1"/>
    <s v="ZPR2"/>
    <x v="0"/>
    <m/>
    <s v="USER02"/>
    <n v="454.55"/>
    <s v="AA1"/>
    <s v="GG-PREV"/>
    <s v="3"/>
    <s v="Code site"/>
    <m/>
    <n v="1"/>
    <m/>
    <n v="9"/>
    <m/>
    <s v="DEMO_GMAO.xlsx"/>
    <d v="2026-10-14T15:00:00"/>
  </r>
  <r>
    <s v="910000009"/>
    <m/>
    <x v="6"/>
    <x v="0"/>
    <x v="6"/>
    <s v="G-I-DDD04"/>
    <s v="G-I-DDD04-SEC01"/>
    <s v="Équipement fictif G-I-DDD04-SEC01"/>
    <s v="Maintenance préventive fictive PIS - poste G-I-DDD04"/>
    <d v="2027-09-04T00:00:00"/>
    <x v="1"/>
    <s v="PIS"/>
    <x v="0"/>
    <s v="LIVRAISON"/>
    <s v="TERM"/>
    <s v="STAT_SYS_A"/>
    <s v="EQ-DDD04-07"/>
    <d v="2027-06-08T00:00:00"/>
    <d v="2027-08-20T00:00:00"/>
    <x v="4"/>
    <s v="SPS"/>
    <s v="AA1"/>
    <s v="ZPR2"/>
    <x v="0"/>
    <m/>
    <s v="USER02"/>
    <n v="158.05"/>
    <s v="AA1"/>
    <s v="GG-PREV"/>
    <s v="1"/>
    <s v="Code site"/>
    <m/>
    <n v="1"/>
    <m/>
    <n v="10"/>
    <m/>
    <s v="DEMO_GMAO.xlsx"/>
    <d v="2026-10-14T15:00:00"/>
  </r>
  <r>
    <s v="910000010"/>
    <m/>
    <x v="6"/>
    <x v="1"/>
    <x v="8"/>
    <s v="G-I-EEE05"/>
    <s v="G-I-EEE05-REG01"/>
    <s v="Équipement fictif G-I-EEE05-REG01"/>
    <s v="Maintenance préventive fictive REV - poste G-I-EEE05"/>
    <d v="2026-04-01T00:00:00"/>
    <x v="0"/>
    <s v="REV"/>
    <x v="4"/>
    <s v="COUPURE"/>
    <s v="ACTI"/>
    <s v="STAT_SYS_A"/>
    <s v="EQ-EEE05-05"/>
    <d v="2026-01-24T00:00:00"/>
    <d v="2026-03-06T00:00:00"/>
    <x v="6"/>
    <s v="SPS"/>
    <s v="AA3"/>
    <s v="ZPR2"/>
    <x v="0"/>
    <m/>
    <s v="USER03"/>
    <n v="1096.42"/>
    <s v="AA3"/>
    <s v="GG-PREV"/>
    <s v="1"/>
    <s v="Code site"/>
    <m/>
    <n v="1"/>
    <m/>
    <n v="11"/>
    <m/>
    <s v="DEMO_GMAO.xlsx"/>
    <d v="2026-10-14T15:00:00"/>
  </r>
  <r>
    <s v="910000011"/>
    <m/>
    <x v="6"/>
    <x v="1"/>
    <x v="8"/>
    <s v="G-I-EEE05"/>
    <s v="G-I-EEE05-REG01"/>
    <s v="Équipement fictif G-I-EEE05-REG01"/>
    <s v="Maintenance préventive fictive PIS - poste G-I-EEE05"/>
    <d v="2027-10-28T00:00:00"/>
    <x v="1"/>
    <s v="PIS"/>
    <x v="0"/>
    <s v="COUPURE"/>
    <s v="ACTI"/>
    <s v="STAT_SYS_A"/>
    <s v="EQ-EEE05-09"/>
    <d v="2027-09-07T00:00:00"/>
    <d v="2027-10-05T00:00:00"/>
    <x v="6"/>
    <s v="SPS"/>
    <s v="AA3"/>
    <s v="ZPR2"/>
    <x v="0"/>
    <m/>
    <s v="USER02"/>
    <n v="987.69"/>
    <s v="AA3"/>
    <s v="GG-PREV"/>
    <s v="2"/>
    <s v="Code site"/>
    <m/>
    <n v="1"/>
    <m/>
    <n v="12"/>
    <m/>
    <s v="DEMO_GMAO.xlsx"/>
    <d v="2026-10-14T15:00:00"/>
  </r>
  <r>
    <s v="910000012"/>
    <m/>
    <x v="6"/>
    <x v="2"/>
    <x v="10"/>
    <s v="G-I-FFF06"/>
    <s v="G-I-FFF06-VAN01"/>
    <s v="Équipement fictif G-I-FFF06-VAN01"/>
    <s v="Maintenance préventive fictive PIS - poste G-I-FFF06"/>
    <d v="2026-11-12T00:00:00"/>
    <x v="0"/>
    <s v="PIS"/>
    <x v="0"/>
    <s v="SECTIONNEMENT"/>
    <s v="TERM"/>
    <s v="STAT_SYS_A"/>
    <s v="EQ-FFF06-01"/>
    <d v="2026-09-28T00:00:00"/>
    <d v="2026-10-23T00:00:00"/>
    <x v="33"/>
    <s v="SPS"/>
    <s v="AA4"/>
    <s v="ZPR2"/>
    <x v="0"/>
    <m/>
    <s v="USER03"/>
    <n v="474.12"/>
    <s v="AA4"/>
    <s v="GG-PREV"/>
    <s v="3"/>
    <s v="Code site"/>
    <m/>
    <n v="1"/>
    <m/>
    <n v="13"/>
    <m/>
    <s v="DEMO_GMAO.xlsx"/>
    <d v="2026-10-14T15:00:00"/>
  </r>
  <r>
    <s v="910000013"/>
    <m/>
    <x v="6"/>
    <x v="2"/>
    <x v="10"/>
    <s v="G-I-FFF06"/>
    <s v="G-I-FFF06-VAN01"/>
    <s v="Équipement fictif G-I-FFF06-VAN01"/>
    <s v="Maintenance préventive fictive REV - poste G-I-FFF06"/>
    <d v="2027-06-15T00:00:00"/>
    <x v="1"/>
    <s v="REV"/>
    <x v="4"/>
    <s v="SECTIONNEMENT"/>
    <s v="ACTI"/>
    <s v="STAT_SYS_A"/>
    <s v="EQ-FFF06-07"/>
    <d v="2027-04-30T00:00:00"/>
    <d v="2027-05-31T00:00:00"/>
    <x v="33"/>
    <s v="SPS"/>
    <s v="AA4"/>
    <s v="ZPR2"/>
    <x v="0"/>
    <m/>
    <s v="USER03"/>
    <n v="863.74"/>
    <s v="AA4"/>
    <s v="GG-PREV"/>
    <s v="1"/>
    <s v="Code site"/>
    <m/>
    <n v="1"/>
    <m/>
    <n v="14"/>
    <m/>
    <s v="DEMO_GMAO.xlsx"/>
    <d v="2026-10-14T15:00:00"/>
  </r>
  <r>
    <s v="910000014"/>
    <m/>
    <x v="3"/>
    <x v="0"/>
    <x v="12"/>
    <s v="G-I-GGG07"/>
    <s v="G-I-GGG07-FILT01"/>
    <s v="Équipement fictif G-I-GGG07-FILT01"/>
    <s v="Maintenance préventive fictive REV - poste G-I-GGG07"/>
    <d v="2026-11-08T00:00:00"/>
    <x v="0"/>
    <s v="REV"/>
    <x v="4"/>
    <s v="DETENTE"/>
    <s v="ACTI"/>
    <s v="STAT_SYS_A"/>
    <s v="EQ-GGG07-07"/>
    <d v="2026-09-09T00:00:00"/>
    <d v="2026-10-19T00:00:00"/>
    <x v="8"/>
    <s v="RNA"/>
    <s v="AA1"/>
    <s v="ZPR2"/>
    <x v="0"/>
    <m/>
    <s v="USER02"/>
    <n v="1480.15"/>
    <s v="AA1"/>
    <s v="GG-PREV"/>
    <s v="2"/>
    <s v="Code site"/>
    <m/>
    <n v="1"/>
    <m/>
    <n v="15"/>
    <m/>
    <s v="DEMO_GMAO.xlsx"/>
    <d v="2026-10-14T15:00:00"/>
  </r>
  <r>
    <s v="910000015"/>
    <m/>
    <x v="3"/>
    <x v="0"/>
    <x v="12"/>
    <s v="G-I-GGG07"/>
    <s v="G-I-GGG07-FILT01"/>
    <s v="Équipement fictif G-I-GGG07-FILT01"/>
    <s v="Maintenance préventive fictive EC+PIS+PILOTAGE+FILTRE - poste G-I-GGG07"/>
    <d v="2027-11-11T00:00:00"/>
    <x v="1"/>
    <s v="EC+PIS+PILOTAGE+FILTRE"/>
    <x v="1"/>
    <s v="DETENTE"/>
    <s v="ACTI"/>
    <s v="STAT_SYS_A"/>
    <s v="EQ-GGG07-06"/>
    <d v="2027-09-15T00:00:00"/>
    <d v="2027-10-22T00:00:00"/>
    <x v="8"/>
    <s v="RNA"/>
    <s v="AA1"/>
    <s v="ZPR2"/>
    <x v="0"/>
    <m/>
    <s v="USER03"/>
    <n v="319.34"/>
    <s v="AA1"/>
    <s v="GG-PREV"/>
    <s v="1"/>
    <s v="Code site"/>
    <m/>
    <n v="1"/>
    <m/>
    <n v="16"/>
    <m/>
    <s v="DEMO_GMAO.xlsx"/>
    <d v="2026-10-14T15:00:00"/>
  </r>
  <r>
    <s v="910000015"/>
    <m/>
    <x v="3"/>
    <x v="0"/>
    <x v="12"/>
    <s v="G-I-GGG07"/>
    <s v="G-I-GGG07-FILT01"/>
    <s v="Équipement fictif G-I-GGG07-FILT01"/>
    <s v="Maintenance préventive fictive EC+PIS+PILOTAGE+FILTRE - poste G-I-GGG07"/>
    <d v="2027-11-11T00:00:00"/>
    <x v="1"/>
    <s v="EC+PIS+PILOTAGE+FILTRE"/>
    <x v="0"/>
    <s v="DETENTE"/>
    <s v="ACTI"/>
    <s v="STAT_SYS_A"/>
    <s v="EQ-GGG07-06"/>
    <d v="2027-09-15T00:00:00"/>
    <d v="2027-10-22T00:00:00"/>
    <x v="8"/>
    <s v="RNA"/>
    <s v="AA1"/>
    <s v="ZPR2"/>
    <x v="0"/>
    <m/>
    <s v="USER03"/>
    <n v="319.34"/>
    <s v="AA1"/>
    <s v="GG-PREV"/>
    <s v="1"/>
    <s v="Code site"/>
    <m/>
    <n v="0"/>
    <m/>
    <n v="16"/>
    <m/>
    <s v="DEMO_GMAO.xlsx"/>
    <d v="2026-10-14T15:00:00"/>
  </r>
  <r>
    <s v="910000015"/>
    <m/>
    <x v="3"/>
    <x v="0"/>
    <x v="12"/>
    <s v="G-I-GGG07"/>
    <s v="G-I-GGG07-FILT01"/>
    <s v="Équipement fictif G-I-GGG07-FILT01"/>
    <s v="Maintenance préventive fictive EC+PIS+PILOTAGE+FILTRE - poste G-I-GGG07"/>
    <d v="2027-11-11T00:00:00"/>
    <x v="1"/>
    <s v="EC+PIS+PILOTAGE+FILTRE"/>
    <x v="2"/>
    <s v="DETENTE"/>
    <s v="ACTI"/>
    <s v="STAT_SYS_A"/>
    <s v="EQ-GGG07-06"/>
    <d v="2027-09-15T00:00:00"/>
    <d v="2027-10-22T00:00:00"/>
    <x v="8"/>
    <s v="RNA"/>
    <s v="AA1"/>
    <s v="ZPR2"/>
    <x v="0"/>
    <m/>
    <s v="USER03"/>
    <n v="319.34"/>
    <s v="AA1"/>
    <s v="GG-PREV"/>
    <s v="1"/>
    <s v="Code site"/>
    <m/>
    <n v="0"/>
    <m/>
    <n v="16"/>
    <m/>
    <s v="DEMO_GMAO.xlsx"/>
    <d v="2026-10-14T15:00:00"/>
  </r>
  <r>
    <s v="910000015"/>
    <m/>
    <x v="3"/>
    <x v="0"/>
    <x v="12"/>
    <s v="G-I-GGG07"/>
    <s v="G-I-GGG07-FILT01"/>
    <s v="Équipement fictif G-I-GGG07-FILT01"/>
    <s v="Maintenance préventive fictive EC+PIS+PILOTAGE+FILTRE - poste G-I-GGG07"/>
    <d v="2027-11-11T00:00:00"/>
    <x v="1"/>
    <s v="EC+PIS+PILOTAGE+FILTRE"/>
    <x v="3"/>
    <s v="DETENTE"/>
    <s v="ACTI"/>
    <s v="STAT_SYS_A"/>
    <s v="EQ-GGG07-06"/>
    <d v="2027-09-15T00:00:00"/>
    <d v="2027-10-22T00:00:00"/>
    <x v="8"/>
    <s v="RNA"/>
    <s v="AA1"/>
    <s v="ZPR2"/>
    <x v="0"/>
    <m/>
    <s v="USER03"/>
    <n v="319.34"/>
    <s v="AA1"/>
    <s v="GG-PREV"/>
    <s v="1"/>
    <s v="Code site"/>
    <m/>
    <n v="0"/>
    <m/>
    <n v="16"/>
    <m/>
    <s v="DEMO_GMAO.xlsx"/>
    <d v="2026-10-14T15:00:00"/>
  </r>
  <r>
    <s v="910000016"/>
    <m/>
    <x v="3"/>
    <x v="1"/>
    <x v="14"/>
    <s v="G-I-HHH08"/>
    <s v="G-I-HHH08-SEC01"/>
    <s v="Équipement fictif G-I-HHH08-SEC01"/>
    <s v="Maintenance préventive fictive EC+PIS - poste G-I-HHH08"/>
    <d v="2026-09-27T00:00:00"/>
    <x v="0"/>
    <s v="EC+PIS"/>
    <x v="1"/>
    <s v="COMPTAGE"/>
    <s v="TERM"/>
    <s v="STAT_SYS_A"/>
    <s v="EQ-HHH08-01"/>
    <d v="2026-07-07T00:00:00"/>
    <d v="2026-09-19T00:00:00"/>
    <x v="29"/>
    <s v="RNA"/>
    <s v="AA3"/>
    <s v="ZPR2"/>
    <x v="0"/>
    <m/>
    <s v="USER03"/>
    <n v="622.67"/>
    <s v="AA3"/>
    <s v="GG-PREV"/>
    <s v="2"/>
    <s v="Code site"/>
    <m/>
    <n v="1"/>
    <m/>
    <n v="17"/>
    <m/>
    <s v="DEMO_GMAO.xlsx"/>
    <d v="2026-10-14T15:00:00"/>
  </r>
  <r>
    <s v="910000016"/>
    <m/>
    <x v="3"/>
    <x v="1"/>
    <x v="14"/>
    <s v="G-I-HHH08"/>
    <s v="G-I-HHH08-SEC01"/>
    <s v="Équipement fictif G-I-HHH08-SEC01"/>
    <s v="Maintenance préventive fictive EC+PIS - poste G-I-HHH08"/>
    <d v="2026-09-27T00:00:00"/>
    <x v="0"/>
    <s v="EC+PIS"/>
    <x v="0"/>
    <s v="COMPTAGE"/>
    <s v="TERM"/>
    <s v="STAT_SYS_A"/>
    <s v="EQ-HHH08-01"/>
    <d v="2026-07-07T00:00:00"/>
    <d v="2026-09-19T00:00:00"/>
    <x v="29"/>
    <s v="RNA"/>
    <s v="AA3"/>
    <s v="ZPR2"/>
    <x v="0"/>
    <m/>
    <s v="USER03"/>
    <n v="622.67"/>
    <s v="AA3"/>
    <s v="GG-PREV"/>
    <s v="2"/>
    <s v="Code site"/>
    <m/>
    <n v="0"/>
    <m/>
    <n v="17"/>
    <m/>
    <s v="DEMO_GMAO.xlsx"/>
    <d v="2026-10-14T15:00:00"/>
  </r>
  <r>
    <s v="910000017"/>
    <m/>
    <x v="3"/>
    <x v="1"/>
    <x v="14"/>
    <s v="G-I-HHH08"/>
    <s v="G-I-HHH08-SEC01"/>
    <s v="Équipement fictif G-I-HHH08-SEC01"/>
    <s v="Maintenance préventive fictive PIS - poste G-I-HHH08"/>
    <d v="2027-10-02T00:00:00"/>
    <x v="1"/>
    <s v="PIS"/>
    <x v="0"/>
    <s v="COMPTAGE"/>
    <s v="ACTI"/>
    <s v="STAT_SYS_A"/>
    <s v="EQ-HHH08-06"/>
    <d v="2027-07-20T00:00:00"/>
    <d v="2027-09-15T00:00:00"/>
    <x v="29"/>
    <s v="RNA"/>
    <s v="AA3"/>
    <s v="ZPR2"/>
    <x v="0"/>
    <m/>
    <s v="USER01"/>
    <n v="1166.79"/>
    <s v="AA3"/>
    <s v="GG-PREV"/>
    <s v="1"/>
    <s v="Code site"/>
    <m/>
    <n v="1"/>
    <m/>
    <n v="18"/>
    <m/>
    <s v="DEMO_GMAO.xlsx"/>
    <d v="2026-10-14T15:00:00"/>
  </r>
  <r>
    <s v="910000018"/>
    <m/>
    <x v="3"/>
    <x v="2"/>
    <x v="16"/>
    <s v="G-I-III09"/>
    <s v="G-I-III09-REG01"/>
    <s v="Équipement fictif G-I-III09-REG01"/>
    <s v="Maintenance préventive fictive EC+PIS - poste G-I-III09"/>
    <d v="2026-01-13T00:00:00"/>
    <x v="0"/>
    <s v="EC+PIS"/>
    <x v="1"/>
    <s v="COUPURE"/>
    <s v="TERM"/>
    <s v="STAT_SYS_A"/>
    <s v="EQ-III09-09"/>
    <d v="2025-12-04T00:00:00"/>
    <d v="2025-12-22T00:00:00"/>
    <x v="12"/>
    <s v="RNA"/>
    <s v="AA4"/>
    <s v="ZPR2"/>
    <x v="0"/>
    <m/>
    <s v="USER03"/>
    <n v="1433.38"/>
    <s v="AA4"/>
    <s v="GG-PREV"/>
    <s v="2"/>
    <s v="Code site"/>
    <m/>
    <n v="1"/>
    <m/>
    <n v="19"/>
    <m/>
    <s v="DEMO_GMAO.xlsx"/>
    <d v="2026-10-14T15:00:00"/>
  </r>
  <r>
    <s v="910000018"/>
    <m/>
    <x v="3"/>
    <x v="2"/>
    <x v="16"/>
    <s v="G-I-III09"/>
    <s v="G-I-III09-REG01"/>
    <s v="Équipement fictif G-I-III09-REG01"/>
    <s v="Maintenance préventive fictive EC+PIS - poste G-I-III09"/>
    <d v="2026-01-13T00:00:00"/>
    <x v="0"/>
    <s v="EC+PIS"/>
    <x v="0"/>
    <s v="COUPURE"/>
    <s v="TERM"/>
    <s v="STAT_SYS_A"/>
    <s v="EQ-III09-09"/>
    <d v="2025-12-04T00:00:00"/>
    <d v="2025-12-22T00:00:00"/>
    <x v="12"/>
    <s v="RNA"/>
    <s v="AA4"/>
    <s v="ZPR2"/>
    <x v="0"/>
    <m/>
    <s v="USER03"/>
    <n v="1433.38"/>
    <s v="AA4"/>
    <s v="GG-PREV"/>
    <s v="2"/>
    <s v="Code site"/>
    <m/>
    <n v="0"/>
    <m/>
    <n v="19"/>
    <m/>
    <s v="DEMO_GMAO.xlsx"/>
    <d v="2026-10-14T15:00:00"/>
  </r>
  <r>
    <s v="910000019"/>
    <m/>
    <x v="9"/>
    <x v="0"/>
    <x v="18"/>
    <s v="G-I-JJJ10"/>
    <s v="G-I-JJJ10-VAN01"/>
    <s v="Équipement fictif G-I-JJJ10-VAN01"/>
    <s v="Maintenance préventive fictive EC+PIS - poste G-I-JJJ10"/>
    <d v="2026-01-24T00:00:00"/>
    <x v="0"/>
    <s v="EC+PIS"/>
    <x v="1"/>
    <s v="COMPTAGE"/>
    <s v="ACTI"/>
    <s v="STAT_SYS_A"/>
    <s v="EQ-JJJ10-01"/>
    <d v="2025-12-10T00:00:00"/>
    <d v="2025-12-30T00:00:00"/>
    <x v="14"/>
    <s v="VRS"/>
    <s v="AA1"/>
    <s v="ZPR2"/>
    <x v="0"/>
    <m/>
    <s v="USER02"/>
    <n v="1269.5"/>
    <s v="AA1"/>
    <s v="GG-PREV"/>
    <s v="2"/>
    <s v="Code site"/>
    <m/>
    <n v="1"/>
    <m/>
    <n v="20"/>
    <m/>
    <s v="DEMO_GMAO.xlsx"/>
    <d v="2026-10-14T15:00:00"/>
  </r>
  <r>
    <s v="910000019"/>
    <m/>
    <x v="9"/>
    <x v="0"/>
    <x v="18"/>
    <s v="G-I-JJJ10"/>
    <s v="G-I-JJJ10-VAN01"/>
    <s v="Équipement fictif G-I-JJJ10-VAN01"/>
    <s v="Maintenance préventive fictive EC+PIS - poste G-I-JJJ10"/>
    <d v="2026-01-24T00:00:00"/>
    <x v="0"/>
    <s v="EC+PIS"/>
    <x v="0"/>
    <s v="COMPTAGE"/>
    <s v="ACTI"/>
    <s v="STAT_SYS_A"/>
    <s v="EQ-JJJ10-01"/>
    <d v="2025-12-10T00:00:00"/>
    <d v="2025-12-30T00:00:00"/>
    <x v="14"/>
    <s v="VRS"/>
    <s v="AA1"/>
    <s v="ZPR2"/>
    <x v="0"/>
    <m/>
    <s v="USER02"/>
    <n v="1269.5"/>
    <s v="AA1"/>
    <s v="GG-PREV"/>
    <s v="2"/>
    <s v="Code site"/>
    <m/>
    <n v="0"/>
    <m/>
    <n v="20"/>
    <m/>
    <s v="DEMO_GMAO.xlsx"/>
    <d v="2026-10-14T15:00:00"/>
  </r>
  <r>
    <s v="910000020"/>
    <m/>
    <x v="9"/>
    <x v="0"/>
    <x v="18"/>
    <s v="G-I-JJJ10"/>
    <s v="G-I-JJJ10-VAN01"/>
    <s v="Équipement fictif G-I-JJJ10-VAN01"/>
    <s v="Maintenance préventive fictive PIS - poste G-I-JJJ10"/>
    <d v="2027-09-11T00:00:00"/>
    <x v="1"/>
    <s v="PIS"/>
    <x v="0"/>
    <s v="COMPTAGE"/>
    <s v="ACTI"/>
    <s v="STAT_SYS_A"/>
    <s v="EQ-JJJ10-02"/>
    <d v="2027-07-15T00:00:00"/>
    <d v="2027-08-31T00:00:00"/>
    <x v="14"/>
    <s v="VRS"/>
    <s v="AA1"/>
    <s v="ZPR2"/>
    <x v="0"/>
    <m/>
    <s v="USER01"/>
    <n v="643.41"/>
    <s v="AA1"/>
    <s v="GG-PREV"/>
    <s v="3"/>
    <s v="Code site"/>
    <m/>
    <n v="1"/>
    <m/>
    <n v="21"/>
    <m/>
    <s v="DEMO_GMAO.xlsx"/>
    <d v="2026-10-14T15:00:00"/>
  </r>
  <r>
    <s v="910000021"/>
    <m/>
    <x v="9"/>
    <x v="1"/>
    <x v="20"/>
    <s v="G-I-KKK11"/>
    <s v="G-I-KKK11-FILT01"/>
    <s v="Équipement fictif G-I-KKK11-FILT01"/>
    <s v="Maintenance préventive fictive PIS - poste G-I-KKK11"/>
    <d v="2026-09-07T00:00:00"/>
    <x v="0"/>
    <s v="PIS"/>
    <x v="0"/>
    <s v="COUPURE"/>
    <s v="TERM"/>
    <s v="STAT_SYS_A"/>
    <s v="EQ-KKK11-03"/>
    <d v="2026-06-24T00:00:00"/>
    <d v="2026-08-14T00:00:00"/>
    <x v="16"/>
    <s v="VRS"/>
    <s v="AA3"/>
    <s v="ZPR2"/>
    <x v="0"/>
    <m/>
    <s v="USER02"/>
    <n v="1092.48"/>
    <s v="AA3"/>
    <s v="GG-PREV"/>
    <s v="3"/>
    <s v="Code site"/>
    <m/>
    <n v="1"/>
    <m/>
    <n v="22"/>
    <m/>
    <s v="DEMO_GMAO.xlsx"/>
    <d v="2026-10-14T15:00:00"/>
  </r>
  <r>
    <s v="910000022"/>
    <m/>
    <x v="9"/>
    <x v="1"/>
    <x v="20"/>
    <s v="G-I-KKK11"/>
    <s v="G-I-KKK11-FILT01"/>
    <s v="Équipement fictif G-I-KKK11-FILT01"/>
    <s v="Maintenance préventive fictive PIS - poste G-I-KKK11"/>
    <d v="2027-03-12T00:00:00"/>
    <x v="1"/>
    <s v="PIS"/>
    <x v="0"/>
    <s v="COUPURE"/>
    <s v="ACTI"/>
    <s v="STAT_SYS_A"/>
    <s v="EQ-KKK11-06"/>
    <d v="2027-01-20T00:00:00"/>
    <d v="2027-02-10T00:00:00"/>
    <x v="16"/>
    <s v="VRS"/>
    <s v="AA3"/>
    <s v="ZPR2"/>
    <x v="0"/>
    <m/>
    <s v="USER03"/>
    <n v="1355.67"/>
    <s v="AA3"/>
    <s v="GG-PREV"/>
    <s v="1"/>
    <s v="Code site"/>
    <m/>
    <n v="1"/>
    <m/>
    <n v="23"/>
    <m/>
    <s v="DEMO_GMAO.xlsx"/>
    <d v="2026-10-14T15:00:00"/>
  </r>
  <r>
    <s v="910000023"/>
    <m/>
    <x v="9"/>
    <x v="2"/>
    <x v="21"/>
    <s v="G-I-LLL12"/>
    <s v="G-I-LLL12-SEC01"/>
    <s v="Équipement fictif G-I-LLL12-SEC01"/>
    <s v="Maintenance préventive fictive EC+PIS - poste G-I-LLL12"/>
    <d v="2026-05-09T00:00:00"/>
    <x v="0"/>
    <s v="EC+PIS"/>
    <x v="1"/>
    <s v="COMPTAGE"/>
    <s v="ACTI"/>
    <s v="STAT_SYS_A"/>
    <s v="EQ-LLL12-05"/>
    <d v="2026-02-24T00:00:00"/>
    <d v="2026-04-14T00:00:00"/>
    <x v="18"/>
    <s v="VRS"/>
    <s v="AA4"/>
    <s v="ZPR2"/>
    <x v="0"/>
    <m/>
    <s v="USER02"/>
    <n v="919.38"/>
    <s v="AA4"/>
    <s v="GG-PREV"/>
    <s v="1"/>
    <s v="Code site"/>
    <m/>
    <n v="1"/>
    <m/>
    <n v="24"/>
    <m/>
    <s v="DEMO_GMAO.xlsx"/>
    <d v="2026-10-14T15:00:00"/>
  </r>
  <r>
    <s v="910000023"/>
    <m/>
    <x v="9"/>
    <x v="2"/>
    <x v="21"/>
    <s v="G-I-LLL12"/>
    <s v="G-I-LLL12-SEC01"/>
    <s v="Équipement fictif G-I-LLL12-SEC01"/>
    <s v="Maintenance préventive fictive EC+PIS - poste G-I-LLL12"/>
    <d v="2026-05-09T00:00:00"/>
    <x v="0"/>
    <s v="EC+PIS"/>
    <x v="0"/>
    <s v="COMPTAGE"/>
    <s v="ACTI"/>
    <s v="STAT_SYS_A"/>
    <s v="EQ-LLL12-05"/>
    <d v="2026-02-24T00:00:00"/>
    <d v="2026-04-14T00:00:00"/>
    <x v="18"/>
    <s v="VRS"/>
    <s v="AA4"/>
    <s v="ZPR2"/>
    <x v="0"/>
    <m/>
    <s v="USER02"/>
    <n v="919.38"/>
    <s v="AA4"/>
    <s v="GG-PREV"/>
    <s v="1"/>
    <s v="Code site"/>
    <m/>
    <n v="0"/>
    <m/>
    <n v="24"/>
    <m/>
    <s v="DEMO_GMAO.xlsx"/>
    <d v="2026-10-14T15:00:00"/>
  </r>
  <r>
    <s v="910000024"/>
    <m/>
    <x v="9"/>
    <x v="2"/>
    <x v="21"/>
    <s v="G-I-LLL12"/>
    <s v="G-I-LLL12-SEC01"/>
    <s v="Équipement fictif G-I-LLL12-SEC01"/>
    <s v="Maintenance préventive fictive PIS - poste G-I-LLL12"/>
    <d v="2027-08-26T00:00:00"/>
    <x v="1"/>
    <s v="PIS"/>
    <x v="0"/>
    <s v="COMPTAGE"/>
    <s v="TERM"/>
    <s v="STAT_SYS_A"/>
    <s v="EQ-LLL12-06"/>
    <d v="2027-07-06T00:00:00"/>
    <d v="2027-08-11T00:00:00"/>
    <x v="18"/>
    <s v="VRS"/>
    <s v="AA4"/>
    <s v="ZPR2"/>
    <x v="0"/>
    <m/>
    <s v="USER03"/>
    <n v="1392.55"/>
    <s v="AA4"/>
    <s v="GG-PREV"/>
    <s v="1"/>
    <s v="Code site"/>
    <m/>
    <n v="1"/>
    <m/>
    <n v="25"/>
    <m/>
    <s v="DEMO_GMAO.xlsx"/>
    <d v="2026-10-14T15:00:00"/>
  </r>
  <r>
    <s v="910000025"/>
    <m/>
    <x v="2"/>
    <x v="0"/>
    <x v="22"/>
    <s v="G-I-MMN13"/>
    <s v="G-I-MMN13-REG01"/>
    <s v="Équipement fictif G-I-MMN13-REG01"/>
    <s v="Maintenance préventive fictive PIS - poste G-I-MMN13"/>
    <d v="2026-02-20T00:00:00"/>
    <x v="0"/>
    <s v="PIS"/>
    <x v="0"/>
    <s v="LIVRAISON"/>
    <s v="TERM"/>
    <s v="STAT_SYS_A"/>
    <s v="EQ-MMN13-08"/>
    <d v="2026-01-11T00:00:00"/>
    <d v="2026-02-10T00:00:00"/>
    <x v="20"/>
    <s v="LRO"/>
    <s v="AA1"/>
    <s v="ZPR2"/>
    <x v="0"/>
    <m/>
    <s v="USER01"/>
    <n v="930.74"/>
    <s v="AA1"/>
    <s v="GG-PREV"/>
    <s v="1"/>
    <s v="Code site"/>
    <m/>
    <n v="1"/>
    <m/>
    <n v="26"/>
    <m/>
    <s v="DEMO_GMAO.xlsx"/>
    <d v="2026-10-14T15:00:00"/>
  </r>
  <r>
    <s v="910000026"/>
    <m/>
    <x v="2"/>
    <x v="0"/>
    <x v="22"/>
    <s v="G-I-MMN13"/>
    <s v="G-I-MMN13-REG01"/>
    <s v="Équipement fictif G-I-MMN13-REG01"/>
    <s v="Maintenance préventive fictive PIS - poste G-I-MMN13"/>
    <d v="2027-02-09T00:00:00"/>
    <x v="1"/>
    <s v="PIS"/>
    <x v="0"/>
    <s v="LIVRAISON"/>
    <s v="TERM"/>
    <s v="STAT_SYS_A"/>
    <s v="EQ-MMN13-02"/>
    <d v="2026-11-27T00:00:00"/>
    <d v="2027-02-04T00:00:00"/>
    <x v="20"/>
    <s v="LRO"/>
    <s v="AA1"/>
    <s v="ZPR2"/>
    <x v="0"/>
    <m/>
    <s v="USER02"/>
    <n v="711.69"/>
    <s v="AA1"/>
    <s v="GG-PREV"/>
    <s v="3"/>
    <s v="Code site"/>
    <m/>
    <n v="1"/>
    <m/>
    <n v="27"/>
    <m/>
    <s v="DEMO_GMAO.xlsx"/>
    <d v="2026-10-14T15:00:00"/>
  </r>
  <r>
    <s v="910000027"/>
    <m/>
    <x v="2"/>
    <x v="0"/>
    <x v="22"/>
    <s v="G-I-MMN13"/>
    <s v="G-I-MMN13-REG01"/>
    <s v="Équipement fictif G-I-MMN13-REG01"/>
    <s v="Maintenance préventive fictive EC - poste G-I-MMN13"/>
    <d v="2027-10-25T00:00:00"/>
    <x v="1"/>
    <s v="EC"/>
    <x v="1"/>
    <s v="LIVRAISON"/>
    <s v="TERM"/>
    <s v="STAT_SYS_A"/>
    <s v="EQ-MMN13-05"/>
    <d v="2027-08-31T00:00:00"/>
    <d v="2027-10-03T00:00:00"/>
    <x v="20"/>
    <s v="LRO"/>
    <s v="AA1"/>
    <s v="ZPR2"/>
    <x v="0"/>
    <m/>
    <s v="USER03"/>
    <n v="1185.62"/>
    <s v="AA1"/>
    <s v="GG-PREV"/>
    <s v="2"/>
    <s v="Code site"/>
    <m/>
    <n v="1"/>
    <m/>
    <n v="28"/>
    <m/>
    <s v="DEMO_GMAO.xlsx"/>
    <d v="2026-10-14T15:00:00"/>
  </r>
  <r>
    <s v="910000028"/>
    <m/>
    <x v="2"/>
    <x v="1"/>
    <x v="23"/>
    <s v="G-I-NNN14"/>
    <s v="G-I-NNN14-VAN01"/>
    <s v="Équipement fictif G-I-NNN14-VAN01"/>
    <s v="Maintenance préventive fictive EC+PIS - poste G-I-NNN14"/>
    <d v="2026-09-15T00:00:00"/>
    <x v="0"/>
    <s v="EC+PIS"/>
    <x v="1"/>
    <s v="SECTIONNEMENT"/>
    <s v="ACTI"/>
    <s v="STAT_SYS_A"/>
    <s v="EQ-NNN14-06"/>
    <d v="2026-07-21T00:00:00"/>
    <d v="2026-09-06T00:00:00"/>
    <x v="32"/>
    <s v="LRO"/>
    <s v="AA3"/>
    <s v="ZPR2"/>
    <x v="0"/>
    <m/>
    <s v="USER01"/>
    <n v="218.54"/>
    <s v="AA3"/>
    <s v="GG-PREV"/>
    <s v="1"/>
    <s v="Code site"/>
    <m/>
    <n v="1"/>
    <m/>
    <n v="29"/>
    <m/>
    <s v="DEMO_GMAO.xlsx"/>
    <d v="2026-10-14T15:00:00"/>
  </r>
  <r>
    <s v="910000028"/>
    <m/>
    <x v="2"/>
    <x v="1"/>
    <x v="23"/>
    <s v="G-I-NNN14"/>
    <s v="G-I-NNN14-VAN01"/>
    <s v="Équipement fictif G-I-NNN14-VAN01"/>
    <s v="Maintenance préventive fictive EC+PIS - poste G-I-NNN14"/>
    <d v="2026-09-15T00:00:00"/>
    <x v="0"/>
    <s v="EC+PIS"/>
    <x v="0"/>
    <s v="SECTIONNEMENT"/>
    <s v="ACTI"/>
    <s v="STAT_SYS_A"/>
    <s v="EQ-NNN14-06"/>
    <d v="2026-07-21T00:00:00"/>
    <d v="2026-09-06T00:00:00"/>
    <x v="32"/>
    <s v="LRO"/>
    <s v="AA3"/>
    <s v="ZPR2"/>
    <x v="0"/>
    <m/>
    <s v="USER01"/>
    <n v="218.54"/>
    <s v="AA3"/>
    <s v="GG-PREV"/>
    <s v="1"/>
    <s v="Code site"/>
    <m/>
    <n v="0"/>
    <m/>
    <n v="29"/>
    <m/>
    <s v="DEMO_GMAO.xlsx"/>
    <d v="2026-10-14T15:00:00"/>
  </r>
  <r>
    <s v="910000029"/>
    <m/>
    <x v="2"/>
    <x v="1"/>
    <x v="23"/>
    <s v="G-I-NNN14"/>
    <s v="G-I-NNN14-VAN01"/>
    <s v="Équipement fictif G-I-NNN14-VAN01"/>
    <s v="Maintenance préventive fictive PIS+REV - poste G-I-NNN14"/>
    <d v="2027-04-26T00:00:00"/>
    <x v="1"/>
    <s v="PIS+REV"/>
    <x v="0"/>
    <s v="SECTIONNEMENT"/>
    <s v="TERM"/>
    <s v="STAT_SYS_A"/>
    <s v="EQ-NNN14-04"/>
    <d v="2027-02-28T00:00:00"/>
    <d v="2027-03-30T00:00:00"/>
    <x v="32"/>
    <s v="LRO"/>
    <s v="AA3"/>
    <s v="ZPR2"/>
    <x v="0"/>
    <m/>
    <s v="USER01"/>
    <n v="724.26"/>
    <s v="AA3"/>
    <s v="GG-PREV"/>
    <s v="1"/>
    <s v="Code site"/>
    <m/>
    <n v="1"/>
    <m/>
    <n v="30"/>
    <m/>
    <s v="DEMO_GMAO.xlsx"/>
    <d v="2026-10-14T15:00:00"/>
  </r>
  <r>
    <s v="910000029"/>
    <m/>
    <x v="2"/>
    <x v="1"/>
    <x v="23"/>
    <s v="G-I-NNN14"/>
    <s v="G-I-NNN14-VAN01"/>
    <s v="Équipement fictif G-I-NNN14-VAN01"/>
    <s v="Maintenance préventive fictive PIS+REV - poste G-I-NNN14"/>
    <d v="2027-04-26T00:00:00"/>
    <x v="1"/>
    <s v="PIS+REV"/>
    <x v="4"/>
    <s v="SECTIONNEMENT"/>
    <s v="TERM"/>
    <s v="STAT_SYS_A"/>
    <s v="EQ-NNN14-04"/>
    <d v="2027-02-28T00:00:00"/>
    <d v="2027-03-30T00:00:00"/>
    <x v="32"/>
    <s v="LRO"/>
    <s v="AA3"/>
    <s v="ZPR2"/>
    <x v="0"/>
    <m/>
    <s v="USER01"/>
    <n v="724.26"/>
    <s v="AA3"/>
    <s v="GG-PREV"/>
    <s v="1"/>
    <s v="Code site"/>
    <m/>
    <n v="0"/>
    <m/>
    <n v="30"/>
    <m/>
    <s v="DEMO_GMAO.xlsx"/>
    <d v="2026-10-14T15:00:00"/>
  </r>
  <r>
    <s v="910000030"/>
    <m/>
    <x v="2"/>
    <x v="2"/>
    <x v="24"/>
    <s v="G-I-OOO15"/>
    <s v="G-I-OOO15-FILT01"/>
    <s v="Équipement fictif G-I-OOO15-FILT01"/>
    <s v="Maintenance préventive fictive PIS - poste G-I-OOO15"/>
    <d v="2026-01-09T00:00:00"/>
    <x v="0"/>
    <s v="PIS"/>
    <x v="0"/>
    <s v="SECTIONNEMENT"/>
    <s v="ACTI"/>
    <s v="STAT_SYS_A"/>
    <s v="EQ-OOO15-01"/>
    <d v="2025-11-20T00:00:00"/>
    <d v="2025-12-29T00:00:00"/>
    <x v="22"/>
    <s v="LRO"/>
    <s v="AA4"/>
    <s v="ZPR2"/>
    <x v="0"/>
    <m/>
    <s v="USER02"/>
    <n v="445.89"/>
    <s v="AA4"/>
    <s v="GG-PREV"/>
    <s v="1"/>
    <s v="Code site"/>
    <m/>
    <n v="1"/>
    <m/>
    <n v="31"/>
    <m/>
    <s v="DEMO_GMAO.xlsx"/>
    <d v="2026-10-14T15:00:00"/>
  </r>
  <r>
    <s v="910000031"/>
    <m/>
    <x v="0"/>
    <x v="0"/>
    <x v="25"/>
    <s v="G-I-PPP16"/>
    <s v="G-I-PPP16-SEC01"/>
    <s v="Équipement fictif G-I-PPP16-SEC01"/>
    <s v="Maintenance préventive fictive PIS - poste G-I-PPP16"/>
    <d v="2026-08-11T00:00:00"/>
    <x v="0"/>
    <s v="PIS"/>
    <x v="0"/>
    <s v="COMPTAGE"/>
    <s v="TERM"/>
    <s v="STAT_SYS_A"/>
    <s v="EQ-PPP16-05"/>
    <d v="2026-06-01T00:00:00"/>
    <d v="2026-08-05T00:00:00"/>
    <x v="24"/>
    <s v="ALZ"/>
    <s v="AA1"/>
    <s v="ZPR2"/>
    <x v="0"/>
    <m/>
    <s v="USER01"/>
    <n v="1327.54"/>
    <s v="AA1"/>
    <s v="GG-PREV"/>
    <s v="2"/>
    <s v="Code site"/>
    <m/>
    <n v="1"/>
    <m/>
    <n v="32"/>
    <m/>
    <s v="DEMO_GMAO.xlsx"/>
    <d v="2026-10-14T15:00:00"/>
  </r>
  <r>
    <s v="910000032"/>
    <m/>
    <x v="0"/>
    <x v="0"/>
    <x v="25"/>
    <s v="G-I-PPP16"/>
    <s v="G-I-PPP16-SEC01"/>
    <s v="Équipement fictif G-I-PPP16-SEC01"/>
    <s v="Maintenance préventive fictive PIS - poste G-I-PPP16"/>
    <d v="2027-03-24T00:00:00"/>
    <x v="1"/>
    <s v="PIS"/>
    <x v="0"/>
    <s v="COMPTAGE"/>
    <s v="TERM"/>
    <s v="STAT_SYS_A"/>
    <s v="EQ-PPP16-09"/>
    <d v="2027-01-01T00:00:00"/>
    <d v="2027-03-17T00:00:00"/>
    <x v="24"/>
    <s v="ALZ"/>
    <s v="AA1"/>
    <s v="ZPR2"/>
    <x v="0"/>
    <m/>
    <s v="USER03"/>
    <n v="181.75"/>
    <s v="AA1"/>
    <s v="GG-PREV"/>
    <s v="2"/>
    <s v="Code site"/>
    <m/>
    <n v="1"/>
    <m/>
    <n v="33"/>
    <m/>
    <s v="DEMO_GMAO.xlsx"/>
    <d v="2026-10-14T15:00:00"/>
  </r>
  <r>
    <s v="910000033"/>
    <m/>
    <x v="0"/>
    <x v="0"/>
    <x v="25"/>
    <s v="G-I-PPP16"/>
    <s v="G-I-PPP16-SEC01"/>
    <s v="Équipement fictif G-I-PPP16-SEC01"/>
    <s v="Maintenance préventive fictive PIS - poste G-I-PPP16"/>
    <d v="2027-09-07T00:00:00"/>
    <x v="1"/>
    <s v="PIS"/>
    <x v="0"/>
    <s v="COMPTAGE"/>
    <s v="TERM"/>
    <s v="STAT_SYS_A"/>
    <s v="EQ-PPP16-06"/>
    <d v="2027-06-15T00:00:00"/>
    <d v="2027-08-17T00:00:00"/>
    <x v="24"/>
    <s v="ALZ"/>
    <s v="AA1"/>
    <s v="ZPR2"/>
    <x v="0"/>
    <m/>
    <s v="USER01"/>
    <n v="1176.37"/>
    <s v="AA1"/>
    <s v="GG-PREV"/>
    <s v="1"/>
    <s v="Code site"/>
    <m/>
    <n v="1"/>
    <m/>
    <n v="34"/>
    <m/>
    <s v="DEMO_GMAO.xlsx"/>
    <d v="2026-10-14T15:00:00"/>
  </r>
  <r>
    <s v="910000034"/>
    <m/>
    <x v="0"/>
    <x v="1"/>
    <x v="26"/>
    <s v="G-I-QQQ17"/>
    <s v="G-I-QQQ17-REG01"/>
    <s v="Équipement fictif G-I-QQQ17-REG01"/>
    <s v="Maintenance préventive fictive PIS - poste G-I-QQQ17"/>
    <d v="2026-03-09T00:00:00"/>
    <x v="0"/>
    <s v="PIS"/>
    <x v="0"/>
    <s v="DETENTE"/>
    <s v="TERM"/>
    <s v="STAT_SYS_A"/>
    <s v="EQ-QQQ17-09"/>
    <d v="2026-01-20T00:00:00"/>
    <d v="2026-02-23T00:00:00"/>
    <x v="26"/>
    <s v="ALZ"/>
    <s v="AA3"/>
    <s v="ZPR2"/>
    <x v="0"/>
    <m/>
    <s v="USER02"/>
    <n v="1424.88"/>
    <s v="AA3"/>
    <s v="GG-PREV"/>
    <s v="1"/>
    <s v="Code site"/>
    <m/>
    <n v="1"/>
    <m/>
    <n v="35"/>
    <m/>
    <s v="DEMO_GMAO.xlsx"/>
    <d v="2026-10-14T15:00:00"/>
  </r>
  <r>
    <s v="910000035"/>
    <m/>
    <x v="0"/>
    <x v="1"/>
    <x v="26"/>
    <s v="G-I-QQQ17"/>
    <s v="G-I-QQQ17-REG01"/>
    <s v="Équipement fictif G-I-QQQ17-REG01"/>
    <s v="Maintenance préventive fictive EC+REV+FILTRE - poste G-I-QQQ17"/>
    <d v="2026-02-14T00:00:00"/>
    <x v="0"/>
    <s v="EC+REV+FILTRE"/>
    <x v="1"/>
    <s v="DETENTE"/>
    <s v="TERM"/>
    <s v="STAT_SYS_A"/>
    <s v="EQ-QQQ17-06"/>
    <d v="2025-12-14T00:00:00"/>
    <d v="2026-01-18T00:00:00"/>
    <x v="26"/>
    <s v="ALZ"/>
    <s v="AA3"/>
    <s v="ZPR2"/>
    <x v="0"/>
    <m/>
    <s v="USER02"/>
    <n v="1493.35"/>
    <s v="AA3"/>
    <s v="GG-PREV"/>
    <s v="2"/>
    <s v="Code site"/>
    <m/>
    <n v="1"/>
    <m/>
    <n v="36"/>
    <m/>
    <s v="DEMO_GMAO.xlsx"/>
    <d v="2026-10-14T15:00:00"/>
  </r>
  <r>
    <s v="910000035"/>
    <m/>
    <x v="0"/>
    <x v="1"/>
    <x v="26"/>
    <s v="G-I-QQQ17"/>
    <s v="G-I-QQQ17-REG01"/>
    <s v="Équipement fictif G-I-QQQ17-REG01"/>
    <s v="Maintenance préventive fictive EC+REV+FILTRE - poste G-I-QQQ17"/>
    <d v="2026-02-14T00:00:00"/>
    <x v="0"/>
    <s v="EC+REV+FILTRE"/>
    <x v="4"/>
    <s v="DETENTE"/>
    <s v="TERM"/>
    <s v="STAT_SYS_A"/>
    <s v="EQ-QQQ17-06"/>
    <d v="2025-12-14T00:00:00"/>
    <d v="2026-01-18T00:00:00"/>
    <x v="26"/>
    <s v="ALZ"/>
    <s v="AA3"/>
    <s v="ZPR2"/>
    <x v="0"/>
    <m/>
    <s v="USER02"/>
    <n v="1493.35"/>
    <s v="AA3"/>
    <s v="GG-PREV"/>
    <s v="2"/>
    <s v="Code site"/>
    <m/>
    <n v="0"/>
    <m/>
    <n v="36"/>
    <m/>
    <s v="DEMO_GMAO.xlsx"/>
    <d v="2026-10-14T15:00:00"/>
  </r>
  <r>
    <s v="910000035"/>
    <m/>
    <x v="0"/>
    <x v="1"/>
    <x v="26"/>
    <s v="G-I-QQQ17"/>
    <s v="G-I-QQQ17-REG01"/>
    <s v="Équipement fictif G-I-QQQ17-REG01"/>
    <s v="Maintenance préventive fictive EC+REV+FILTRE - poste G-I-QQQ17"/>
    <d v="2026-02-14T00:00:00"/>
    <x v="0"/>
    <s v="EC+REV+FILTRE"/>
    <x v="3"/>
    <s v="DETENTE"/>
    <s v="TERM"/>
    <s v="STAT_SYS_A"/>
    <s v="EQ-QQQ17-06"/>
    <d v="2025-12-14T00:00:00"/>
    <d v="2026-01-18T00:00:00"/>
    <x v="26"/>
    <s v="ALZ"/>
    <s v="AA3"/>
    <s v="ZPR2"/>
    <x v="0"/>
    <m/>
    <s v="USER02"/>
    <n v="1493.35"/>
    <s v="AA3"/>
    <s v="GG-PREV"/>
    <s v="2"/>
    <s v="Code site"/>
    <m/>
    <n v="0"/>
    <m/>
    <n v="36"/>
    <m/>
    <s v="DEMO_GMAO.xlsx"/>
    <d v="2026-10-14T15:00:00"/>
  </r>
  <r>
    <s v="910000036"/>
    <m/>
    <x v="0"/>
    <x v="1"/>
    <x v="26"/>
    <s v="G-I-QQQ17"/>
    <s v="G-I-QQQ17-REG01"/>
    <s v="Équipement fictif G-I-QQQ17-REG01"/>
    <s v="Maintenance préventive fictive PIS - poste G-I-QQQ17"/>
    <d v="2027-09-21T00:00:00"/>
    <x v="1"/>
    <s v="PIS"/>
    <x v="0"/>
    <s v="DETENTE"/>
    <s v="TERM"/>
    <s v="STAT_SYS_A"/>
    <s v="EQ-QQQ17-08"/>
    <d v="2027-07-27T00:00:00"/>
    <d v="2027-08-24T00:00:00"/>
    <x v="26"/>
    <s v="ALZ"/>
    <s v="AA3"/>
    <s v="ZPR2"/>
    <x v="0"/>
    <m/>
    <s v="USER02"/>
    <n v="1416.42"/>
    <s v="AA3"/>
    <s v="GG-PREV"/>
    <s v="1"/>
    <s v="Code site"/>
    <m/>
    <n v="1"/>
    <m/>
    <n v="37"/>
    <m/>
    <s v="DEMO_GMAO.xlsx"/>
    <d v="2026-10-14T15:00:00"/>
  </r>
  <r>
    <s v="910000037"/>
    <m/>
    <x v="0"/>
    <x v="2"/>
    <x v="27"/>
    <s v="G-I-RRR18"/>
    <s v="G-I-RRR18-VAN01"/>
    <s v="Équipement fictif G-I-RRR18-VAN01"/>
    <s v="Maintenance préventive fictive PIS - poste G-I-RRR18"/>
    <d v="2026-02-03T00:00:00"/>
    <x v="0"/>
    <s v="PIS"/>
    <x v="0"/>
    <s v="LIVRAISON"/>
    <s v="TERM"/>
    <s v="STAT_SYS_A"/>
    <s v="EQ-RRR18-05"/>
    <d v="2025-12-17T00:00:00"/>
    <d v="2026-01-08T00:00:00"/>
    <x v="27"/>
    <s v="ALZ"/>
    <s v="AA4"/>
    <s v="ZPR2"/>
    <x v="0"/>
    <m/>
    <s v="USER02"/>
    <n v="777.99"/>
    <s v="AA4"/>
    <s v="GG-PREV"/>
    <s v="2"/>
    <s v="Code site"/>
    <m/>
    <n v="1"/>
    <m/>
    <n v="38"/>
    <m/>
    <s v="DEMO_GMAO.xlsx"/>
    <d v="2026-10-14T15:00:00"/>
  </r>
  <r>
    <s v="910000038"/>
    <m/>
    <x v="0"/>
    <x v="2"/>
    <x v="27"/>
    <s v="G-I-RRR18"/>
    <s v="G-I-RRR18-VAN01"/>
    <s v="Équipement fictif G-I-RRR18-VAN01"/>
    <s v="Maintenance préventive fictive PIS - poste G-I-RRR18"/>
    <d v="2027-08-07T00:00:00"/>
    <x v="1"/>
    <s v="PIS"/>
    <x v="0"/>
    <s v="LIVRAISON"/>
    <s v="TERM"/>
    <s v="STAT_SYS_A"/>
    <s v="EQ-RRR18-09"/>
    <d v="2027-06-26T00:00:00"/>
    <d v="2027-07-16T00:00:00"/>
    <x v="27"/>
    <s v="ALZ"/>
    <s v="AA4"/>
    <s v="ZPR2"/>
    <x v="0"/>
    <m/>
    <s v="USER01"/>
    <n v="450.84"/>
    <s v="AA4"/>
    <s v="GG-PREV"/>
    <s v="1"/>
    <s v="Code site"/>
    <m/>
    <n v="1"/>
    <m/>
    <n v="39"/>
    <m/>
    <s v="DEMO_GMAO.xlsx"/>
    <d v="2026-10-14T15:00:00"/>
  </r>
  <r>
    <s v="910000039"/>
    <m/>
    <x v="8"/>
    <x v="0"/>
    <x v="28"/>
    <s v="G-I-SSS19"/>
    <s v="G-I-SSS19-FILT01"/>
    <s v="Équipement fictif G-I-SSS19-FILT01"/>
    <s v="Maintenance préventive fictive EC+PIS - poste G-I-SSS19"/>
    <d v="2026-01-24T00:00:00"/>
    <x v="0"/>
    <s v="EC+PIS"/>
    <x v="1"/>
    <s v="PIQUAGE"/>
    <s v="ACTI"/>
    <s v="STAT_SYS_A"/>
    <s v="EQ-SSS19-09"/>
    <d v="2025-11-20T00:00:00"/>
    <d v="2025-12-25T00:00:00"/>
    <x v="28"/>
    <s v="VDY"/>
    <s v="AA1"/>
    <s v="ZPR2"/>
    <x v="0"/>
    <m/>
    <s v="USER01"/>
    <n v="1392.1"/>
    <s v="AA1"/>
    <s v="GG-PREV"/>
    <s v="3"/>
    <s v="Code site"/>
    <m/>
    <n v="1"/>
    <m/>
    <n v="40"/>
    <m/>
    <s v="DEMO_GMAO.xlsx"/>
    <d v="2026-10-14T15:00:00"/>
  </r>
  <r>
    <s v="910000039"/>
    <m/>
    <x v="8"/>
    <x v="0"/>
    <x v="28"/>
    <s v="G-I-SSS19"/>
    <s v="G-I-SSS19-FILT01"/>
    <s v="Équipement fictif G-I-SSS19-FILT01"/>
    <s v="Maintenance préventive fictive EC+PIS - poste G-I-SSS19"/>
    <d v="2026-01-24T00:00:00"/>
    <x v="0"/>
    <s v="EC+PIS"/>
    <x v="0"/>
    <s v="PIQUAGE"/>
    <s v="ACTI"/>
    <s v="STAT_SYS_A"/>
    <s v="EQ-SSS19-09"/>
    <d v="2025-11-20T00:00:00"/>
    <d v="2025-12-25T00:00:00"/>
    <x v="28"/>
    <s v="VDY"/>
    <s v="AA1"/>
    <s v="ZPR2"/>
    <x v="0"/>
    <m/>
    <s v="USER01"/>
    <n v="1392.1"/>
    <s v="AA1"/>
    <s v="GG-PREV"/>
    <s v="3"/>
    <s v="Code site"/>
    <m/>
    <n v="0"/>
    <m/>
    <n v="40"/>
    <m/>
    <s v="DEMO_GMAO.xlsx"/>
    <d v="2026-10-14T15:00:00"/>
  </r>
  <r>
    <s v="910000040"/>
    <m/>
    <x v="8"/>
    <x v="0"/>
    <x v="28"/>
    <s v="G-I-SSS19"/>
    <s v="G-I-SSS19-FILT01"/>
    <s v="Équipement fictif G-I-SSS19-FILT01"/>
    <s v="Maintenance préventive fictive PIS - poste G-I-SSS19"/>
    <d v="2027-11-20T00:00:00"/>
    <x v="1"/>
    <s v="PIS"/>
    <x v="0"/>
    <s v="PIQUAGE"/>
    <s v="ACTI"/>
    <s v="STAT_SYS_A"/>
    <s v="EQ-SSS19-03"/>
    <d v="2027-09-21T00:00:00"/>
    <d v="2027-11-08T00:00:00"/>
    <x v="28"/>
    <s v="VDY"/>
    <s v="AA1"/>
    <s v="ZPR2"/>
    <x v="0"/>
    <m/>
    <s v="USER02"/>
    <n v="1027.26"/>
    <s v="AA1"/>
    <s v="GG-PREV"/>
    <s v="1"/>
    <s v="Code site"/>
    <m/>
    <n v="1"/>
    <m/>
    <n v="41"/>
    <m/>
    <s v="DEMO_GMAO.xlsx"/>
    <d v="2026-10-14T15:00:00"/>
  </r>
  <r>
    <s v="910000041"/>
    <m/>
    <x v="8"/>
    <x v="1"/>
    <x v="29"/>
    <s v="G-I-TTT20"/>
    <s v="G-I-TTT20-SEC01"/>
    <s v="Équipement fictif G-I-TTT20-SEC01"/>
    <s v="Maintenance préventive fictive PIS - poste G-I-TTT20"/>
    <d v="2026-01-12T00:00:00"/>
    <x v="0"/>
    <s v="PIS"/>
    <x v="0"/>
    <s v="SECTIONNEMENT"/>
    <s v="TERM"/>
    <s v="STAT_SYS_A"/>
    <s v="EQ-TTT20-01"/>
    <d v="2025-11-29T00:00:00"/>
    <d v="2026-01-04T00:00:00"/>
    <x v="31"/>
    <s v="VDY"/>
    <s v="AA3"/>
    <s v="ZPR2"/>
    <x v="0"/>
    <m/>
    <s v="USER02"/>
    <n v="1151.27"/>
    <s v="AA3"/>
    <s v="GG-PREV"/>
    <s v="1"/>
    <s v="Code site"/>
    <m/>
    <n v="1"/>
    <m/>
    <n v="42"/>
    <m/>
    <s v="DEMO_GMAO.xlsx"/>
    <d v="2026-10-14T15:00:00"/>
  </r>
  <r>
    <s v="910000042"/>
    <m/>
    <x v="8"/>
    <x v="1"/>
    <x v="29"/>
    <s v="G-I-TTT20"/>
    <s v="G-I-TTT20-SEC01"/>
    <s v="Équipement fictif G-I-TTT20-SEC01"/>
    <s v="Maintenance préventive fictive EC - poste G-I-TTT20"/>
    <d v="2026-04-08T00:00:00"/>
    <x v="0"/>
    <s v="EC"/>
    <x v="1"/>
    <s v="SECTIONNEMENT"/>
    <s v="ACTI"/>
    <s v="STAT_SYS_A"/>
    <s v="EQ-TTT20-04"/>
    <d v="2026-02-21T00:00:00"/>
    <d v="2026-03-27T00:00:00"/>
    <x v="31"/>
    <s v="VDY"/>
    <s v="AA3"/>
    <s v="ZPR2"/>
    <x v="0"/>
    <m/>
    <s v="USER03"/>
    <n v="956.78"/>
    <s v="AA3"/>
    <s v="GG-PREV"/>
    <s v="3"/>
    <s v="Code site"/>
    <m/>
    <n v="1"/>
    <m/>
    <n v="43"/>
    <m/>
    <s v="DEMO_GMAO.xlsx"/>
    <d v="2026-10-14T15:00:00"/>
  </r>
  <r>
    <s v="910000043"/>
    <m/>
    <x v="8"/>
    <x v="1"/>
    <x v="29"/>
    <s v="G-I-TTT20"/>
    <s v="G-I-TTT20-SEC01"/>
    <s v="Équipement fictif G-I-TTT20-SEC01"/>
    <s v="Maintenance préventive fictive PIS - poste G-I-TTT20"/>
    <d v="2027-08-06T00:00:00"/>
    <x v="1"/>
    <s v="PIS"/>
    <x v="0"/>
    <s v="SECTIONNEMENT"/>
    <s v="ACTI"/>
    <s v="STAT_SYS_A"/>
    <s v="EQ-TTT20-02"/>
    <d v="2027-06-25T00:00:00"/>
    <d v="2027-07-09T00:00:00"/>
    <x v="31"/>
    <s v="VDY"/>
    <s v="AA3"/>
    <s v="ZPR2"/>
    <x v="0"/>
    <m/>
    <s v="USER03"/>
    <n v="759.73"/>
    <s v="AA3"/>
    <s v="GG-PREV"/>
    <s v="3"/>
    <s v="Code site"/>
    <m/>
    <n v="1"/>
    <m/>
    <n v="44"/>
    <m/>
    <s v="DEMO_GMAO.xlsx"/>
    <d v="2026-10-14T15:00:00"/>
  </r>
  <r>
    <s v="910000044"/>
    <m/>
    <x v="8"/>
    <x v="2"/>
    <x v="30"/>
    <s v="G-I-UUU21"/>
    <s v="G-I-UUU21-REG01"/>
    <s v="Équipement fictif G-I-UUU21-REG01"/>
    <s v="Maintenance préventive fictive EC+PIS+FILTRE - poste G-I-UUU21"/>
    <d v="2026-01-22T00:00:00"/>
    <x v="0"/>
    <s v="EC+PIS+FILTRE"/>
    <x v="1"/>
    <s v="COUPURE"/>
    <s v="ACTI"/>
    <s v="STAT_SYS_A"/>
    <s v="EQ-UUU21-08"/>
    <d v="2025-12-07T00:00:00"/>
    <d v="2025-12-31T00:00:00"/>
    <x v="23"/>
    <s v="VDY"/>
    <s v="AA4"/>
    <s v="ZPR2"/>
    <x v="0"/>
    <m/>
    <s v="USER03"/>
    <n v="736.52"/>
    <s v="AA4"/>
    <s v="GG-PREV"/>
    <s v="2"/>
    <s v="Code site"/>
    <m/>
    <n v="1"/>
    <m/>
    <n v="45"/>
    <m/>
    <s v="DEMO_GMAO.xlsx"/>
    <d v="2026-10-14T15:00:00"/>
  </r>
  <r>
    <s v="910000044"/>
    <m/>
    <x v="8"/>
    <x v="2"/>
    <x v="30"/>
    <s v="G-I-UUU21"/>
    <s v="G-I-UUU21-REG01"/>
    <s v="Équipement fictif G-I-UUU21-REG01"/>
    <s v="Maintenance préventive fictive EC+PIS+FILTRE - poste G-I-UUU21"/>
    <d v="2026-01-22T00:00:00"/>
    <x v="0"/>
    <s v="EC+PIS+FILTRE"/>
    <x v="0"/>
    <s v="COUPURE"/>
    <s v="ACTI"/>
    <s v="STAT_SYS_A"/>
    <s v="EQ-UUU21-08"/>
    <d v="2025-12-07T00:00:00"/>
    <d v="2025-12-31T00:00:00"/>
    <x v="23"/>
    <s v="VDY"/>
    <s v="AA4"/>
    <s v="ZPR2"/>
    <x v="0"/>
    <m/>
    <s v="USER03"/>
    <n v="736.52"/>
    <s v="AA4"/>
    <s v="GG-PREV"/>
    <s v="2"/>
    <s v="Code site"/>
    <m/>
    <n v="0"/>
    <m/>
    <n v="45"/>
    <m/>
    <s v="DEMO_GMAO.xlsx"/>
    <d v="2026-10-14T15:00:00"/>
  </r>
  <r>
    <s v="910000044"/>
    <m/>
    <x v="8"/>
    <x v="2"/>
    <x v="30"/>
    <s v="G-I-UUU21"/>
    <s v="G-I-UUU21-REG01"/>
    <s v="Équipement fictif G-I-UUU21-REG01"/>
    <s v="Maintenance préventive fictive EC+PIS+FILTRE - poste G-I-UUU21"/>
    <d v="2026-01-22T00:00:00"/>
    <x v="0"/>
    <s v="EC+PIS+FILTRE"/>
    <x v="3"/>
    <s v="COUPURE"/>
    <s v="ACTI"/>
    <s v="STAT_SYS_A"/>
    <s v="EQ-UUU21-08"/>
    <d v="2025-12-07T00:00:00"/>
    <d v="2025-12-31T00:00:00"/>
    <x v="23"/>
    <s v="VDY"/>
    <s v="AA4"/>
    <s v="ZPR2"/>
    <x v="0"/>
    <m/>
    <s v="USER03"/>
    <n v="736.52"/>
    <s v="AA4"/>
    <s v="GG-PREV"/>
    <s v="2"/>
    <s v="Code site"/>
    <m/>
    <n v="0"/>
    <m/>
    <n v="45"/>
    <m/>
    <s v="DEMO_GMAO.xlsx"/>
    <d v="2026-10-14T15:00:00"/>
  </r>
  <r>
    <s v="910000045"/>
    <m/>
    <x v="1"/>
    <x v="0"/>
    <x v="31"/>
    <s v="G-I-VVV22"/>
    <s v="G-I-VVV22-VAN01"/>
    <s v="Équipement fictif G-I-VVV22-VAN01"/>
    <s v="Maintenance préventive fictive EC+PIS+PILOTAGE+FILTRE - poste G-I-VVV22"/>
    <d v="2026-08-11T00:00:00"/>
    <x v="0"/>
    <s v="EC+PIS+PILOTAGE+FILTRE"/>
    <x v="1"/>
    <s v="COMPTAGE"/>
    <s v="ACTI"/>
    <s v="STAT_SYS_A"/>
    <s v="EQ-VVV22-07"/>
    <d v="2026-06-21T00:00:00"/>
    <d v="2026-07-23T00:00:00"/>
    <x v="3"/>
    <s v="DEI"/>
    <s v="AA1"/>
    <s v="ZPR2"/>
    <x v="0"/>
    <m/>
    <s v="USER03"/>
    <n v="1042.56"/>
    <s v="AA1"/>
    <s v="GG-PREV"/>
    <s v="2"/>
    <s v="Code site"/>
    <m/>
    <n v="1"/>
    <m/>
    <n v="46"/>
    <m/>
    <s v="DEMO_GMAO.xlsx"/>
    <d v="2026-10-14T15:00:00"/>
  </r>
  <r>
    <s v="910000045"/>
    <m/>
    <x v="1"/>
    <x v="0"/>
    <x v="31"/>
    <s v="G-I-VVV22"/>
    <s v="G-I-VVV22-VAN01"/>
    <s v="Équipement fictif G-I-VVV22-VAN01"/>
    <s v="Maintenance préventive fictive EC+PIS+PILOTAGE+FILTRE - poste G-I-VVV22"/>
    <d v="2026-08-11T00:00:00"/>
    <x v="0"/>
    <s v="EC+PIS+PILOTAGE+FILTRE"/>
    <x v="0"/>
    <s v="COMPTAGE"/>
    <s v="ACTI"/>
    <s v="STAT_SYS_A"/>
    <s v="EQ-VVV22-07"/>
    <d v="2026-06-21T00:00:00"/>
    <d v="2026-07-23T00:00:00"/>
    <x v="3"/>
    <s v="DEI"/>
    <s v="AA1"/>
    <s v="ZPR2"/>
    <x v="0"/>
    <m/>
    <s v="USER03"/>
    <n v="1042.56"/>
    <s v="AA1"/>
    <s v="GG-PREV"/>
    <s v="2"/>
    <s v="Code site"/>
    <m/>
    <n v="0"/>
    <m/>
    <n v="46"/>
    <m/>
    <s v="DEMO_GMAO.xlsx"/>
    <d v="2026-10-14T15:00:00"/>
  </r>
  <r>
    <s v="910000045"/>
    <m/>
    <x v="1"/>
    <x v="0"/>
    <x v="31"/>
    <s v="G-I-VVV22"/>
    <s v="G-I-VVV22-VAN01"/>
    <s v="Équipement fictif G-I-VVV22-VAN01"/>
    <s v="Maintenance préventive fictive EC+PIS+PILOTAGE+FILTRE - poste G-I-VVV22"/>
    <d v="2026-08-11T00:00:00"/>
    <x v="0"/>
    <s v="EC+PIS+PILOTAGE+FILTRE"/>
    <x v="2"/>
    <s v="COMPTAGE"/>
    <s v="ACTI"/>
    <s v="STAT_SYS_A"/>
    <s v="EQ-VVV22-07"/>
    <d v="2026-06-21T00:00:00"/>
    <d v="2026-07-23T00:00:00"/>
    <x v="3"/>
    <s v="DEI"/>
    <s v="AA1"/>
    <s v="ZPR2"/>
    <x v="0"/>
    <m/>
    <s v="USER03"/>
    <n v="1042.56"/>
    <s v="AA1"/>
    <s v="GG-PREV"/>
    <s v="2"/>
    <s v="Code site"/>
    <m/>
    <n v="0"/>
    <m/>
    <n v="46"/>
    <m/>
    <s v="DEMO_GMAO.xlsx"/>
    <d v="2026-10-14T15:00:00"/>
  </r>
  <r>
    <s v="910000045"/>
    <m/>
    <x v="1"/>
    <x v="0"/>
    <x v="31"/>
    <s v="G-I-VVV22"/>
    <s v="G-I-VVV22-VAN01"/>
    <s v="Équipement fictif G-I-VVV22-VAN01"/>
    <s v="Maintenance préventive fictive EC+PIS+PILOTAGE+FILTRE - poste G-I-VVV22"/>
    <d v="2026-08-11T00:00:00"/>
    <x v="0"/>
    <s v="EC+PIS+PILOTAGE+FILTRE"/>
    <x v="3"/>
    <s v="COMPTAGE"/>
    <s v="ACTI"/>
    <s v="STAT_SYS_A"/>
    <s v="EQ-VVV22-07"/>
    <d v="2026-06-21T00:00:00"/>
    <d v="2026-07-23T00:00:00"/>
    <x v="3"/>
    <s v="DEI"/>
    <s v="AA1"/>
    <s v="ZPR2"/>
    <x v="0"/>
    <m/>
    <s v="USER03"/>
    <n v="1042.56"/>
    <s v="AA1"/>
    <s v="GG-PREV"/>
    <s v="2"/>
    <s v="Code site"/>
    <m/>
    <n v="0"/>
    <m/>
    <n v="46"/>
    <m/>
    <s v="DEMO_GMAO.xlsx"/>
    <d v="2026-10-14T15:00:00"/>
  </r>
  <r>
    <s v="910000046"/>
    <m/>
    <x v="1"/>
    <x v="0"/>
    <x v="31"/>
    <s v="G-I-VVV22"/>
    <s v="G-I-VVV22-VAN01"/>
    <s v="Équipement fictif G-I-VVV22-VAN01"/>
    <s v="Maintenance préventive fictive PIS+REV - poste G-I-VVV22"/>
    <d v="2027-10-18T00:00:00"/>
    <x v="1"/>
    <s v="PIS+REV"/>
    <x v="0"/>
    <s v="COMPTAGE"/>
    <s v="ACTI"/>
    <s v="STAT_SYS_A"/>
    <s v="EQ-VVV22-02"/>
    <d v="2027-07-28T00:00:00"/>
    <d v="2027-10-10T00:00:00"/>
    <x v="3"/>
    <s v="DEI"/>
    <s v="AA1"/>
    <s v="ZPR2"/>
    <x v="0"/>
    <m/>
    <s v="USER02"/>
    <n v="1138.19"/>
    <s v="AA1"/>
    <s v="GG-PREV"/>
    <s v="2"/>
    <s v="Code site"/>
    <m/>
    <n v="1"/>
    <m/>
    <n v="47"/>
    <m/>
    <s v="DEMO_GMAO.xlsx"/>
    <d v="2026-10-14T15:00:00"/>
  </r>
  <r>
    <s v="910000046"/>
    <m/>
    <x v="1"/>
    <x v="0"/>
    <x v="31"/>
    <s v="G-I-VVV22"/>
    <s v="G-I-VVV22-VAN01"/>
    <s v="Équipement fictif G-I-VVV22-VAN01"/>
    <s v="Maintenance préventive fictive PIS+REV - poste G-I-VVV22"/>
    <d v="2027-10-18T00:00:00"/>
    <x v="1"/>
    <s v="PIS+REV"/>
    <x v="4"/>
    <s v="COMPTAGE"/>
    <s v="ACTI"/>
    <s v="STAT_SYS_A"/>
    <s v="EQ-VVV22-02"/>
    <d v="2027-07-28T00:00:00"/>
    <d v="2027-10-10T00:00:00"/>
    <x v="3"/>
    <s v="DEI"/>
    <s v="AA1"/>
    <s v="ZPR2"/>
    <x v="0"/>
    <m/>
    <s v="USER02"/>
    <n v="1138.19"/>
    <s v="AA1"/>
    <s v="GG-PREV"/>
    <s v="2"/>
    <s v="Code site"/>
    <m/>
    <n v="0"/>
    <m/>
    <n v="47"/>
    <m/>
    <s v="DEMO_GMAO.xlsx"/>
    <d v="2026-10-14T15:00:00"/>
  </r>
  <r>
    <s v="910000047"/>
    <m/>
    <x v="1"/>
    <x v="1"/>
    <x v="32"/>
    <s v="G-I-WWW23"/>
    <s v="G-I-WWW23-FILT01"/>
    <s v="Équipement fictif G-I-WWW23-FILT01"/>
    <s v="Maintenance préventive fictive PIS - poste G-I-WWW23"/>
    <d v="2026-05-07T00:00:00"/>
    <x v="0"/>
    <s v="PIS"/>
    <x v="0"/>
    <s v="DETENTE"/>
    <s v="ACTI"/>
    <s v="STAT_SYS_A"/>
    <s v="EQ-WWW23-01"/>
    <d v="2026-02-20T00:00:00"/>
    <d v="2026-04-16T00:00:00"/>
    <x v="25"/>
    <s v="DEI"/>
    <s v="AA3"/>
    <s v="ZPR2"/>
    <x v="0"/>
    <m/>
    <s v="USER02"/>
    <n v="349.12"/>
    <s v="AA3"/>
    <s v="GG-PREV"/>
    <s v="2"/>
    <s v="Code site"/>
    <m/>
    <n v="1"/>
    <m/>
    <n v="48"/>
    <m/>
    <s v="DEMO_GMAO.xlsx"/>
    <d v="2026-10-14T15:00:00"/>
  </r>
  <r>
    <s v="910000048"/>
    <m/>
    <x v="1"/>
    <x v="1"/>
    <x v="32"/>
    <s v="G-I-WWW23"/>
    <s v="G-I-WWW23-FILT01"/>
    <s v="Équipement fictif G-I-WWW23-FILT01"/>
    <s v="Maintenance préventive fictive EC+PIS - poste G-I-WWW23"/>
    <d v="2027-10-12T00:00:00"/>
    <x v="1"/>
    <s v="EC+PIS"/>
    <x v="1"/>
    <s v="DETENTE"/>
    <s v="ACTI"/>
    <s v="STAT_SYS_A"/>
    <s v="EQ-WWW23-05"/>
    <d v="2027-08-02T00:00:00"/>
    <d v="2027-09-15T00:00:00"/>
    <x v="25"/>
    <s v="DEI"/>
    <s v="AA3"/>
    <s v="ZPR2"/>
    <x v="0"/>
    <m/>
    <s v="USER02"/>
    <n v="752.07"/>
    <s v="AA3"/>
    <s v="GG-PREV"/>
    <s v="1"/>
    <s v="Code site"/>
    <m/>
    <n v="1"/>
    <m/>
    <n v="49"/>
    <m/>
    <s v="DEMO_GMAO.xlsx"/>
    <d v="2026-10-14T15:00:00"/>
  </r>
  <r>
    <s v="910000048"/>
    <m/>
    <x v="1"/>
    <x v="1"/>
    <x v="32"/>
    <s v="G-I-WWW23"/>
    <s v="G-I-WWW23-FILT01"/>
    <s v="Équipement fictif G-I-WWW23-FILT01"/>
    <s v="Maintenance préventive fictive EC+PIS - poste G-I-WWW23"/>
    <d v="2027-10-12T00:00:00"/>
    <x v="1"/>
    <s v="EC+PIS"/>
    <x v="0"/>
    <s v="DETENTE"/>
    <s v="ACTI"/>
    <s v="STAT_SYS_A"/>
    <s v="EQ-WWW23-05"/>
    <d v="2027-08-02T00:00:00"/>
    <d v="2027-09-15T00:00:00"/>
    <x v="25"/>
    <s v="DEI"/>
    <s v="AA3"/>
    <s v="ZPR2"/>
    <x v="0"/>
    <m/>
    <s v="USER02"/>
    <n v="752.07"/>
    <s v="AA3"/>
    <s v="GG-PREV"/>
    <s v="1"/>
    <s v="Code site"/>
    <m/>
    <n v="0"/>
    <m/>
    <n v="49"/>
    <m/>
    <s v="DEMO_GMAO.xlsx"/>
    <d v="2026-10-14T15:00:00"/>
  </r>
  <r>
    <s v="910000049"/>
    <m/>
    <x v="1"/>
    <x v="2"/>
    <x v="33"/>
    <s v="G-I-XXX24"/>
    <s v="G-I-XXX24-SEC01"/>
    <s v="Équipement fictif G-I-XXX24-SEC01"/>
    <s v="Maintenance préventive fictive PIS - poste G-I-XXX24"/>
    <d v="2026-01-28T00:00:00"/>
    <x v="0"/>
    <s v="PIS"/>
    <x v="0"/>
    <s v="COUPURE"/>
    <s v="TERM"/>
    <s v="STAT_SYS_A"/>
    <s v="EQ-XXX24-07"/>
    <d v="2025-12-08T00:00:00"/>
    <d v="2026-01-23T00:00:00"/>
    <x v="21"/>
    <s v="DEI"/>
    <s v="AA4"/>
    <s v="ZPR2"/>
    <x v="0"/>
    <m/>
    <s v="USER02"/>
    <n v="749.05"/>
    <s v="AA4"/>
    <s v="GG-PREV"/>
    <s v="3"/>
    <s v="Code site"/>
    <m/>
    <n v="1"/>
    <m/>
    <n v="50"/>
    <m/>
    <s v="DEMO_GMAO.xlsx"/>
    <d v="2026-10-14T15:00:00"/>
  </r>
  <r>
    <s v="910000050"/>
    <m/>
    <x v="1"/>
    <x v="2"/>
    <x v="33"/>
    <s v="G-I-XXX24"/>
    <s v="G-I-XXX24-SEC01"/>
    <s v="Équipement fictif G-I-XXX24-SEC01"/>
    <s v="Maintenance préventive fictive EC+PIS+REV - poste G-I-XXX24"/>
    <d v="2027-06-09T00:00:00"/>
    <x v="1"/>
    <s v="EC+PIS+REV"/>
    <x v="1"/>
    <s v="COUPURE"/>
    <s v="TERM"/>
    <s v="STAT_SYS_A"/>
    <s v="EQ-XXX24-09"/>
    <d v="2027-04-18T00:00:00"/>
    <d v="2027-06-03T00:00:00"/>
    <x v="21"/>
    <s v="DEI"/>
    <s v="AA4"/>
    <s v="ZPR2"/>
    <x v="0"/>
    <m/>
    <s v="USER02"/>
    <n v="1351.16"/>
    <s v="AA4"/>
    <s v="GG-PREV"/>
    <s v="2"/>
    <s v="Code site"/>
    <m/>
    <n v="1"/>
    <m/>
    <n v="51"/>
    <m/>
    <s v="DEMO_GMAO.xlsx"/>
    <d v="2026-10-14T15:00:00"/>
  </r>
  <r>
    <s v="910000050"/>
    <m/>
    <x v="1"/>
    <x v="2"/>
    <x v="33"/>
    <s v="G-I-XXX24"/>
    <s v="G-I-XXX24-SEC01"/>
    <s v="Équipement fictif G-I-XXX24-SEC01"/>
    <s v="Maintenance préventive fictive EC+PIS+REV - poste G-I-XXX24"/>
    <d v="2027-06-09T00:00:00"/>
    <x v="1"/>
    <s v="EC+PIS+REV"/>
    <x v="0"/>
    <s v="COUPURE"/>
    <s v="TERM"/>
    <s v="STAT_SYS_A"/>
    <s v="EQ-XXX24-09"/>
    <d v="2027-04-18T00:00:00"/>
    <d v="2027-06-03T00:00:00"/>
    <x v="21"/>
    <s v="DEI"/>
    <s v="AA4"/>
    <s v="ZPR2"/>
    <x v="0"/>
    <m/>
    <s v="USER02"/>
    <n v="1351.16"/>
    <s v="AA4"/>
    <s v="GG-PREV"/>
    <s v="2"/>
    <s v="Code site"/>
    <m/>
    <n v="0"/>
    <m/>
    <n v="51"/>
    <m/>
    <s v="DEMO_GMAO.xlsx"/>
    <d v="2026-10-14T15:00:00"/>
  </r>
  <r>
    <s v="910000050"/>
    <m/>
    <x v="1"/>
    <x v="2"/>
    <x v="33"/>
    <s v="G-I-XXX24"/>
    <s v="G-I-XXX24-SEC01"/>
    <s v="Équipement fictif G-I-XXX24-SEC01"/>
    <s v="Maintenance préventive fictive EC+PIS+REV - poste G-I-XXX24"/>
    <d v="2027-06-09T00:00:00"/>
    <x v="1"/>
    <s v="EC+PIS+REV"/>
    <x v="4"/>
    <s v="COUPURE"/>
    <s v="TERM"/>
    <s v="STAT_SYS_A"/>
    <s v="EQ-XXX24-09"/>
    <d v="2027-04-18T00:00:00"/>
    <d v="2027-06-03T00:00:00"/>
    <x v="21"/>
    <s v="DEI"/>
    <s v="AA4"/>
    <s v="ZPR2"/>
    <x v="0"/>
    <m/>
    <s v="USER02"/>
    <n v="1351.16"/>
    <s v="AA4"/>
    <s v="GG-PREV"/>
    <s v="2"/>
    <s v="Code site"/>
    <m/>
    <n v="0"/>
    <m/>
    <n v="51"/>
    <m/>
    <s v="DEMO_GMAO.xlsx"/>
    <d v="2026-10-14T15:00:00"/>
  </r>
  <r>
    <s v="910000051"/>
    <m/>
    <x v="5"/>
    <x v="0"/>
    <x v="34"/>
    <s v="G-I-YYY25"/>
    <s v="G-I-YYY25-REG01"/>
    <s v="Équipement fictif G-I-YYY25-REG01"/>
    <s v="Maintenance préventive fictive EC+PIS - poste G-I-YYY25"/>
    <d v="2026-11-12T00:00:00"/>
    <x v="0"/>
    <s v="EC+PIS"/>
    <x v="1"/>
    <s v="LIVRAISON"/>
    <s v="ACTI"/>
    <s v="STAT_SYS_A"/>
    <s v="EQ-YYY25-04"/>
    <d v="2026-09-23T00:00:00"/>
    <d v="2026-10-20T00:00:00"/>
    <x v="1"/>
    <s v="SHL"/>
    <s v="AA1"/>
    <s v="ZPR2"/>
    <x v="0"/>
    <m/>
    <s v="USER02"/>
    <n v="658.96"/>
    <s v="AA1"/>
    <s v="GG-PREV"/>
    <s v="3"/>
    <s v="Code site"/>
    <m/>
    <n v="1"/>
    <m/>
    <n v="52"/>
    <m/>
    <s v="DEMO_GMAO.xlsx"/>
    <d v="2026-10-14T15:00:00"/>
  </r>
  <r>
    <s v="910000051"/>
    <m/>
    <x v="5"/>
    <x v="0"/>
    <x v="34"/>
    <s v="G-I-YYY25"/>
    <s v="G-I-YYY25-REG01"/>
    <s v="Équipement fictif G-I-YYY25-REG01"/>
    <s v="Maintenance préventive fictive EC+PIS - poste G-I-YYY25"/>
    <d v="2026-11-12T00:00:00"/>
    <x v="0"/>
    <s v="EC+PIS"/>
    <x v="0"/>
    <s v="LIVRAISON"/>
    <s v="ACTI"/>
    <s v="STAT_SYS_A"/>
    <s v="EQ-YYY25-04"/>
    <d v="2026-09-23T00:00:00"/>
    <d v="2026-10-20T00:00:00"/>
    <x v="1"/>
    <s v="SHL"/>
    <s v="AA1"/>
    <s v="ZPR2"/>
    <x v="0"/>
    <m/>
    <s v="USER02"/>
    <n v="658.96"/>
    <s v="AA1"/>
    <s v="GG-PREV"/>
    <s v="3"/>
    <s v="Code site"/>
    <m/>
    <n v="0"/>
    <m/>
    <n v="52"/>
    <m/>
    <s v="DEMO_GMAO.xlsx"/>
    <d v="2026-10-14T15:00:00"/>
  </r>
  <r>
    <s v="910000052"/>
    <m/>
    <x v="5"/>
    <x v="0"/>
    <x v="34"/>
    <s v="G-I-YYY25"/>
    <s v="G-I-YYY25-REG01"/>
    <s v="Équipement fictif G-I-YYY25-REG01"/>
    <s v="Maintenance préventive fictive PIS - poste G-I-YYY25"/>
    <d v="2027-06-14T00:00:00"/>
    <x v="1"/>
    <s v="PIS"/>
    <x v="0"/>
    <s v="LIVRAISON"/>
    <s v="ACTI"/>
    <s v="STAT_SYS_A"/>
    <s v="EQ-YYY25-08"/>
    <d v="2027-03-20T00:00:00"/>
    <d v="2027-06-05T00:00:00"/>
    <x v="1"/>
    <s v="SHL"/>
    <s v="AA1"/>
    <s v="ZPR2"/>
    <x v="0"/>
    <m/>
    <s v="USER03"/>
    <n v="1292.14"/>
    <s v="AA1"/>
    <s v="GG-PREV"/>
    <s v="3"/>
    <s v="Code site"/>
    <m/>
    <n v="1"/>
    <m/>
    <n v="53"/>
    <m/>
    <s v="DEMO_GMAO.xlsx"/>
    <d v="2026-10-14T15:00:00"/>
  </r>
  <r>
    <s v="910000053"/>
    <m/>
    <x v="5"/>
    <x v="2"/>
    <x v="1"/>
    <s v="G-I-AAB27"/>
    <s v="G-I-AAB27-FILT01"/>
    <s v="Équipement fictif G-I-AAB27-FILT01"/>
    <s v="Maintenance préventive fictive EC - poste G-I-AAB27"/>
    <d v="2026-02-19T00:00:00"/>
    <x v="0"/>
    <s v="EC"/>
    <x v="1"/>
    <s v="COUPURE"/>
    <s v="TERM"/>
    <s v="STAT_SYS_A"/>
    <s v="EQ-AAB27-02"/>
    <d v="2025-12-03T00:00:00"/>
    <d v="2026-01-20T00:00:00"/>
    <x v="11"/>
    <s v="SHL"/>
    <s v="AA4"/>
    <s v="ZPR2"/>
    <x v="0"/>
    <m/>
    <s v="USER02"/>
    <n v="809.08"/>
    <s v="AA4"/>
    <s v="GG-PREV"/>
    <s v="3"/>
    <s v="Code site"/>
    <m/>
    <n v="1"/>
    <m/>
    <n v="54"/>
    <m/>
    <s v="DEMO_GMAO.xlsx"/>
    <d v="2026-10-14T15:00:00"/>
  </r>
  <r>
    <s v="910000054"/>
    <m/>
    <x v="5"/>
    <x v="2"/>
    <x v="1"/>
    <s v="G-I-AAB27"/>
    <s v="G-I-AAB27-FILT01"/>
    <s v="Équipement fictif G-I-AAB27-FILT01"/>
    <s v="Maintenance préventive fictive PIS - poste G-I-AAB27"/>
    <d v="2027-07-14T00:00:00"/>
    <x v="1"/>
    <s v="PIS"/>
    <x v="0"/>
    <s v="COUPURE"/>
    <s v="TERM"/>
    <s v="STAT_SYS_A"/>
    <s v="EQ-AAB27-06"/>
    <d v="2027-05-29T00:00:00"/>
    <d v="2027-07-08T00:00:00"/>
    <x v="11"/>
    <s v="SHL"/>
    <s v="AA4"/>
    <s v="ZPR2"/>
    <x v="0"/>
    <m/>
    <s v="USER02"/>
    <n v="638.97"/>
    <s v="AA4"/>
    <s v="GG-PREV"/>
    <s v="2"/>
    <s v="Code site"/>
    <m/>
    <n v="1"/>
    <m/>
    <n v="55"/>
    <m/>
    <s v="DEMO_GMAO.xlsx"/>
    <d v="2026-10-14T15:00:00"/>
  </r>
  <r>
    <s v="910000055"/>
    <m/>
    <x v="7"/>
    <x v="0"/>
    <x v="3"/>
    <s v="G-I-BBC28"/>
    <s v="G-I-BBC28-SEC01"/>
    <s v="Équipement fictif G-I-BBC28-SEC01"/>
    <s v="Maintenance préventive fictive PIS - poste G-I-BBC28"/>
    <d v="2026-02-27T00:00:00"/>
    <x v="0"/>
    <s v="PIS"/>
    <x v="0"/>
    <s v="COMPTAGE"/>
    <s v="ACTI"/>
    <s v="STAT_SYS_A"/>
    <s v="EQ-BBC28-01"/>
    <d v="2025-12-20T00:00:00"/>
    <d v="2026-02-12T00:00:00"/>
    <x v="5"/>
    <s v="SVI"/>
    <s v="AA1"/>
    <s v="ZPR2"/>
    <x v="0"/>
    <m/>
    <s v="USER02"/>
    <n v="1412.16"/>
    <s v="AA1"/>
    <s v="GG-PREV"/>
    <s v="1"/>
    <s v="Code site"/>
    <m/>
    <n v="1"/>
    <m/>
    <n v="56"/>
    <m/>
    <s v="DEMO_GMAO.xlsx"/>
    <d v="2026-10-14T15:00:00"/>
  </r>
  <r>
    <s v="910000056"/>
    <m/>
    <x v="7"/>
    <x v="0"/>
    <x v="3"/>
    <s v="G-I-BBC28"/>
    <s v="G-I-BBC28-SEC01"/>
    <s v="Équipement fictif G-I-BBC28-SEC01"/>
    <s v="Maintenance préventive fictive EC+PIS+REV+FILTRE - poste G-I-BBC28"/>
    <d v="2027-09-09T00:00:00"/>
    <x v="1"/>
    <s v="EC+PIS+REV+FILTRE"/>
    <x v="1"/>
    <s v="COMPTAGE"/>
    <s v="ACTI"/>
    <s v="STAT_SYS_A"/>
    <s v="EQ-BBC28-06"/>
    <d v="2027-06-17T00:00:00"/>
    <d v="2027-08-11T00:00:00"/>
    <x v="5"/>
    <s v="SVI"/>
    <s v="AA1"/>
    <s v="ZPR2"/>
    <x v="0"/>
    <m/>
    <s v="USER02"/>
    <n v="1410.9"/>
    <s v="AA1"/>
    <s v="GG-PREV"/>
    <s v="1"/>
    <s v="Code site"/>
    <m/>
    <n v="1"/>
    <m/>
    <n v="57"/>
    <m/>
    <s v="DEMO_GMAO.xlsx"/>
    <d v="2026-10-14T15:00:00"/>
  </r>
  <r>
    <s v="910000056"/>
    <m/>
    <x v="7"/>
    <x v="0"/>
    <x v="3"/>
    <s v="G-I-BBC28"/>
    <s v="G-I-BBC28-SEC01"/>
    <s v="Équipement fictif G-I-BBC28-SEC01"/>
    <s v="Maintenance préventive fictive EC+PIS+REV+FILTRE - poste G-I-BBC28"/>
    <d v="2027-09-09T00:00:00"/>
    <x v="1"/>
    <s v="EC+PIS+REV+FILTRE"/>
    <x v="0"/>
    <s v="COMPTAGE"/>
    <s v="ACTI"/>
    <s v="STAT_SYS_A"/>
    <s v="EQ-BBC28-06"/>
    <d v="2027-06-17T00:00:00"/>
    <d v="2027-08-11T00:00:00"/>
    <x v="5"/>
    <s v="SVI"/>
    <s v="AA1"/>
    <s v="ZPR2"/>
    <x v="0"/>
    <m/>
    <s v="USER02"/>
    <n v="1410.9"/>
    <s v="AA1"/>
    <s v="GG-PREV"/>
    <s v="1"/>
    <s v="Code site"/>
    <m/>
    <n v="0"/>
    <m/>
    <n v="57"/>
    <m/>
    <s v="DEMO_GMAO.xlsx"/>
    <d v="2026-10-14T15:00:00"/>
  </r>
  <r>
    <s v="910000056"/>
    <m/>
    <x v="7"/>
    <x v="0"/>
    <x v="3"/>
    <s v="G-I-BBC28"/>
    <s v="G-I-BBC28-SEC01"/>
    <s v="Équipement fictif G-I-BBC28-SEC01"/>
    <s v="Maintenance préventive fictive EC+PIS+REV+FILTRE - poste G-I-BBC28"/>
    <d v="2027-09-09T00:00:00"/>
    <x v="1"/>
    <s v="EC+PIS+REV+FILTRE"/>
    <x v="4"/>
    <s v="COMPTAGE"/>
    <s v="ACTI"/>
    <s v="STAT_SYS_A"/>
    <s v="EQ-BBC28-06"/>
    <d v="2027-06-17T00:00:00"/>
    <d v="2027-08-11T00:00:00"/>
    <x v="5"/>
    <s v="SVI"/>
    <s v="AA1"/>
    <s v="ZPR2"/>
    <x v="0"/>
    <m/>
    <s v="USER02"/>
    <n v="1410.9"/>
    <s v="AA1"/>
    <s v="GG-PREV"/>
    <s v="1"/>
    <s v="Code site"/>
    <m/>
    <n v="0"/>
    <m/>
    <n v="57"/>
    <m/>
    <s v="DEMO_GMAO.xlsx"/>
    <d v="2026-10-14T15:00:00"/>
  </r>
  <r>
    <s v="910000056"/>
    <m/>
    <x v="7"/>
    <x v="0"/>
    <x v="3"/>
    <s v="G-I-BBC28"/>
    <s v="G-I-BBC28-SEC01"/>
    <s v="Équipement fictif G-I-BBC28-SEC01"/>
    <s v="Maintenance préventive fictive EC+PIS+REV+FILTRE - poste G-I-BBC28"/>
    <d v="2027-09-09T00:00:00"/>
    <x v="1"/>
    <s v="EC+PIS+REV+FILTRE"/>
    <x v="3"/>
    <s v="COMPTAGE"/>
    <s v="ACTI"/>
    <s v="STAT_SYS_A"/>
    <s v="EQ-BBC28-06"/>
    <d v="2027-06-17T00:00:00"/>
    <d v="2027-08-11T00:00:00"/>
    <x v="5"/>
    <s v="SVI"/>
    <s v="AA1"/>
    <s v="ZPR2"/>
    <x v="0"/>
    <m/>
    <s v="USER02"/>
    <n v="1410.9"/>
    <s v="AA1"/>
    <s v="GG-PREV"/>
    <s v="1"/>
    <s v="Code site"/>
    <m/>
    <n v="0"/>
    <m/>
    <n v="57"/>
    <m/>
    <s v="DEMO_GMAO.xlsx"/>
    <d v="2026-10-14T15:00:00"/>
  </r>
  <r>
    <s v="910000057"/>
    <m/>
    <x v="7"/>
    <x v="1"/>
    <x v="5"/>
    <s v="G-I-CCD29"/>
    <s v="G-I-CCD29-REG01"/>
    <s v="Équipement fictif G-I-CCD29-REG01"/>
    <s v="Maintenance préventive fictive PIS - poste G-I-CCD29"/>
    <d v="2026-06-23T00:00:00"/>
    <x v="0"/>
    <s v="PIS"/>
    <x v="0"/>
    <s v="COMPTAGE"/>
    <s v="TERM"/>
    <s v="STAT_SYS_A"/>
    <s v="EQ-CCD29-06"/>
    <d v="2026-05-14T00:00:00"/>
    <d v="2026-06-15T00:00:00"/>
    <x v="7"/>
    <s v="SVI"/>
    <s v="AA3"/>
    <s v="ZPR2"/>
    <x v="0"/>
    <m/>
    <s v="USER03"/>
    <n v="813.09"/>
    <s v="AA3"/>
    <s v="GG-PREV"/>
    <s v="3"/>
    <s v="Code site"/>
    <m/>
    <n v="1"/>
    <m/>
    <n v="58"/>
    <m/>
    <s v="DEMO_GMAO.xlsx"/>
    <d v="2026-10-14T15:00:00"/>
  </r>
  <r>
    <s v="910000058"/>
    <m/>
    <x v="7"/>
    <x v="1"/>
    <x v="5"/>
    <s v="G-I-CCD29"/>
    <s v="G-I-CCD29-REG01"/>
    <s v="Équipement fictif G-I-CCD29-REG01"/>
    <s v="Maintenance préventive fictive EC+PIS+REV+FILTRE - poste G-I-CCD29"/>
    <d v="2027-07-01T00:00:00"/>
    <x v="1"/>
    <s v="EC+PIS+REV+FILTRE"/>
    <x v="1"/>
    <s v="COMPTAGE"/>
    <s v="ACTI"/>
    <s v="STAT_SYS_A"/>
    <s v="EQ-CCD29-02"/>
    <d v="2027-04-17T00:00:00"/>
    <d v="2027-06-25T00:00:00"/>
    <x v="7"/>
    <s v="SVI"/>
    <s v="AA3"/>
    <s v="ZPR2"/>
    <x v="0"/>
    <m/>
    <s v="USER02"/>
    <n v="1306.71"/>
    <s v="AA3"/>
    <s v="GG-PREV"/>
    <s v="3"/>
    <s v="Code site"/>
    <m/>
    <n v="1"/>
    <m/>
    <n v="59"/>
    <m/>
    <s v="DEMO_GMAO.xlsx"/>
    <d v="2026-10-14T15:00:00"/>
  </r>
  <r>
    <s v="910000058"/>
    <m/>
    <x v="7"/>
    <x v="1"/>
    <x v="5"/>
    <s v="G-I-CCD29"/>
    <s v="G-I-CCD29-REG01"/>
    <s v="Équipement fictif G-I-CCD29-REG01"/>
    <s v="Maintenance préventive fictive EC+PIS+REV+FILTRE - poste G-I-CCD29"/>
    <d v="2027-07-01T00:00:00"/>
    <x v="1"/>
    <s v="EC+PIS+REV+FILTRE"/>
    <x v="0"/>
    <s v="COMPTAGE"/>
    <s v="ACTI"/>
    <s v="STAT_SYS_A"/>
    <s v="EQ-CCD29-02"/>
    <d v="2027-04-17T00:00:00"/>
    <d v="2027-06-25T00:00:00"/>
    <x v="7"/>
    <s v="SVI"/>
    <s v="AA3"/>
    <s v="ZPR2"/>
    <x v="0"/>
    <m/>
    <s v="USER02"/>
    <n v="1306.71"/>
    <s v="AA3"/>
    <s v="GG-PREV"/>
    <s v="3"/>
    <s v="Code site"/>
    <m/>
    <n v="0"/>
    <m/>
    <n v="59"/>
    <m/>
    <s v="DEMO_GMAO.xlsx"/>
    <d v="2026-10-14T15:00:00"/>
  </r>
  <r>
    <s v="910000058"/>
    <m/>
    <x v="7"/>
    <x v="1"/>
    <x v="5"/>
    <s v="G-I-CCD29"/>
    <s v="G-I-CCD29-REG01"/>
    <s v="Équipement fictif G-I-CCD29-REG01"/>
    <s v="Maintenance préventive fictive EC+PIS+REV+FILTRE - poste G-I-CCD29"/>
    <d v="2027-07-01T00:00:00"/>
    <x v="1"/>
    <s v="EC+PIS+REV+FILTRE"/>
    <x v="4"/>
    <s v="COMPTAGE"/>
    <s v="ACTI"/>
    <s v="STAT_SYS_A"/>
    <s v="EQ-CCD29-02"/>
    <d v="2027-04-17T00:00:00"/>
    <d v="2027-06-25T00:00:00"/>
    <x v="7"/>
    <s v="SVI"/>
    <s v="AA3"/>
    <s v="ZPR2"/>
    <x v="0"/>
    <m/>
    <s v="USER02"/>
    <n v="1306.71"/>
    <s v="AA3"/>
    <s v="GG-PREV"/>
    <s v="3"/>
    <s v="Code site"/>
    <m/>
    <n v="0"/>
    <m/>
    <n v="59"/>
    <m/>
    <s v="DEMO_GMAO.xlsx"/>
    <d v="2026-10-14T15:00:00"/>
  </r>
  <r>
    <s v="910000058"/>
    <m/>
    <x v="7"/>
    <x v="1"/>
    <x v="5"/>
    <s v="G-I-CCD29"/>
    <s v="G-I-CCD29-REG01"/>
    <s v="Équipement fictif G-I-CCD29-REG01"/>
    <s v="Maintenance préventive fictive EC+PIS+REV+FILTRE - poste G-I-CCD29"/>
    <d v="2027-07-01T00:00:00"/>
    <x v="1"/>
    <s v="EC+PIS+REV+FILTRE"/>
    <x v="3"/>
    <s v="COMPTAGE"/>
    <s v="ACTI"/>
    <s v="STAT_SYS_A"/>
    <s v="EQ-CCD29-02"/>
    <d v="2027-04-17T00:00:00"/>
    <d v="2027-06-25T00:00:00"/>
    <x v="7"/>
    <s v="SVI"/>
    <s v="AA3"/>
    <s v="ZPR2"/>
    <x v="0"/>
    <m/>
    <s v="USER02"/>
    <n v="1306.71"/>
    <s v="AA3"/>
    <s v="GG-PREV"/>
    <s v="3"/>
    <s v="Code site"/>
    <m/>
    <n v="0"/>
    <m/>
    <n v="59"/>
    <m/>
    <s v="DEMO_GMAO.xlsx"/>
    <d v="2026-10-14T15:00:00"/>
  </r>
  <r>
    <s v="910000059"/>
    <m/>
    <x v="7"/>
    <x v="2"/>
    <x v="7"/>
    <s v="G-I-DDE30"/>
    <s v="G-I-DDE30-VAN01"/>
    <s v="Équipement fictif G-I-DDE30-VAN01"/>
    <s v="Maintenance préventive fictive EC+PIS - poste G-I-DDE30"/>
    <d v="2026-08-10T00:00:00"/>
    <x v="0"/>
    <s v="EC+PIS"/>
    <x v="1"/>
    <s v="PIQUAGE"/>
    <s v="ACTI"/>
    <s v="STAT_SYS_A"/>
    <s v="EQ-DDE30-07"/>
    <d v="2026-06-18T00:00:00"/>
    <d v="2026-07-13T00:00:00"/>
    <x v="34"/>
    <s v="SVI"/>
    <s v="AA4"/>
    <s v="ZPR2"/>
    <x v="0"/>
    <m/>
    <s v="USER03"/>
    <n v="1248.1"/>
    <s v="AA4"/>
    <s v="GG-PREV"/>
    <s v="2"/>
    <s v="Code site"/>
    <m/>
    <n v="1"/>
    <m/>
    <n v="60"/>
    <m/>
    <s v="DEMO_GMAO.xlsx"/>
    <d v="2026-10-14T15:00:00"/>
  </r>
  <r>
    <s v="910000059"/>
    <m/>
    <x v="7"/>
    <x v="2"/>
    <x v="7"/>
    <s v="G-I-DDE30"/>
    <s v="G-I-DDE30-VAN01"/>
    <s v="Équipement fictif G-I-DDE30-VAN01"/>
    <s v="Maintenance préventive fictive EC+PIS - poste G-I-DDE30"/>
    <d v="2026-08-10T00:00:00"/>
    <x v="0"/>
    <s v="EC+PIS"/>
    <x v="0"/>
    <s v="PIQUAGE"/>
    <s v="ACTI"/>
    <s v="STAT_SYS_A"/>
    <s v="EQ-DDE30-07"/>
    <d v="2026-06-18T00:00:00"/>
    <d v="2026-07-13T00:00:00"/>
    <x v="34"/>
    <s v="SVI"/>
    <s v="AA4"/>
    <s v="ZPR2"/>
    <x v="0"/>
    <m/>
    <s v="USER03"/>
    <n v="1248.1"/>
    <s v="AA4"/>
    <s v="GG-PREV"/>
    <s v="2"/>
    <s v="Code site"/>
    <m/>
    <n v="0"/>
    <m/>
    <n v="60"/>
    <m/>
    <s v="DEMO_GMAO.xlsx"/>
    <d v="2026-10-14T15:00:00"/>
  </r>
  <r>
    <s v="910000060"/>
    <m/>
    <x v="7"/>
    <x v="2"/>
    <x v="7"/>
    <s v="G-I-DDE30"/>
    <s v="G-I-DDE30-VAN01"/>
    <s v="Équipement fictif G-I-DDE30-VAN01"/>
    <s v="Maintenance préventive fictive PIS - poste G-I-DDE30"/>
    <d v="2027-01-19T00:00:00"/>
    <x v="1"/>
    <s v="PIS"/>
    <x v="0"/>
    <s v="PIQUAGE"/>
    <s v="TERM"/>
    <s v="STAT_SYS_A"/>
    <s v="EQ-DDE30-01"/>
    <d v="2026-11-14T00:00:00"/>
    <d v="2027-01-12T00:00:00"/>
    <x v="34"/>
    <s v="SVI"/>
    <s v="AA4"/>
    <s v="ZPR2"/>
    <x v="0"/>
    <m/>
    <s v="USER01"/>
    <n v="1411.16"/>
    <s v="AA4"/>
    <s v="GG-PREV"/>
    <s v="1"/>
    <s v="Code site"/>
    <m/>
    <n v="1"/>
    <m/>
    <n v="61"/>
    <m/>
    <s v="DEMO_GMAO.xlsx"/>
    <d v="2026-10-14T15:00:00"/>
  </r>
  <r>
    <s v="910000061"/>
    <m/>
    <x v="7"/>
    <x v="2"/>
    <x v="7"/>
    <s v="G-I-DDE30"/>
    <s v="G-I-DDE30-VAN01"/>
    <s v="Équipement fictif G-I-DDE30-VAN01"/>
    <s v="Maintenance préventive fictive REV - poste G-I-DDE30"/>
    <d v="2027-07-15T00:00:00"/>
    <x v="1"/>
    <s v="REV"/>
    <x v="4"/>
    <s v="PIQUAGE"/>
    <s v="ACTI"/>
    <s v="STAT_SYS_A"/>
    <s v="EQ-DDE30-05"/>
    <d v="2027-05-07T00:00:00"/>
    <d v="2027-07-05T00:00:00"/>
    <x v="34"/>
    <s v="SVI"/>
    <s v="AA4"/>
    <s v="ZPR2"/>
    <x v="0"/>
    <m/>
    <s v="USER03"/>
    <n v="756.72"/>
    <s v="AA4"/>
    <s v="GG-PREV"/>
    <s v="3"/>
    <s v="Code site"/>
    <m/>
    <n v="1"/>
    <m/>
    <n v="62"/>
    <m/>
    <s v="DEMO_GMAO.xlsx"/>
    <d v="2026-10-14T15:00:00"/>
  </r>
  <r>
    <s v="910000062"/>
    <m/>
    <x v="1"/>
    <x v="0"/>
    <x v="9"/>
    <s v="G-I-EEF31"/>
    <s v="G-I-EEF31-FILT01"/>
    <s v="Équipement fictif G-I-EEF31-FILT01"/>
    <s v="Maintenance préventive fictive PIS - poste G-I-EEF31"/>
    <d v="2026-03-08T00:00:00"/>
    <x v="0"/>
    <s v="PIS"/>
    <x v="0"/>
    <s v="COMPTAGE"/>
    <s v="ACTI"/>
    <s v="STAT_SYS_A"/>
    <s v="EQ-EEF31-09"/>
    <d v="2026-01-19T00:00:00"/>
    <d v="2026-02-24T00:00:00"/>
    <x v="9"/>
    <s v="DEI"/>
    <s v="AA1"/>
    <s v="ZPR2"/>
    <x v="0"/>
    <m/>
    <s v="USER02"/>
    <n v="1494.35"/>
    <s v="AA1"/>
    <s v="GG-PREV"/>
    <s v="1"/>
    <s v="Code site"/>
    <m/>
    <n v="1"/>
    <m/>
    <n v="63"/>
    <m/>
    <s v="DEMO_GMAO.xlsx"/>
    <d v="2026-10-14T15:00:00"/>
  </r>
  <r>
    <s v="910000063"/>
    <m/>
    <x v="1"/>
    <x v="0"/>
    <x v="9"/>
    <s v="G-I-EEF31"/>
    <s v="G-I-EEF31-FILT01"/>
    <s v="Équipement fictif G-I-EEF31-FILT01"/>
    <s v="Maintenance préventive fictive EC+FILTRE - poste G-I-EEF31"/>
    <d v="2027-09-22T00:00:00"/>
    <x v="1"/>
    <s v="EC+FILTRE"/>
    <x v="1"/>
    <s v="COMPTAGE"/>
    <s v="TERM"/>
    <s v="STAT_SYS_A"/>
    <s v="EQ-EEF31-05"/>
    <d v="2027-07-22T00:00:00"/>
    <d v="2027-09-11T00:00:00"/>
    <x v="9"/>
    <s v="DEI"/>
    <s v="AA1"/>
    <s v="ZPR2"/>
    <x v="0"/>
    <m/>
    <s v="USER01"/>
    <n v="1138.5"/>
    <s v="AA1"/>
    <s v="GG-PREV"/>
    <s v="3"/>
    <s v="Code site"/>
    <m/>
    <n v="1"/>
    <m/>
    <n v="64"/>
    <m/>
    <s v="DEMO_GMAO.xlsx"/>
    <d v="2026-10-14T15:00:00"/>
  </r>
  <r>
    <s v="910000063"/>
    <m/>
    <x v="1"/>
    <x v="0"/>
    <x v="9"/>
    <s v="G-I-EEF31"/>
    <s v="G-I-EEF31-FILT01"/>
    <s v="Équipement fictif G-I-EEF31-FILT01"/>
    <s v="Maintenance préventive fictive EC+FILTRE - poste G-I-EEF31"/>
    <d v="2027-09-22T00:00:00"/>
    <x v="1"/>
    <s v="EC+FILTRE"/>
    <x v="3"/>
    <s v="COMPTAGE"/>
    <s v="TERM"/>
    <s v="STAT_SYS_A"/>
    <s v="EQ-EEF31-05"/>
    <d v="2027-07-22T00:00:00"/>
    <d v="2027-09-11T00:00:00"/>
    <x v="9"/>
    <s v="DEI"/>
    <s v="AA1"/>
    <s v="ZPR2"/>
    <x v="0"/>
    <m/>
    <s v="USER01"/>
    <n v="1138.5"/>
    <s v="AA1"/>
    <s v="GG-PREV"/>
    <s v="3"/>
    <s v="Code site"/>
    <m/>
    <n v="0"/>
    <m/>
    <n v="64"/>
    <m/>
    <s v="DEMO_GMAO.xlsx"/>
    <d v="2026-10-14T15:00:00"/>
  </r>
  <r>
    <s v="910000064"/>
    <m/>
    <x v="9"/>
    <x v="1"/>
    <x v="11"/>
    <s v="G-I-FFG32"/>
    <s v="G-I-FFG32-SEC01"/>
    <s v="Équipement fictif G-I-FFG32-SEC01"/>
    <s v="Maintenance préventive fictive PIS - poste G-I-FFG32"/>
    <d v="2026-06-04T00:00:00"/>
    <x v="0"/>
    <s v="PIS"/>
    <x v="0"/>
    <s v="PIQUAGE"/>
    <s v="ACTI"/>
    <s v="STAT_SYS_A"/>
    <s v="EQ-FFG32-03"/>
    <d v="2026-03-10T00:00:00"/>
    <d v="2026-05-21T00:00:00"/>
    <x v="30"/>
    <s v="VRS"/>
    <s v="AA3"/>
    <s v="ZPR2"/>
    <x v="0"/>
    <m/>
    <s v="USER01"/>
    <n v="330.49"/>
    <s v="AA3"/>
    <s v="GG-PREV"/>
    <s v="1"/>
    <s v="Code site"/>
    <m/>
    <n v="1"/>
    <m/>
    <n v="65"/>
    <m/>
    <s v="DEMO_GMAO.xlsx"/>
    <d v="2026-10-14T15:00:00"/>
  </r>
  <r>
    <s v="910000065"/>
    <m/>
    <x v="9"/>
    <x v="1"/>
    <x v="11"/>
    <s v="G-I-FFG32"/>
    <s v="G-I-FFG32-SEC01"/>
    <s v="Équipement fictif G-I-FFG32-SEC01"/>
    <s v="Maintenance préventive fictive EC+PIS - poste G-I-FFG32"/>
    <d v="2027-02-16T00:00:00"/>
    <x v="1"/>
    <s v="EC+PIS"/>
    <x v="1"/>
    <s v="PIQUAGE"/>
    <s v="TERM"/>
    <s v="STAT_SYS_A"/>
    <s v="EQ-FFG32-01"/>
    <d v="2027-01-02T00:00:00"/>
    <d v="2027-02-06T00:00:00"/>
    <x v="30"/>
    <s v="VRS"/>
    <s v="AA3"/>
    <s v="ZPR2"/>
    <x v="0"/>
    <m/>
    <s v="USER03"/>
    <n v="827.62"/>
    <s v="AA3"/>
    <s v="GG-PREV"/>
    <s v="2"/>
    <s v="Code site"/>
    <m/>
    <n v="1"/>
    <m/>
    <n v="66"/>
    <m/>
    <s v="DEMO_GMAO.xlsx"/>
    <d v="2026-10-14T15:00:00"/>
  </r>
  <r>
    <s v="910000065"/>
    <m/>
    <x v="9"/>
    <x v="1"/>
    <x v="11"/>
    <s v="G-I-FFG32"/>
    <s v="G-I-FFG32-SEC01"/>
    <s v="Équipement fictif G-I-FFG32-SEC01"/>
    <s v="Maintenance préventive fictive EC+PIS - poste G-I-FFG32"/>
    <d v="2027-02-16T00:00:00"/>
    <x v="1"/>
    <s v="EC+PIS"/>
    <x v="0"/>
    <s v="PIQUAGE"/>
    <s v="TERM"/>
    <s v="STAT_SYS_A"/>
    <s v="EQ-FFG32-01"/>
    <d v="2027-01-02T00:00:00"/>
    <d v="2027-02-06T00:00:00"/>
    <x v="30"/>
    <s v="VRS"/>
    <s v="AA3"/>
    <s v="ZPR2"/>
    <x v="0"/>
    <m/>
    <s v="USER03"/>
    <n v="827.62"/>
    <s v="AA3"/>
    <s v="GG-PREV"/>
    <s v="2"/>
    <s v="Code site"/>
    <m/>
    <n v="0"/>
    <m/>
    <n v="66"/>
    <m/>
    <s v="DEMO_GMAO.xlsx"/>
    <d v="2026-10-14T15:00:00"/>
  </r>
  <r>
    <s v="910000066"/>
    <m/>
    <x v="4"/>
    <x v="1"/>
    <x v="13"/>
    <s v="G-I-GGH33"/>
    <s v="G-I-GGH33-REG01"/>
    <s v="Équipement fictif G-I-GGH33-REG01"/>
    <s v="Maintenance préventive fictive REV - poste G-I-GGH33"/>
    <d v="2026-03-11T00:00:00"/>
    <x v="0"/>
    <s v="REV"/>
    <x v="4"/>
    <s v="DETENTE"/>
    <s v="TERM"/>
    <s v="STAT_SYS_A"/>
    <s v="EQ-GGH33-04"/>
    <d v="2026-01-11T00:00:00"/>
    <d v="2026-02-16T00:00:00"/>
    <x v="13"/>
    <s v="SET"/>
    <s v="AA3"/>
    <s v="ZPR2"/>
    <x v="0"/>
    <m/>
    <s v="USER01"/>
    <n v="811.8"/>
    <s v="AA3"/>
    <s v="GG-PREV"/>
    <s v="1"/>
    <s v="Code site"/>
    <m/>
    <n v="1"/>
    <m/>
    <n v="67"/>
    <m/>
    <s v="DEMO_GMAO.xlsx"/>
    <d v="2026-10-14T15:00:00"/>
  </r>
  <r>
    <s v="910000067"/>
    <m/>
    <x v="4"/>
    <x v="1"/>
    <x v="13"/>
    <s v="G-I-GGH33"/>
    <s v="G-I-GGH33-REG01"/>
    <s v="Équipement fictif G-I-GGH33-REG01"/>
    <s v="Maintenance préventive fictive EC+PIS - poste G-I-GGH33"/>
    <d v="2027-01-14T00:00:00"/>
    <x v="1"/>
    <s v="EC+PIS"/>
    <x v="1"/>
    <s v="DETENTE"/>
    <s v="ACTI"/>
    <s v="STAT_SYS_A"/>
    <s v="EQ-GGH33-03"/>
    <d v="2026-12-05T00:00:00"/>
    <d v="2026-12-18T00:00:00"/>
    <x v="13"/>
    <s v="SET"/>
    <s v="AA3"/>
    <s v="ZPR2"/>
    <x v="0"/>
    <m/>
    <s v="USER03"/>
    <n v="531.78"/>
    <s v="AA3"/>
    <s v="GG-PREV"/>
    <s v="1"/>
    <s v="Code site"/>
    <m/>
    <n v="1"/>
    <m/>
    <n v="68"/>
    <m/>
    <s v="DEMO_GMAO.xlsx"/>
    <d v="2026-10-14T15:00:00"/>
  </r>
  <r>
    <s v="910000067"/>
    <m/>
    <x v="4"/>
    <x v="1"/>
    <x v="13"/>
    <s v="G-I-GGH33"/>
    <s v="G-I-GGH33-REG01"/>
    <s v="Équipement fictif G-I-GGH33-REG01"/>
    <s v="Maintenance préventive fictive EC+PIS - poste G-I-GGH33"/>
    <d v="2027-01-14T00:00:00"/>
    <x v="1"/>
    <s v="EC+PIS"/>
    <x v="0"/>
    <s v="DETENTE"/>
    <s v="ACTI"/>
    <s v="STAT_SYS_A"/>
    <s v="EQ-GGH33-03"/>
    <d v="2026-12-05T00:00:00"/>
    <d v="2026-12-18T00:00:00"/>
    <x v="13"/>
    <s v="SET"/>
    <s v="AA3"/>
    <s v="ZPR2"/>
    <x v="0"/>
    <m/>
    <s v="USER03"/>
    <n v="531.78"/>
    <s v="AA3"/>
    <s v="GG-PREV"/>
    <s v="1"/>
    <s v="Code site"/>
    <m/>
    <n v="0"/>
    <m/>
    <n v="68"/>
    <m/>
    <s v="DEMO_GMAO.xlsx"/>
    <d v="2026-10-14T15:00:00"/>
  </r>
  <r>
    <s v="910000068"/>
    <m/>
    <x v="2"/>
    <x v="2"/>
    <x v="15"/>
    <s v="G-I-HHI34"/>
    <s v="G-I-HHI34-VAN01"/>
    <s v="Équipement fictif G-I-HHI34-VAN01"/>
    <s v="Maintenance préventive fictive PIS - poste G-I-HHI34"/>
    <d v="2026-04-13T00:00:00"/>
    <x v="0"/>
    <s v="PIS"/>
    <x v="0"/>
    <s v="PIQUAGE"/>
    <s v="TERM"/>
    <s v="STAT_SYS_A"/>
    <s v="EQ-HHI34-02"/>
    <d v="2026-03-04T00:00:00"/>
    <d v="2026-03-24T00:00:00"/>
    <x v="15"/>
    <s v="LRO"/>
    <s v="AA4"/>
    <s v="ZPR2"/>
    <x v="0"/>
    <m/>
    <s v="USER02"/>
    <n v="1216.8"/>
    <s v="AA4"/>
    <s v="GG-PREV"/>
    <s v="3"/>
    <s v="Code site"/>
    <m/>
    <n v="1"/>
    <m/>
    <n v="69"/>
    <m/>
    <s v="DEMO_GMAO.xlsx"/>
    <d v="2026-10-14T15:00:00"/>
  </r>
  <r>
    <s v="910000069"/>
    <m/>
    <x v="3"/>
    <x v="0"/>
    <x v="17"/>
    <s v="G-I-IIJ35"/>
    <s v="G-I-IIJ35-FILT01"/>
    <s v="Équipement fictif G-I-IIJ35-FILT01"/>
    <s v="Maintenance préventive fictive EC+PIS+PILOTAGE+REV+FILTRE - poste G-I-IIJ35"/>
    <d v="2026-10-28T00:00:00"/>
    <x v="0"/>
    <s v="EC+PIS+PILOTAGE+REV+FILTRE"/>
    <x v="1"/>
    <s v="PIQUAGE"/>
    <s v="TERM"/>
    <s v="STAT_SYS_A"/>
    <s v="EQ-IIJ35-06"/>
    <d v="2026-08-16T00:00:00"/>
    <d v="2026-10-19T00:00:00"/>
    <x v="17"/>
    <s v="RNA"/>
    <s v="AA1"/>
    <s v="ZPR2"/>
    <x v="0"/>
    <m/>
    <s v="USER01"/>
    <n v="763.69"/>
    <s v="AA1"/>
    <s v="GG-PREV"/>
    <s v="2"/>
    <s v="Code site"/>
    <m/>
    <n v="1"/>
    <m/>
    <n v="70"/>
    <m/>
    <s v="DEMO_GMAO.xlsx"/>
    <d v="2026-10-14T15:00:00"/>
  </r>
  <r>
    <s v="910000069"/>
    <m/>
    <x v="3"/>
    <x v="0"/>
    <x v="17"/>
    <s v="G-I-IIJ35"/>
    <s v="G-I-IIJ35-FILT01"/>
    <s v="Équipement fictif G-I-IIJ35-FILT01"/>
    <s v="Maintenance préventive fictive EC+PIS+PILOTAGE+REV+FILTRE - poste G-I-IIJ35"/>
    <d v="2026-10-28T00:00:00"/>
    <x v="0"/>
    <s v="EC+PIS+PILOTAGE+REV+FILTRE"/>
    <x v="0"/>
    <s v="PIQUAGE"/>
    <s v="TERM"/>
    <s v="STAT_SYS_A"/>
    <s v="EQ-IIJ35-06"/>
    <d v="2026-08-16T00:00:00"/>
    <d v="2026-10-19T00:00:00"/>
    <x v="17"/>
    <s v="RNA"/>
    <s v="AA1"/>
    <s v="ZPR2"/>
    <x v="0"/>
    <m/>
    <s v="USER01"/>
    <n v="763.69"/>
    <s v="AA1"/>
    <s v="GG-PREV"/>
    <s v="2"/>
    <s v="Code site"/>
    <m/>
    <n v="0"/>
    <m/>
    <n v="70"/>
    <m/>
    <s v="DEMO_GMAO.xlsx"/>
    <d v="2026-10-14T15:00:00"/>
  </r>
  <r>
    <s v="910000069"/>
    <m/>
    <x v="3"/>
    <x v="0"/>
    <x v="17"/>
    <s v="G-I-IIJ35"/>
    <s v="G-I-IIJ35-FILT01"/>
    <s v="Équipement fictif G-I-IIJ35-FILT01"/>
    <s v="Maintenance préventive fictive EC+PIS+PILOTAGE+REV+FILTRE - poste G-I-IIJ35"/>
    <d v="2026-10-28T00:00:00"/>
    <x v="0"/>
    <s v="EC+PIS+PILOTAGE+REV+FILTRE"/>
    <x v="2"/>
    <s v="PIQUAGE"/>
    <s v="TERM"/>
    <s v="STAT_SYS_A"/>
    <s v="EQ-IIJ35-06"/>
    <d v="2026-08-16T00:00:00"/>
    <d v="2026-10-19T00:00:00"/>
    <x v="17"/>
    <s v="RNA"/>
    <s v="AA1"/>
    <s v="ZPR2"/>
    <x v="0"/>
    <m/>
    <s v="USER01"/>
    <n v="763.69"/>
    <s v="AA1"/>
    <s v="GG-PREV"/>
    <s v="2"/>
    <s v="Code site"/>
    <m/>
    <n v="0"/>
    <m/>
    <n v="70"/>
    <m/>
    <s v="DEMO_GMAO.xlsx"/>
    <d v="2026-10-14T15:00:00"/>
  </r>
  <r>
    <s v="910000069"/>
    <m/>
    <x v="3"/>
    <x v="0"/>
    <x v="17"/>
    <s v="G-I-IIJ35"/>
    <s v="G-I-IIJ35-FILT01"/>
    <s v="Équipement fictif G-I-IIJ35-FILT01"/>
    <s v="Maintenance préventive fictive EC+PIS+PILOTAGE+REV+FILTRE - poste G-I-IIJ35"/>
    <d v="2026-10-28T00:00:00"/>
    <x v="0"/>
    <s v="EC+PIS+PILOTAGE+REV+FILTRE"/>
    <x v="4"/>
    <s v="PIQUAGE"/>
    <s v="TERM"/>
    <s v="STAT_SYS_A"/>
    <s v="EQ-IIJ35-06"/>
    <d v="2026-08-16T00:00:00"/>
    <d v="2026-10-19T00:00:00"/>
    <x v="17"/>
    <s v="RNA"/>
    <s v="AA1"/>
    <s v="ZPR2"/>
    <x v="0"/>
    <m/>
    <s v="USER01"/>
    <n v="763.69"/>
    <s v="AA1"/>
    <s v="GG-PREV"/>
    <s v="2"/>
    <s v="Code site"/>
    <m/>
    <n v="0"/>
    <m/>
    <n v="70"/>
    <m/>
    <s v="DEMO_GMAO.xlsx"/>
    <d v="2026-10-14T15:00:00"/>
  </r>
  <r>
    <s v="910000069"/>
    <m/>
    <x v="3"/>
    <x v="0"/>
    <x v="17"/>
    <s v="G-I-IIJ35"/>
    <s v="G-I-IIJ35-FILT01"/>
    <s v="Équipement fictif G-I-IIJ35-FILT01"/>
    <s v="Maintenance préventive fictive EC+PIS+PILOTAGE+REV+FILTRE - poste G-I-IIJ35"/>
    <d v="2026-10-28T00:00:00"/>
    <x v="0"/>
    <s v="EC+PIS+PILOTAGE+REV+FILTRE"/>
    <x v="3"/>
    <s v="PIQUAGE"/>
    <s v="TERM"/>
    <s v="STAT_SYS_A"/>
    <s v="EQ-IIJ35-06"/>
    <d v="2026-08-16T00:00:00"/>
    <d v="2026-10-19T00:00:00"/>
    <x v="17"/>
    <s v="RNA"/>
    <s v="AA1"/>
    <s v="ZPR2"/>
    <x v="0"/>
    <m/>
    <s v="USER01"/>
    <n v="763.69"/>
    <s v="AA1"/>
    <s v="GG-PREV"/>
    <s v="2"/>
    <s v="Code site"/>
    <m/>
    <n v="0"/>
    <m/>
    <n v="70"/>
    <m/>
    <s v="DEMO_GMAO.xlsx"/>
    <d v="2026-10-14T15:00:00"/>
  </r>
  <r>
    <s v="910000070"/>
    <m/>
    <x v="3"/>
    <x v="0"/>
    <x v="17"/>
    <s v="G-I-IIJ35"/>
    <s v="G-I-IIJ35-FILT01"/>
    <s v="Équipement fictif G-I-IIJ35-FILT01"/>
    <s v="Maintenance préventive fictive PIS - poste G-I-IIJ35"/>
    <d v="2027-09-03T00:00:00"/>
    <x v="1"/>
    <s v="PIS"/>
    <x v="0"/>
    <s v="PIQUAGE"/>
    <s v="ACTI"/>
    <s v="STAT_SYS_A"/>
    <s v="EQ-IIJ35-01"/>
    <d v="2027-07-15T00:00:00"/>
    <d v="2027-08-06T00:00:00"/>
    <x v="17"/>
    <s v="RNA"/>
    <s v="AA1"/>
    <s v="ZPR2"/>
    <x v="0"/>
    <m/>
    <s v="USER01"/>
    <n v="510.01"/>
    <s v="AA1"/>
    <s v="GG-PREV"/>
    <s v="2"/>
    <s v="Code site"/>
    <m/>
    <n v="1"/>
    <m/>
    <n v="71"/>
    <m/>
    <s v="DEMO_GMAO.xlsx"/>
    <d v="2026-10-14T15:00:00"/>
  </r>
  <r>
    <s v="910000071"/>
    <m/>
    <x v="7"/>
    <x v="2"/>
    <x v="19"/>
    <s v="G-I-JJK36"/>
    <s v="G-I-JJK36-SEC01"/>
    <s v="Équipement fictif G-I-JJK36-SEC01"/>
    <s v="Maintenance préventive fictive EC+PIS - poste G-I-JJK36"/>
    <d v="2027-09-18T00:00:00"/>
    <x v="1"/>
    <s v="EC+PIS"/>
    <x v="1"/>
    <s v="COUPURE"/>
    <s v="ACTI"/>
    <s v="STAT_SYS_A"/>
    <s v="EQ-JJK36-09"/>
    <d v="2027-06-24T00:00:00"/>
    <d v="2027-08-26T00:00:00"/>
    <x v="19"/>
    <s v="SVI"/>
    <s v="AA4"/>
    <s v="ZPR2"/>
    <x v="0"/>
    <m/>
    <s v="USER02"/>
    <n v="253.75"/>
    <s v="AA4"/>
    <s v="GG-PREV"/>
    <s v="2"/>
    <s v="Code site"/>
    <m/>
    <n v="1"/>
    <m/>
    <n v="72"/>
    <m/>
    <s v="DEMO_GMAO.xlsx"/>
    <d v="2026-10-14T15:00:00"/>
  </r>
  <r>
    <s v="910000071"/>
    <m/>
    <x v="7"/>
    <x v="2"/>
    <x v="19"/>
    <s v="G-I-JJK36"/>
    <s v="G-I-JJK36-SEC01"/>
    <s v="Équipement fictif G-I-JJK36-SEC01"/>
    <s v="Maintenance préventive fictive EC+PIS - poste G-I-JJK36"/>
    <d v="2027-09-18T00:00:00"/>
    <x v="1"/>
    <s v="EC+PIS"/>
    <x v="0"/>
    <s v="COUPURE"/>
    <s v="ACTI"/>
    <s v="STAT_SYS_A"/>
    <s v="EQ-JJK36-09"/>
    <d v="2027-06-24T00:00:00"/>
    <d v="2027-08-26T00:00:00"/>
    <x v="19"/>
    <s v="SVI"/>
    <s v="AA4"/>
    <s v="ZPR2"/>
    <x v="0"/>
    <m/>
    <s v="USER02"/>
    <n v="253.75"/>
    <s v="AA4"/>
    <s v="GG-PREV"/>
    <s v="2"/>
    <s v="Code site"/>
    <m/>
    <n v="0"/>
    <m/>
    <n v="72"/>
    <m/>
    <s v="DEMO_GMAO.xlsx"/>
    <d v="2026-10-14T15:00:00"/>
  </r>
  <r>
    <s v="910000072"/>
    <m/>
    <x v="4"/>
    <x v="0"/>
    <x v="0"/>
    <s v="G-I-AAA01"/>
    <s v="G-I-AAA01-REG01"/>
    <s v="Équipement fictif G-I-AAA01-REG01"/>
    <s v="Maintenance préventive fictive SURV DEC - poste G-I-AAA01"/>
    <d v="2027-02-18T00:00:00"/>
    <x v="1"/>
    <s v="SURV DEC"/>
    <x v="5"/>
    <s v="DETENTE"/>
    <s v="ACTI"/>
    <s v="STAT_SYS_A"/>
    <s v="EQ-AAA01-05"/>
    <d v="2026-12-29T00:00:00"/>
    <d v="2027-02-10T00:00:00"/>
    <x v="0"/>
    <s v="SET"/>
    <s v="AA1"/>
    <s v="ZPR2"/>
    <x v="0"/>
    <m/>
    <s v="USER03"/>
    <n v="614.75"/>
    <s v="AA1"/>
    <s v="GG-PREV"/>
    <s v="2"/>
    <s v="Code site"/>
    <m/>
    <n v="1"/>
    <m/>
    <n v="73"/>
    <m/>
    <s v="DEMO_GMAO.xlsx"/>
    <d v="2026-10-14T15:00:00"/>
  </r>
  <r>
    <s v="910000073"/>
    <m/>
    <x v="3"/>
    <x v="1"/>
    <x v="14"/>
    <s v="G-I-HHH08"/>
    <s v="G-I-HHH08-SEC01"/>
    <s v="Équipement fictif G-I-HHH08-SEC01"/>
    <s v="Maintenance préventive fictive SURV DEC - poste G-I-HHH08"/>
    <d v="2027-06-16T00:00:00"/>
    <x v="1"/>
    <s v="SURV DEC"/>
    <x v="5"/>
    <s v="COMPTAGE"/>
    <s v="TERM"/>
    <s v="STAT_SYS_A"/>
    <s v="EQ-HHH08-04"/>
    <d v="2027-04-29T00:00:00"/>
    <d v="2027-05-28T00:00:00"/>
    <x v="29"/>
    <s v="RNA"/>
    <s v="AA3"/>
    <s v="ZPR2"/>
    <x v="0"/>
    <m/>
    <s v="USER01"/>
    <n v="1016.83"/>
    <s v="AA3"/>
    <s v="GG-PREV"/>
    <s v="2"/>
    <s v="Code site"/>
    <m/>
    <n v="1"/>
    <m/>
    <n v="74"/>
    <m/>
    <s v="DEMO_GMAO.xlsx"/>
    <d v="2026-10-14T15:00:00"/>
  </r>
  <r>
    <s v="910000074"/>
    <m/>
    <x v="6"/>
    <x v="0"/>
    <x v="6"/>
    <s v="G-I-DDD04"/>
    <s v="G-I-DDD04-SEC01"/>
    <s v="Équipement fictif G-I-DDD04-SEC01"/>
    <s v="Maintenance préventive fictive INSPECTION TSF - poste G-I-DDD04"/>
    <d v="2027-06-04T00:00:00"/>
    <x v="1"/>
    <s v="INSPECTION TSF"/>
    <x v="6"/>
    <s v="LIVRAISON"/>
    <s v="ACTI"/>
    <s v="STAT_SYS_A"/>
    <s v="EQ-DDD04-04"/>
    <d v="2027-04-22T00:00:00"/>
    <d v="2027-05-05T00:00:00"/>
    <x v="4"/>
    <s v="SPS"/>
    <s v="AA1"/>
    <s v="ZPR2"/>
    <x v="0"/>
    <m/>
    <s v="USER01"/>
    <n v="1160.07"/>
    <s v="AA1"/>
    <s v="GG-PREV"/>
    <s v="1"/>
    <s v="Code site"/>
    <m/>
    <n v="1"/>
    <m/>
    <n v="75"/>
    <m/>
    <s v="DEMO_GMAO.xlsx"/>
    <d v="2026-10-14T15:00:00"/>
  </r>
  <r>
    <s v="910000075"/>
    <m/>
    <x v="9"/>
    <x v="1"/>
    <x v="20"/>
    <s v="G-I-KKK11"/>
    <s v="G-I-KKK11-FILT01"/>
    <s v="Équipement fictif G-I-KKK11-FILT01"/>
    <s v="Maintenance préventive fictive INSPECTION TA - poste G-I-KKK11"/>
    <d v="2027-02-10T00:00:00"/>
    <x v="1"/>
    <s v="INSPECTION TA"/>
    <x v="7"/>
    <s v="COUPURE"/>
    <s v="TERM"/>
    <s v="STAT_SYS_A"/>
    <s v="EQ-KKK11-08"/>
    <d v="2026-11-12T00:00:00"/>
    <d v="2027-01-26T00:00:00"/>
    <x v="16"/>
    <s v="VRS"/>
    <s v="AA3"/>
    <s v="ZPR2"/>
    <x v="0"/>
    <m/>
    <s v="USER03"/>
    <n v="660.8"/>
    <s v="AA3"/>
    <s v="GG-PREV"/>
    <s v="2"/>
    <s v="Code site"/>
    <m/>
    <n v="1"/>
    <m/>
    <n v="76"/>
    <m/>
    <s v="DEMO_GMAO.xlsx"/>
    <d v="2026-10-14T15:00:00"/>
  </r>
  <r>
    <s v="910000076"/>
    <m/>
    <x v="1"/>
    <x v="0"/>
    <x v="31"/>
    <s v="G-I-VVV22"/>
    <s v="G-I-VVV22-VAN01"/>
    <s v="Équipement fictif G-I-VVV22-VAN01"/>
    <s v="Maintenance préventive fictive ENDO - poste G-I-VVV22"/>
    <d v="2027-04-23T00:00:00"/>
    <x v="1"/>
    <s v="ENDO"/>
    <x v="8"/>
    <s v="COMPTAGE"/>
    <s v="ACTI"/>
    <s v="STAT_SYS_A"/>
    <s v="EQ-VVV22-06"/>
    <d v="2027-02-26T00:00:00"/>
    <d v="2027-03-26T00:00:00"/>
    <x v="3"/>
    <s v="DEI"/>
    <s v="AA1"/>
    <s v="ZPR2"/>
    <x v="0"/>
    <m/>
    <s v="USER03"/>
    <n v="1001.26"/>
    <s v="AA1"/>
    <s v="GG-PREV"/>
    <s v="3"/>
    <s v="Code site"/>
    <m/>
    <n v="1"/>
    <m/>
    <n v="77"/>
    <m/>
    <s v="DEMO_GMAO.xlsx"/>
    <d v="2026-10-14T15:00:00"/>
  </r>
  <r>
    <s v="910000080"/>
    <m/>
    <x v="6"/>
    <x v="1"/>
    <x v="8"/>
    <s v="G-I-EEE05"/>
    <s v="G-I-EEE05-REG01"/>
    <s v="Équipement fictif G-I-EEE05-REG01"/>
    <s v="Maintenance préventive fictive EC+PIS - poste G-I-EEE05"/>
    <d v="2026-04-09T00:00:00"/>
    <x v="0"/>
    <s v="EC+PIS"/>
    <x v="1"/>
    <s v="COUPURE"/>
    <s v="ACTI"/>
    <s v="STAT_SYS_A"/>
    <s v="EQ-EEE05-04"/>
    <d v="2026-02-11T00:00:00"/>
    <d v="2026-03-16T00:00:00"/>
    <x v="6"/>
    <s v="SPS"/>
    <s v="AA3"/>
    <s v="ZPR2"/>
    <x v="0"/>
    <m/>
    <s v="USER02"/>
    <n v="950.79"/>
    <s v="AA3"/>
    <s v="GG-PREV"/>
    <s v="3"/>
    <s v="Code site"/>
    <m/>
    <n v="1"/>
    <s v="Doublon OT éventuel ; Couple Ordre + Activité en double"/>
    <n v="81"/>
    <s v="81, 82"/>
    <s v="DEMO_GMAO.xlsx"/>
    <d v="2026-10-14T15:00:00"/>
  </r>
  <r>
    <s v="910000080"/>
    <m/>
    <x v="6"/>
    <x v="1"/>
    <x v="8"/>
    <s v="G-I-EEE05"/>
    <s v="G-I-EEE05-REG01"/>
    <s v="Équipement fictif G-I-EEE05-REG01"/>
    <s v="Maintenance préventive fictive EC+PIS - poste G-I-EEE05"/>
    <d v="2026-04-09T00:00:00"/>
    <x v="0"/>
    <s v="EC+PIS"/>
    <x v="0"/>
    <s v="COUPURE"/>
    <s v="ACTI"/>
    <s v="STAT_SYS_A"/>
    <s v="EQ-EEE05-04"/>
    <d v="2026-02-11T00:00:00"/>
    <d v="2026-03-16T00:00:00"/>
    <x v="6"/>
    <s v="SPS"/>
    <s v="AA3"/>
    <s v="ZPR2"/>
    <x v="0"/>
    <m/>
    <s v="USER02"/>
    <n v="950.79"/>
    <s v="AA3"/>
    <s v="GG-PREV"/>
    <s v="3"/>
    <s v="Code site"/>
    <m/>
    <n v="0"/>
    <s v="Doublon OT éventuel ; Couple Ordre + Activité en double"/>
    <n v="81"/>
    <s v="81, 82"/>
    <s v="DEMO_GMAO.xlsx"/>
    <d v="2026-10-14T15:00:00"/>
  </r>
  <r>
    <s v="910000081"/>
    <m/>
    <x v="6"/>
    <x v="2"/>
    <x v="10"/>
    <m/>
    <s v="G-I-FFF06-VAN01"/>
    <s v="Équipement fictif G-I-FFF06-VAN01"/>
    <s v="Maintenance préventive fictive PIS - poste G-I-FFF06"/>
    <d v="2027-07-13T00:00:00"/>
    <x v="1"/>
    <s v="PIS"/>
    <x v="0"/>
    <s v="SECTIONNEMENT"/>
    <s v="TERM"/>
    <s v="STAT_SYS_A"/>
    <s v="EQ-FFF06-04"/>
    <d v="2027-04-21T00:00:00"/>
    <d v="2027-06-22T00:00:00"/>
    <x v="33"/>
    <s v="SPS"/>
    <s v="AA4"/>
    <s v="ZPR2"/>
    <x v="0"/>
    <m/>
    <s v="USER02"/>
    <n v="1121.71"/>
    <s v="AA4"/>
    <s v="GG-PREV"/>
    <s v="2"/>
    <s v="Poste technique (9 car.)"/>
    <m/>
    <n v="1"/>
    <s v="Code site vide : code poste repris du Poste technique"/>
    <n v="83"/>
    <m/>
    <s v="DEMO_GMAO.xlsx"/>
    <d v="2026-10-14T15:00:00"/>
  </r>
  <r>
    <s v="910000082"/>
    <m/>
    <x v="3"/>
    <x v="0"/>
    <x v="12"/>
    <s v="G-I-GGG07"/>
    <s v="G-I-GGX07-VAN01"/>
    <s v="Équipement fictif G-I-GGX07-VAN01"/>
    <s v="Maintenance préventive fictive EC - poste G-I-GGX07"/>
    <d v="2027-09-03T00:00:00"/>
    <x v="1"/>
    <s v="EC"/>
    <x v="1"/>
    <s v="DETENTE"/>
    <s v="ACTI"/>
    <s v="STAT_SYS_A"/>
    <s v="EQ-GGX07-07"/>
    <d v="2027-07-15T00:00:00"/>
    <d v="2027-08-09T00:00:00"/>
    <x v="8"/>
    <s v="RNA"/>
    <s v="AA1"/>
    <s v="ZPR2"/>
    <x v="0"/>
    <m/>
    <s v="USER01"/>
    <n v="607.78"/>
    <s v="AA1"/>
    <s v="GG-PREV"/>
    <s v="1"/>
    <s v="Code site"/>
    <m/>
    <n v="1"/>
    <s v="Code site ≠ GAUCHE(Poste technique;9)"/>
    <n v="84"/>
    <m/>
    <s v="DEMO_GMAO.xlsx"/>
    <d v="2026-10-14T15:00:00"/>
  </r>
  <r>
    <s v="910000083"/>
    <m/>
    <x v="9"/>
    <x v="0"/>
    <x v="18"/>
    <s v="G-I-JJJ10"/>
    <s v="G-I-JJJ10-VAN01"/>
    <s v="Équipement fictif G-I-JJJ10-VAN01"/>
    <s v="Maintenance préventive fictive PIS+CONTROLE VISUEL - poste G-I-JJJ10"/>
    <d v="2027-04-12T00:00:00"/>
    <x v="1"/>
    <s v="PIS+CONTROLE VISUEL"/>
    <x v="0"/>
    <s v="COMPTAGE"/>
    <s v="ACTI"/>
    <s v="STAT_SYS_A"/>
    <s v="EQ-JJJ10-04"/>
    <d v="2027-01-18T00:00:00"/>
    <d v="2027-03-22T00:00:00"/>
    <x v="14"/>
    <s v="VRS"/>
    <s v="AA1"/>
    <s v="ZPR2"/>
    <x v="0"/>
    <m/>
    <s v="USER02"/>
    <n v="480.35"/>
    <s v="AA1"/>
    <s v="GG-PREV"/>
    <s v="3"/>
    <s v="Code site"/>
    <m/>
    <n v="1"/>
    <s v="Activité inconnue (à valider)"/>
    <n v="85"/>
    <m/>
    <s v="DEMO_GMAO.xlsx"/>
    <d v="2026-10-14T15:00:00"/>
  </r>
  <r>
    <s v="910000083"/>
    <m/>
    <x v="9"/>
    <x v="0"/>
    <x v="18"/>
    <s v="G-I-JJJ10"/>
    <s v="G-I-JJJ10-VAN01"/>
    <s v="Équipement fictif G-I-JJJ10-VAN01"/>
    <s v="Maintenance préventive fictive PIS+CONTROLE VISUEL - poste G-I-JJJ10"/>
    <d v="2027-04-12T00:00:00"/>
    <x v="1"/>
    <s v="PIS+CONTROLE VISUEL"/>
    <x v="9"/>
    <s v="COMPTAGE"/>
    <s v="ACTI"/>
    <s v="STAT_SYS_A"/>
    <s v="EQ-JJJ10-04"/>
    <d v="2027-01-18T00:00:00"/>
    <d v="2027-03-22T00:00:00"/>
    <x v="14"/>
    <s v="VRS"/>
    <s v="AA1"/>
    <s v="ZPR2"/>
    <x v="0"/>
    <m/>
    <s v="USER02"/>
    <n v="480.35"/>
    <s v="AA1"/>
    <s v="GG-PREV"/>
    <s v="3"/>
    <s v="Code site"/>
    <m/>
    <n v="0"/>
    <s v="Activité inconnue (à valider)"/>
    <n v="85"/>
    <m/>
    <s v="DEMO_GMAO.xlsx"/>
    <d v="2026-10-14T15:00:00"/>
  </r>
  <r>
    <s v="910000084"/>
    <m/>
    <x v="9"/>
    <x v="2"/>
    <x v="21"/>
    <s v="G-I-LLL12"/>
    <s v="G-I-LLL12-SEC01"/>
    <s v="Équipement fictif G-I-LLL12-SEC01"/>
    <s v="Maintenance préventive fictive PIS - poste G-I-LLL12"/>
    <d v="2027-06-15T00:00:00"/>
    <x v="1"/>
    <m/>
    <x v="10"/>
    <s v="COMPTAGE"/>
    <s v="ACTI"/>
    <s v="STAT_SYS_A"/>
    <s v="EQ-LLL12-05"/>
    <d v="2027-04-25T00:00:00"/>
    <d v="2027-06-04T00:00:00"/>
    <x v="18"/>
    <s v="VRS"/>
    <s v="AA4"/>
    <s v="ZPR2"/>
    <x v="0"/>
    <m/>
    <s v="USER03"/>
    <n v="289.38"/>
    <s v="AA4"/>
    <s v="GG-PREV"/>
    <s v="1"/>
    <s v="Code site"/>
    <m/>
    <n v="1"/>
    <s v="Activité source vide alors que Désignation est renseignée"/>
    <n v="86"/>
    <m/>
    <s v="DEMO_GMAO.xlsx"/>
    <d v="2026-10-14T15:00:00"/>
  </r>
</pivotCacheRecords>
</file>

<file path=xl/pivotTables/_rels/pivotTable1.xml.rels><?xml version='1.0' encoding='UTF-8' standalone='yes'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'1.0' encoding='UTF-8' standalone='yes'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CD_Couverture" cacheId="1" applyNumberFormats="0" applyBorderFormats="0" applyFontFormats="0" applyPatternFormats="0" applyAlignmentFormats="0" applyWidthHeightFormats="1" dataCaption="Valeurs" grandTotalCaption="Total" missingCaption="0" updatedVersion="6" minRefreshableVersion="3" useAutoFormatting="0" rowGrandTotals="0" colGrandTotals="1" itemPrintTitles="1" createdVersion="6" indent="0" compact="0" compactData="0" outline="1" outlineData="1" gridDropZones="0" multipleFieldFilters="0">
  <location ref="A12:P78" firstHeaderRow="1" firstDataRow="2" firstDataCol="5"/>
  <pivotFields count="38">
    <pivotField dataField="1" compact="0" outline="0" showAll="0"/>
    <pivotField compact="0" outline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Col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0"/>
    <field x="2"/>
    <field x="3"/>
    <field x="4"/>
    <field x="19"/>
  </rowFields>
  <colFields count="1">
    <field x="12"/>
  </colFields>
  <dataFields count="1">
    <dataField name="Nb O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CD_Total" cacheId="1" applyNumberFormats="0" applyBorderFormats="0" applyFontFormats="0" applyPatternFormats="0" applyAlignmentFormats="0" applyWidthHeightFormats="1" dataCaption="Valeurs" grandTotalCaption="Total" missingCaption="0" updatedVersion="6" minRefreshableVersion="3" useAutoFormatting="0" rowGrandTotals="0" colGrandTotals="0" itemPrintTitles="1" createdVersion="6" indent="0" compact="0" compactData="0" outline="1" outlineData="1" gridDropZones="0" multipleFieldFilters="0">
  <location ref="G4:H5" firstHeaderRow="1" firstDataRow="1" firstDataCol="1"/>
  <pivotFields count="38">
    <pivotField compact="0" outline="0" showAll="0"/>
    <pivotField compact="0" outline="0" showAll="0"/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dataFields count="1">
    <dataField name="OT préventifs distincts" fld="32" subtotal="sum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 adjustColumnWidth="0">
  <queryTableRefresh nextId="20">
    <queryTableFields count="19">
      <queryTableField id="1" name="Site" tableColumnId="1"/>
      <queryTableField id="2" name="Équipe" tableColumnId="2"/>
      <queryTableField id="3" name="Code poste" tableColumnId="3"/>
      <queryTableField id="4" name="Désignation" tableColumnId="4"/>
      <queryTableField id="5" name="Typologie" tableColumnId="5"/>
      <queryTableField id="6" name="Année" tableColumnId="6"/>
      <queryTableField id="7" name="Opération affichée" tableColumnId="7"/>
      <queryTableField id="8" name="Ordre opération" tableColumnId="8"/>
      <queryTableField id="9" name="Opération" tableColumnId="9"/>
      <queryTableField id="10" name="Code Emprise" tableColumnId="10"/>
      <queryTableField id="11" name="Code Installation" tableColumnId="11"/>
      <queryTableField id="12" name="Source code poste" tableColumnId="12"/>
      <queryTableField id="13" name="Code poste GMAO" tableColumnId="13"/>
      <queryTableField id="14" name="Correspondance déclarée" tableColumnId="14"/>
      <queryTableField id="15" name="Contrôle qualité" tableColumnId="15"/>
      <queryTableField id="16" name="Ligne PDM" tableColumnId="16"/>
      <queryTableField id="17" name="Lignes vides ignorées" tableColumnId="17"/>
      <queryTableField id="18" name="Fichier source" tableColumnId="18"/>
      <queryTableField id="19" name="Importé le" tableColumnId="19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 adjustColumnWidth="0">
  <queryTableRefresh nextId="13">
    <queryTableFields count="12">
      <queryTableField id="1" name="Site" tableColumnId="1"/>
      <queryTableField id="2" name="Équipe" tableColumnId="2"/>
      <queryTableField id="3" name="Code poste" tableColumnId="3"/>
      <queryTableField id="4" name="Désignation du poste" tableColumnId="4"/>
      <queryTableField id="5" name="Typologie" tableColumnId="5"/>
      <queryTableField id="6" name="2026" tableColumnId="6"/>
      <queryTableField id="7" name="2027" tableColumnId="7"/>
      <queryTableField id="8" name="2028" tableColumnId="8"/>
      <queryTableField id="9" name="2029" tableColumnId="9"/>
      <queryTableField id="10" name="2030" tableColumnId="10"/>
      <queryTableField id="11" name="2031" tableColumnId="11"/>
      <queryTableField id="12" name="2032" tableColumnId="12"/>
    </queryTableFields>
  </queryTableRefresh>
</queryTable>
</file>

<file path=xl/queryTables/queryTable3.xml><?xml version="1.0" encoding="utf-8"?>
<queryTable xmlns="http://schemas.openxmlformats.org/spreadsheetml/2006/main" name="ExternalData_3" connectionId="4" autoFormatId="16" applyNumberFormats="0" applyBorderFormats="0" applyFontFormats="0" applyPatternFormats="0" applyAlignmentFormats="0" applyWidthHeightFormats="0" adjustColumnWidth="0">
  <queryTableRefresh nextId="39">
    <queryTableFields count="38">
      <queryTableField id="1" name="Ordre" tableColumnId="1"/>
      <queryTableField id="2" name="Ordre supérieur" tableColumnId="2"/>
      <queryTableField id="3" name="Site" tableColumnId="3"/>
      <queryTableField id="4" name="Équipe" tableColumnId="4"/>
      <queryTableField id="5" name="Code poste" tableColumnId="5"/>
      <queryTableField id="6" name="Code site" tableColumnId="6"/>
      <queryTableField id="7" name="Poste technique" tableColumnId="7"/>
      <queryTableField id="8" name="Désign.poste techn." tableColumnId="8"/>
      <queryTableField id="9" name="Désignation" tableColumnId="9"/>
      <queryTableField id="10" name="Date début planifiée" tableColumnId="10"/>
      <queryTableField id="11" name="Année planifiée" tableColumnId="11"/>
      <queryTableField id="12" name="Activité source" tableColumnId="12"/>
      <queryTableField id="13" name="Activité atomique" tableColumnId="13"/>
      <queryTableField id="14" name="Typologie" tableColumnId="14"/>
      <queryTableField id="15" name="Statut utilisateur" tableColumnId="15"/>
      <queryTableField id="16" name="Statut système" tableColumnId="16"/>
      <queryTableField id="17" name="Équipement" tableColumnId="17"/>
      <queryTableField id="18" name="Créé le" tableColumnId="18"/>
      <queryTableField id="19" name="Date modif. fiche ordre" tableColumnId="19"/>
      <queryTableField id="20" name="Désignation du poste" tableColumnId="20"/>
      <queryTableField id="21" name="Groupe gestionnaires" tableColumnId="21"/>
      <queryTableField id="22" name="Poste travail princ." tableColumnId="22"/>
      <queryTableField id="23" name="Type d'ordre" tableColumnId="23"/>
      <queryTableField id="24" name="Type de travail" tableColumnId="24"/>
      <queryTableField id="25" name="Avis" tableColumnId="25"/>
      <queryTableField id="26" name="Saisi par" tableColumnId="26"/>
      <queryTableField id="27" name="Total coûts réels" tableColumnId="27"/>
      <queryTableField id="28" name="Secteur exploitation" tableColumnId="28"/>
      <queryTableField id="29" name="Groupe de gamme principale" tableColumnId="29"/>
      <queryTableField id="30" name="Compteur de groupe de gamme principale" tableColumnId="30"/>
      <queryTableField id="31" name="Source code poste" tableColumnId="31"/>
      <queryTableField id="32" name="Activité reconstruite (secours)" tableColumnId="32"/>
      <queryTableField id="33" name="Compte OT" tableColumnId="33"/>
      <queryTableField id="34" name="Contrôle qualité" tableColumnId="34"/>
      <queryTableField id="35" name="Ligne export" tableColumnId="35"/>
      <queryTableField id="36" name="Lignes export regroupées" tableColumnId="36"/>
      <queryTableField id="37" name="Fichier source" tableColumnId="37"/>
      <queryTableField id="38" name="Importé le" tableColumnId="38"/>
    </queryTableFields>
  </queryTableRefresh>
</queryTable>
</file>

<file path=xl/queryTables/queryTable4.xml><?xml version="1.0" encoding="utf-8"?>
<queryTable xmlns="http://schemas.openxmlformats.org/spreadsheetml/2006/main" name="ExternalData_4" connectionId="5" autoFormatId="16" applyNumberFormats="0" applyBorderFormats="0" applyFontFormats="0" applyPatternFormats="0" applyAlignmentFormats="0" applyWidthHeightFormats="0" adjustColumnWidth="0">
  <queryTableRefresh nextId="9">
    <queryTableFields count="8">
      <queryTableField id="1" name="Origine" tableColumnId="1"/>
      <queryTableField id="2" name="Site" tableColumnId="2"/>
      <queryTableField id="3" name="Équipe" tableColumnId="3"/>
      <queryTableField id="4" name="Code poste" tableColumnId="4"/>
      <queryTableField id="5" name="Désignation" tableColumnId="5"/>
      <queryTableField id="6" name="Code poste GMAO" tableColumnId="6"/>
      <queryTableField id="7" name="Statut rapprochement" tableColumnId="7"/>
      <queryTableField id="8" name="Nb OT préventifs (GMAO)" tableColumnId="8"/>
    </queryTableFields>
  </queryTableRefresh>
</queryTable>
</file>

<file path=xl/queryTables/queryTable5.xml><?xml version="1.0" encoding="utf-8"?>
<queryTable xmlns="http://schemas.openxmlformats.org/spreadsheetml/2006/main" name="ExternalData_5" connectionId="6" autoFormatId="16" applyNumberFormats="0" applyBorderFormats="0" applyFontFormats="0" applyPatternFormats="0" applyAlignmentFormats="0" applyWidthHeightFormats="0" adjustColumnWidth="0">
  <queryTableRefresh nextId="9">
    <queryTableFields count="8">
      <queryTableField id="1" name="N°" tableColumnId="1"/>
      <queryTableField id="2" name="Source" tableColumnId="2"/>
      <queryTableField id="3" name="Contrôle" tableColumnId="3"/>
      <queryTableField id="4" name="Niveau" tableColumnId="4"/>
      <queryTableField id="5" name="Nombre" tableColumnId="5"/>
      <queryTableField id="6" name="Statut" tableColumnId="6"/>
      <queryTableField id="7" name="Exemples" tableColumnId="7"/>
      <queryTableField id="8" name="Actualisé le" tableColumnId="8"/>
    </queryTableFields>
  </queryTableRefresh>
</queryTable>
</file>

<file path=xl/queryTables/queryTable6.xml><?xml version="1.0" encoding="utf-8"?>
<queryTable xmlns="http://schemas.openxmlformats.org/spreadsheetml/2006/main" name="ExternalData_6" connectionId="7" autoFormatId="16" applyNumberFormats="0" applyBorderFormats="0" applyFontFormats="0" applyPatternFormats="0" applyAlignmentFormats="0" applyWidthHeightFormats="0" adjustColumnWidth="0">
  <queryTableRefresh nextId="9">
    <queryTableFields count="8">
      <queryTableField id="1" name="Source" tableColumnId="1"/>
      <queryTableField id="2" name="Ligne" tableColumnId="2"/>
      <queryTableField id="3" name="Ordre" tableColumnId="3"/>
      <queryTableField id="4" name="Code poste" tableColumnId="4"/>
      <queryTableField id="5" name="Site" tableColumnId="5"/>
      <queryTableField id="6" name="Équipe" tableColumnId="6"/>
      <queryTableField id="7" name="Contrôle" tableColumnId="7"/>
      <queryTableField id="8" name="Détail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ite_Vision" sourceName="Site">
  <extLst>
    <x:ext xmlns:x15="http://schemas.microsoft.com/office/spreadsheetml/2010/11/main" uri="{2F2917AC-EB37-4324-AD4E-5DD8C200BD13}">
      <x15:tableSlicerCache tableId="1" column="1" sortOrder="ascending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Equipe_Vision" sourceName="Équipe">
  <extLst>
    <x:ext xmlns:x15="http://schemas.microsoft.com/office/spreadsheetml/2010/11/main" uri="{2F2917AC-EB37-4324-AD4E-5DD8C200BD13}">
      <x15:tableSlicerCache tableId="1" column="2" sortOrder="ascending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ypologie_Vision" sourceName="Typologie">
  <extLst>
    <x:ext xmlns:x15="http://schemas.microsoft.com/office/spreadsheetml/2010/11/main" uri="{2F2917AC-EB37-4324-AD4E-5DD8C200BD13}">
      <x15:tableSlicerCache tableId="1" column="5" sortOrder="ascending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Site_OT" sourceName="Site">
  <pivotTables>
    <pivotTable tabId="2" name="TCD_Couverture"/>
    <pivotTable tabId="2" name="TCD_Total"/>
  </pivotTables>
  <data>
    <tabular pivotCacheId="1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Equipe_OT" sourceName="Équipe">
  <pivotTables>
    <pivotTable tabId="2" name="TCD_Couverture"/>
    <pivotTable tabId="2" name="TCD_Total"/>
  </pivotTables>
  <data>
    <tabular pivotCacheId="1">
      <items count="3">
        <i x="0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nee_OT" sourceName="Année planifiée">
  <pivotTables>
    <pivotTable tabId="2" name="TCD_Couverture"/>
    <pivotTable tabId="2" name="TCD_Total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 (vision)" cache="Segment_Site_Vision" caption="SITE" columnCount="5" style="SlicerStyleDark1" rowHeight="241300"/>
  <slicer name="ÉQUIPE (vision)" cache="Segment_Equipe_Vision" caption="ÉQUIPE" columnCount="1" style="SlicerStyleDark1" rowHeight="241300"/>
  <slicer name="TYPOLOGIE (vision)" cache="Segment_Typologie_Vision" caption="TYPOLOGIE" columnCount="2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TE (OT)" cache="Segment_Site_OT" caption="SITE" columnCount="5" style="SlicerStyleDark1" rowHeight="241300"/>
  <slicer name="ÉQUIPE (OT)" cache="Segment_Equipe_OT" caption="ÉQUIPE" columnCount="1" style="SlicerStyleDark1" rowHeight="241300"/>
  <slicer name="ANNÉE (OT)" cache="Segment_Annee_OT" caption="ANNÉE" columnCount="1" style="SlicerStyleDark1" rowHeight="241300"/>
</slicers>
</file>

<file path=xl/tables/_rels/table1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'1.0' encoding='UTF-8' standalone='yes'?>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_Vision" displayName="T_Vision" ref="A11:L47" headerRowCount="1" tableType="queryTable">
  <autoFilter ref="A11:L47"/>
  <tableColumns count="12">
    <tableColumn id="1" name="Site" uniqueName="1" queryTableFieldId="1"/>
    <tableColumn id="2" name="Équipe" uniqueName="2" queryTableFieldId="2"/>
    <tableColumn id="3" name="Code poste" uniqueName="3" queryTableFieldId="3"/>
    <tableColumn id="4" name="Désignation du poste" uniqueName="4" queryTableFieldId="4"/>
    <tableColumn id="5" name="Typologie" uniqueName="5" queryTableFieldId="5"/>
    <tableColumn id="6" name="2026" uniqueName="6" queryTableFieldId="6"/>
    <tableColumn id="7" name="2027" uniqueName="7" queryTableFieldId="7"/>
    <tableColumn id="8" name="2028" uniqueName="8" queryTableFieldId="8"/>
    <tableColumn id="9" name="2029" uniqueName="9" queryTableFieldId="9"/>
    <tableColumn id="10" name="2030" uniqueName="10" queryTableFieldId="10"/>
    <tableColumn id="11" name="2031" uniqueName="11" queryTableFieldId="11"/>
    <tableColumn id="12" name="2032" uniqueName="12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OT_Detail" displayName="T_OT_Detail" ref="A1:AL125" headerRowCount="1" tableType="queryTable">
  <autoFilter ref="A1:AL125"/>
  <tableColumns count="38">
    <tableColumn id="1" name="Ordre" uniqueName="1" queryTableFieldId="1"/>
    <tableColumn id="2" name="Ordre supérieur" uniqueName="2" queryTableFieldId="2"/>
    <tableColumn id="3" name="Site" uniqueName="3" queryTableFieldId="3"/>
    <tableColumn id="4" name="Équipe" uniqueName="4" queryTableFieldId="4"/>
    <tableColumn id="5" name="Code poste" uniqueName="5" queryTableFieldId="5"/>
    <tableColumn id="6" name="Code site" uniqueName="6" queryTableFieldId="6"/>
    <tableColumn id="7" name="Poste technique" uniqueName="7" queryTableFieldId="7"/>
    <tableColumn id="8" name="Désign.poste techn." uniqueName="8" queryTableFieldId="8"/>
    <tableColumn id="9" name="Désignation" uniqueName="9" queryTableFieldId="9"/>
    <tableColumn id="10" name="Date début planifiée" uniqueName="10" queryTableFieldId="10"/>
    <tableColumn id="11" name="Année planifiée" uniqueName="11" queryTableFieldId="11"/>
    <tableColumn id="12" name="Activité source" uniqueName="12" queryTableFieldId="12"/>
    <tableColumn id="13" name="Activité atomique" uniqueName="13" queryTableFieldId="13"/>
    <tableColumn id="14" name="Typologie" uniqueName="14" queryTableFieldId="14"/>
    <tableColumn id="15" name="Statut utilisateur" uniqueName="15" queryTableFieldId="15"/>
    <tableColumn id="16" name="Statut système" uniqueName="16" queryTableFieldId="16"/>
    <tableColumn id="17" name="Équipement" uniqueName="17" queryTableFieldId="17"/>
    <tableColumn id="18" name="Créé le" uniqueName="18" queryTableFieldId="18"/>
    <tableColumn id="19" name="Date modif. fiche ordre" uniqueName="19" queryTableFieldId="19"/>
    <tableColumn id="20" name="Désignation du poste" uniqueName="20" queryTableFieldId="20"/>
    <tableColumn id="21" name="Groupe gestionnaires" uniqueName="21" queryTableFieldId="21"/>
    <tableColumn id="22" name="Poste travail princ." uniqueName="22" queryTableFieldId="22"/>
    <tableColumn id="23" name="Type d'ordre" uniqueName="23" queryTableFieldId="23"/>
    <tableColumn id="24" name="Type de travail" uniqueName="24" queryTableFieldId="24"/>
    <tableColumn id="25" name="Avis" uniqueName="25" queryTableFieldId="25"/>
    <tableColumn id="26" name="Saisi par" uniqueName="26" queryTableFieldId="26"/>
    <tableColumn id="27" name="Total coûts réels" uniqueName="27" queryTableFieldId="27"/>
    <tableColumn id="28" name="Secteur exploitation" uniqueName="28" queryTableFieldId="28"/>
    <tableColumn id="29" name="Groupe de gamme principale" uniqueName="29" queryTableFieldId="29"/>
    <tableColumn id="30" name="Compteur de groupe de gamme principale" uniqueName="30" queryTableFieldId="30"/>
    <tableColumn id="31" name="Source code poste" uniqueName="31" queryTableFieldId="31"/>
    <tableColumn id="32" name="Activité reconstruite (secours)" uniqueName="32" queryTableFieldId="32"/>
    <tableColumn id="33" name="Compte OT" uniqueName="33" queryTableFieldId="33"/>
    <tableColumn id="34" name="Contrôle qualité" uniqueName="34" queryTableFieldId="34"/>
    <tableColumn id="35" name="Ligne export" uniqueName="35" queryTableFieldId="35"/>
    <tableColumn id="36" name="Lignes export regroupées" uniqueName="36" queryTableFieldId="36"/>
    <tableColumn id="37" name="Fichier source" uniqueName="37" queryTableFieldId="37"/>
    <tableColumn id="38" name="Importé le" uniqueName="38" queryTableField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ontroles" displayName="T_Controles" ref="A1:H42" headerRowCount="1" tableType="queryTable">
  <autoFilter ref="A1:H42"/>
  <tableColumns count="8">
    <tableColumn id="1" name="N°" uniqueName="1" queryTableFieldId="1"/>
    <tableColumn id="2" name="Source" uniqueName="2" queryTableFieldId="2"/>
    <tableColumn id="3" name="Contrôle" uniqueName="3" queryTableFieldId="3"/>
    <tableColumn id="4" name="Niveau" uniqueName="4" queryTableFieldId="4"/>
    <tableColumn id="5" name="Nombre" uniqueName="5" queryTableFieldId="5"/>
    <tableColumn id="6" name="Statut" uniqueName="6" queryTableFieldId="6"/>
    <tableColumn id="7" name="Exemples" uniqueName="7" queryTableFieldId="7"/>
    <tableColumn id="8" name="Actualisé le" uniqueName="8" queryTableField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nomalies" displayName="T_Anomalies" ref="A1:H28" headerRowCount="1" tableType="queryTable">
  <autoFilter ref="A1:H28"/>
  <tableColumns count="8">
    <tableColumn id="1" name="Source" uniqueName="1" queryTableFieldId="1"/>
    <tableColumn id="2" name="Ligne" uniqueName="2" queryTableFieldId="2"/>
    <tableColumn id="3" name="Ordre" uniqueName="3" queryTableFieldId="3"/>
    <tableColumn id="4" name="Code poste" uniqueName="4" queryTableFieldId="4"/>
    <tableColumn id="5" name="Site" uniqueName="5" queryTableFieldId="5"/>
    <tableColumn id="6" name="Équipe" uniqueName="6" queryTableFieldId="6"/>
    <tableColumn id="7" name="Contrôle" uniqueName="7" queryTableFieldId="7"/>
    <tableColumn id="8" name="Détail" uniqueName="8" queryTableFieldId="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PDM" displayName="T_PDM" ref="A1:S360" headerRowCount="1" tableType="queryTable">
  <autoFilter ref="A1:S360"/>
  <tableColumns count="19">
    <tableColumn id="1" name="Site" uniqueName="1" queryTableFieldId="1"/>
    <tableColumn id="2" name="Équipe" uniqueName="2" queryTableFieldId="2"/>
    <tableColumn id="3" name="Code poste" uniqueName="3" queryTableFieldId="3"/>
    <tableColumn id="4" name="Désignation" uniqueName="4" queryTableFieldId="4"/>
    <tableColumn id="5" name="Typologie" uniqueName="5" queryTableFieldId="5"/>
    <tableColumn id="6" name="Année" uniqueName="6" queryTableFieldId="6"/>
    <tableColumn id="7" name="Opération affichée" uniqueName="7" queryTableFieldId="7"/>
    <tableColumn id="8" name="Ordre opération" uniqueName="8" queryTableFieldId="8"/>
    <tableColumn id="9" name="Opération" uniqueName="9" queryTableFieldId="9"/>
    <tableColumn id="10" name="Code Emprise" uniqueName="10" queryTableFieldId="10"/>
    <tableColumn id="11" name="Code Installation" uniqueName="11" queryTableFieldId="11"/>
    <tableColumn id="12" name="Source code poste" uniqueName="12" queryTableFieldId="12"/>
    <tableColumn id="13" name="Code poste GMAO" uniqueName="13" queryTableFieldId="13"/>
    <tableColumn id="14" name="Correspondance déclarée" uniqueName="14" queryTableFieldId="14"/>
    <tableColumn id="15" name="Contrôle qualité" uniqueName="15" queryTableFieldId="15"/>
    <tableColumn id="16" name="Ligne PDM" uniqueName="16" queryTableFieldId="16"/>
    <tableColumn id="17" name="Lignes vides ignorées" uniqueName="17" queryTableFieldId="17"/>
    <tableColumn id="18" name="Fichier source" uniqueName="18" queryTableFieldId="18"/>
    <tableColumn id="19" name="Importé le" uniqueName="19" queryTableFieldId="1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Rapprochement" displayName="T_Rapprochement" ref="A1:H37" headerRowCount="1" tableType="queryTable">
  <autoFilter ref="A1:H37"/>
  <tableColumns count="8">
    <tableColumn id="1" name="Origine" uniqueName="1" queryTableFieldId="1"/>
    <tableColumn id="2" name="Site" uniqueName="2" queryTableFieldId="2"/>
    <tableColumn id="3" name="Équipe" uniqueName="3" queryTableFieldId="3"/>
    <tableColumn id="4" name="Code poste" uniqueName="4" queryTableFieldId="4"/>
    <tableColumn id="5" name="Désignation" uniqueName="5" queryTableFieldId="5"/>
    <tableColumn id="6" name="Code poste GMAO" uniqueName="6" queryTableFieldId="6"/>
    <tableColumn id="7" name="Statut rapprochement" uniqueName="7" queryTableFieldId="7"/>
    <tableColumn id="8" name="Nb OT préventifs (GMAO)" uniqueName="8" queryTableFieldId="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Ref_Sites" displayName="T_Ref_Sites" ref="A4:B16" headerRowCount="1">
  <autoFilter ref="A4:B16"/>
  <tableColumns count="2">
    <tableColumn id="1" name="Site"/>
    <tableColumn id="2" name="Statu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Ref_Equipes" displayName="T_Ref_Equipes" ref="D4:E8" headerRowCount="1">
  <autoFilter ref="D4:E8"/>
  <tableColumns count="2">
    <tableColumn id="4" name="Équipe"/>
    <tableColumn id="5" name="Statu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_Ref_Activites" displayName="T_Ref_Activites" ref="G4:I13" headerRowCount="1">
  <autoFilter ref="G4:I13"/>
  <tableColumns count="3">
    <tableColumn id="7" name="Activité"/>
    <tableColumn id="8" name="Mot-clé dans Désignation (secours)"/>
    <tableColumn id="9" name="Statu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_Ref_Operations" displayName="T_Ref_Operations" ref="K4:M9" headerRowCount="1">
  <autoFilter ref="K4:M9"/>
  <tableColumns count="3">
    <tableColumn id="11" name="Opération PDM"/>
    <tableColumn id="12" name="Libellé affiché"/>
    <tableColumn id="13" name="Ordr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_Colonnes_PDM" displayName="T_Colonnes_PDM" ref="O4:P12" headerRowCount="1">
  <autoFilter ref="O4:P12"/>
  <tableColumns count="2">
    <tableColumn id="15" name="Champ"/>
    <tableColumn id="16" name="Colonne dans le fichier PD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_Correspondance" displayName="T_Correspondance" ref="R4:T5" headerRowCount="1">
  <autoFilter ref="R4:T5"/>
  <tableColumns count="3">
    <tableColumn id="18" name="Code poste PDM"/>
    <tableColumn id="19" name="Code poste GMAO"/>
    <tableColumn id="20" name="Commentair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_Regles_Comparaison" displayName="T_Regles_Comparaison" ref="V4:Z8" headerRowCount="1">
  <autoFilter ref="V4:Z8"/>
  <tableColumns count="5">
    <tableColumn id="22" name="Opération programme"/>
    <tableColumn id="23" name="Règle OT proposée"/>
    <tableColumn id="24" name="Activités requises"/>
    <tableColumn id="25" name="Activités exclues"/>
    <tableColumn id="26" name="Statu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14B4D"/>
      </a:accent1>
      <a:accent2>
        <a:srgbClr val="FFC600"/>
      </a:accent2>
      <a:accent3>
        <a:srgbClr val="265B88"/>
      </a:accent3>
      <a:accent4>
        <a:srgbClr val="5F8A8B"/>
      </a:accent4>
      <a:accent5>
        <a:srgbClr val="D3DBDB"/>
      </a:accent5>
      <a:accent6>
        <a:srgbClr val="E9EDED"/>
      </a:accent6>
      <a:hlink>
        <a:srgbClr val="0000FF"/>
      </a:hlink>
      <a:folHlink>
        <a:srgbClr val="800080"/>
      </a:folHlink>
    </a:clrScheme>
    <a:fontScheme name="Office">
      <a:majorFont>
        <a:latin typeface="Century Gothic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Gothic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3" Type="http://schemas.microsoft.com/office/2007/relationships/slicer" Target="../slicers/slicer1.xm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drawing" Target="/xl/drawings/drawing2.xml" Id="rId1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table" Target="/xl/tables/table10.xml" Id="rId4"/><Relationship Type="http://schemas.openxmlformats.org/officeDocument/2006/relationships/table" Target="/xl/tables/table11.xml" Id="rId5"/><Relationship Type="http://schemas.openxmlformats.org/officeDocument/2006/relationships/table" Target="/xl/tables/table12.xml" Id="rId6"/><Relationship Type="http://schemas.openxmlformats.org/officeDocument/2006/relationships/table" Target="/xl/tables/table13.xml" Id="rId7"/></Relationships>
</file>

<file path=xl/worksheets/sheet1.xml><?xml version="1.0" encoding="utf-8"?>
<worksheet xmlns="http://schemas.openxmlformats.org/spreadsheetml/2006/main">
  <sheetPr>
    <tabColor rgb="00FFC600"/>
    <outlinePr summaryBelow="1" summaryRight="1"/>
    <pageSetUpPr fitToPage="1"/>
  </sheetPr>
  <dimension ref="A1:L47"/>
  <sheetViews>
    <sheetView showGridLines="0" zoomScale="9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2" customWidth="1" min="4" max="4"/>
    <col width="1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1" t="n"/>
      <c r="B1" s="1" t="n"/>
      <c r="C1" s="2" t="str">
        <f>"PROGRAMME DE MAINTENANCE PRÉVENTIVE "&amp;MIN(T_PDM[Année])&amp;"–"&amp;MAX(T_PDM[Année])</f>
        <v>PROGRAMME DE MAINTENANCE PRÉVENTIVE 2026–2032</v>
      </c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PROTOTYPE V0.4</t>
        </is>
      </c>
    </row>
    <row r="2" ht="18" customHeight="1">
      <c r="A2" s="1" t="n"/>
      <c r="B2" s="1" t="n"/>
      <c r="C2" s="4" t="inlineStr">
        <is>
          <t>Une ligne = un poste : ce qui est prévu chaque année. Cliquez sur les segments pour filtrer.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5" t="inlineStr">
        <is>
          <t>Données 100 % fictives</t>
        </is>
      </c>
    </row>
    <row r="3" ht="3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H4" s="7" t="inlineStr">
        <is>
          <t>Postes affichés</t>
        </is>
      </c>
      <c r="I4" s="8" t="n"/>
      <c r="J4" s="7" t="str">
        <f>"Opérations préventives "&amp;P_Annee</f>
        <v>Opérations préventives 2027</v>
      </c>
      <c r="K4" s="8" t="n"/>
      <c r="L4" s="7" t="inlineStr">
        <is>
          <t>Année de référence</t>
        </is>
      </c>
    </row>
    <row r="5" ht="20" customHeight="1">
      <c r="H5" s="9">
        <f>SUBTOTAL(103,T_Vision[Code poste])</f>
        <v>36</v>
      </c>
      <c r="I5" s="8" t="n"/>
      <c r="J5" s="9">
        <f>IFERROR(SUMPRODUCT(SUBTOTAL(103,OFFSET(INDEX(INDEX(T_Vision,0,MATCH(P_Annee&amp;"",T_Vision[#Headers],0)),1),ROW(INDEX(T_Vision,0,MATCH(P_Annee&amp;"",T_Vision[#Headers],0)))-MIN(ROW(INDEX(T_Vision,0,MATCH(P_Annee&amp;"",T_Vision[#Headers],0)))),0)),--(INDEX(T_Vision,0,MATCH(P_Annee&amp;"",T_Vision[#Headers],0))&lt;&gt;""),LEN(INDEX(T_Vision,0,MATCH(P_Annee&amp;"",T_Vision[#Headers],0)))-LEN(SUBSTITUTE(INDEX(T_Vision,0,MATCH(P_Annee&amp;"",T_Vision[#Headers],0)),"+",""))+1),0)</f>
        <v>49</v>
      </c>
      <c r="K5" s="8" t="n"/>
      <c r="L5" s="9">
        <f>P_Annee</f>
        <v>2027</v>
      </c>
    </row>
    <row r="6" ht="20" customHeight="1"/>
    <row r="7" ht="20" customHeight="1">
      <c r="H7" s="10" t="inlineStr">
        <is>
          <t>Cliquez sur un bouton de segment pour filtrer ; Ctrl + clic pour en choisir plusieurs ; l'entonnoir barré en haut du segment efface le filtre. Année de référence : 04_PARAMETRES.</t>
        </is>
      </c>
    </row>
    <row r="8" ht="20" customHeight="1"/>
    <row r="9" ht="20" customHeight="1"/>
    <row r="10" ht="8" customHeight="1"/>
    <row r="11" ht="32" customHeight="1">
      <c r="A11" s="11" t="inlineStr">
        <is>
          <t>Site</t>
        </is>
      </c>
      <c r="B11" s="11" t="inlineStr">
        <is>
          <t>Équipe</t>
        </is>
      </c>
      <c r="C11" s="11" t="inlineStr">
        <is>
          <t>Code poste</t>
        </is>
      </c>
      <c r="D11" s="11" t="inlineStr">
        <is>
          <t>Désignation du poste</t>
        </is>
      </c>
      <c r="E11" s="11" t="inlineStr">
        <is>
          <t>Typologie</t>
        </is>
      </c>
      <c r="F11" s="11" t="inlineStr">
        <is>
          <t>2026</t>
        </is>
      </c>
      <c r="G11" s="11" t="inlineStr">
        <is>
          <t>2027</t>
        </is>
      </c>
      <c r="H11" s="11" t="inlineStr">
        <is>
          <t>2028</t>
        </is>
      </c>
      <c r="I11" s="11" t="inlineStr">
        <is>
          <t>2029</t>
        </is>
      </c>
      <c r="J11" s="11" t="inlineStr">
        <is>
          <t>2030</t>
        </is>
      </c>
      <c r="K11" s="11" t="inlineStr">
        <is>
          <t>2031</t>
        </is>
      </c>
      <c r="L11" s="11" t="inlineStr">
        <is>
          <t>2032</t>
        </is>
      </c>
    </row>
    <row r="12" ht="26" customHeight="1">
      <c r="A12" s="12" t="inlineStr">
        <is>
          <t>ALZ</t>
        </is>
      </c>
      <c r="B12" s="12" t="inlineStr">
        <is>
          <t>AA1</t>
        </is>
      </c>
      <c r="C12" s="13" t="inlineStr">
        <is>
          <t>G-I-PPP16</t>
        </is>
      </c>
      <c r="D12" s="12" t="inlineStr">
        <is>
          <t>Poste fictif Pi</t>
        </is>
      </c>
      <c r="E12" s="12" t="inlineStr">
        <is>
          <t>COMPTAGE</t>
        </is>
      </c>
      <c r="F12" s="14" t="inlineStr">
        <is>
          <t>PIS</t>
        </is>
      </c>
      <c r="G12" s="14" t="inlineStr">
        <is>
          <t>PIS</t>
        </is>
      </c>
      <c r="H12" s="14" t="inlineStr">
        <is>
          <t>REVISION</t>
        </is>
      </c>
      <c r="I12" s="14" t="inlineStr">
        <is>
          <t>PIS</t>
        </is>
      </c>
      <c r="J12" s="14" t="inlineStr">
        <is>
          <t>PIS</t>
        </is>
      </c>
      <c r="K12" s="14" t="inlineStr">
        <is>
          <t>PIS + EC SIMPLE</t>
        </is>
      </c>
      <c r="L12" s="14" t="inlineStr">
        <is>
          <t>PIS</t>
        </is>
      </c>
    </row>
    <row r="13" ht="26" customHeight="1">
      <c r="A13" s="12" t="inlineStr">
        <is>
          <t>ALZ</t>
        </is>
      </c>
      <c r="B13" s="12" t="inlineStr">
        <is>
          <t>AA3</t>
        </is>
      </c>
      <c r="C13" s="13" t="inlineStr">
        <is>
          <t>G-I-QQQ17</t>
        </is>
      </c>
      <c r="D13" s="12" t="inlineStr">
        <is>
          <t>Poste fictif Rho</t>
        </is>
      </c>
      <c r="E13" s="12" t="inlineStr">
        <is>
          <t>DETENTE</t>
        </is>
      </c>
      <c r="F13" s="14" t="inlineStr">
        <is>
          <t>PIS + EC FILTRE + REVISION</t>
        </is>
      </c>
      <c r="G13" s="14" t="inlineStr">
        <is>
          <t>PIS</t>
        </is>
      </c>
      <c r="H13" s="14" t="inlineStr">
        <is>
          <t>PIS</t>
        </is>
      </c>
      <c r="I13" s="14" t="inlineStr">
        <is>
          <t>PIS + EC SIMPLE</t>
        </is>
      </c>
      <c r="J13" s="14" t="inlineStr">
        <is>
          <t>PIS</t>
        </is>
      </c>
      <c r="K13" s="14" t="inlineStr">
        <is>
          <t>PIS</t>
        </is>
      </c>
      <c r="L13" s="14" t="inlineStr">
        <is>
          <t>PIS + EC FILTRE + REVISION</t>
        </is>
      </c>
    </row>
    <row r="14" ht="26" customHeight="1">
      <c r="A14" s="12" t="inlineStr">
        <is>
          <t>ALZ</t>
        </is>
      </c>
      <c r="B14" s="12" t="inlineStr">
        <is>
          <t>AA4</t>
        </is>
      </c>
      <c r="C14" s="13" t="inlineStr">
        <is>
          <t>G-I-RRR18</t>
        </is>
      </c>
      <c r="D14" s="12" t="inlineStr">
        <is>
          <t>Poste fictif Sigma</t>
        </is>
      </c>
      <c r="E14" s="12" t="inlineStr">
        <is>
          <t>LIVRAISON</t>
        </is>
      </c>
      <c r="F14" s="14" t="inlineStr">
        <is>
          <t>PIS</t>
        </is>
      </c>
      <c r="G14" s="14" t="inlineStr">
        <is>
          <t>PIS</t>
        </is>
      </c>
      <c r="H14" s="14" t="inlineStr">
        <is>
          <t>PIS + EC SIMPLE</t>
        </is>
      </c>
      <c r="I14" s="14" t="inlineStr">
        <is>
          <t>PIS</t>
        </is>
      </c>
      <c r="J14" s="14" t="inlineStr">
        <is>
          <t>REVISION</t>
        </is>
      </c>
      <c r="K14" s="14" t="inlineStr">
        <is>
          <t>PIS + EC SIMPLE</t>
        </is>
      </c>
      <c r="L14" s="14" t="inlineStr">
        <is>
          <t>PIS</t>
        </is>
      </c>
    </row>
    <row r="15" ht="26" customHeight="1">
      <c r="A15" s="12" t="inlineStr">
        <is>
          <t>DEI</t>
        </is>
      </c>
      <c r="B15" s="12" t="inlineStr">
        <is>
          <t>AA1</t>
        </is>
      </c>
      <c r="C15" s="13" t="inlineStr">
        <is>
          <t>G-I-EEF31</t>
        </is>
      </c>
      <c r="D15" s="12" t="inlineStr">
        <is>
          <t>Poste fictif Eta II</t>
        </is>
      </c>
      <c r="E15" s="12" t="inlineStr">
        <is>
          <t>COMPTAGE</t>
        </is>
      </c>
      <c r="F15" s="14" t="inlineStr">
        <is>
          <t>PIS</t>
        </is>
      </c>
      <c r="G15" s="14" t="inlineStr">
        <is>
          <t>EC FILTRE</t>
        </is>
      </c>
      <c r="H15" s="14" t="inlineStr">
        <is>
          <t>PIS</t>
        </is>
      </c>
      <c r="I15" s="14" t="inlineStr">
        <is>
          <t>EC SIMPLE</t>
        </is>
      </c>
      <c r="J15" s="14" t="inlineStr">
        <is>
          <t>PIS</t>
        </is>
      </c>
      <c r="K15" s="14" t="inlineStr">
        <is>
          <t>EC FILTRE + REVISION</t>
        </is>
      </c>
      <c r="L15" s="14" t="inlineStr">
        <is>
          <t>PIS</t>
        </is>
      </c>
    </row>
    <row r="16" ht="26" customHeight="1">
      <c r="A16" s="12" t="inlineStr">
        <is>
          <t>DEI</t>
        </is>
      </c>
      <c r="B16" s="12" t="inlineStr">
        <is>
          <t>AA1</t>
        </is>
      </c>
      <c r="C16" s="13" t="inlineStr">
        <is>
          <t>G-I-VVV22</t>
        </is>
      </c>
      <c r="D16" s="12" t="inlineStr">
        <is>
          <t>Poste fictif Chi</t>
        </is>
      </c>
      <c r="E16" s="12" t="inlineStr">
        <is>
          <t>COMPTAGE</t>
        </is>
      </c>
      <c r="F16" s="14" t="inlineStr">
        <is>
          <t>PIS + EC FILTRE</t>
        </is>
      </c>
      <c r="G16" s="14" t="inlineStr">
        <is>
          <t>PIS + REVISION</t>
        </is>
      </c>
      <c r="H16" s="14" t="inlineStr">
        <is>
          <t>PIS</t>
        </is>
      </c>
      <c r="I16" s="14" t="inlineStr">
        <is>
          <t>PIS + EC SIMPLE</t>
        </is>
      </c>
      <c r="J16" s="14" t="inlineStr">
        <is>
          <t>PIS</t>
        </is>
      </c>
      <c r="K16" s="14" t="inlineStr">
        <is>
          <t>PIS</t>
        </is>
      </c>
      <c r="L16" s="14" t="inlineStr">
        <is>
          <t>PIS + EC FILTRE</t>
        </is>
      </c>
    </row>
    <row r="17" ht="26" customHeight="1">
      <c r="A17" s="12" t="inlineStr">
        <is>
          <t>DEI</t>
        </is>
      </c>
      <c r="B17" s="12" t="inlineStr">
        <is>
          <t>AA3</t>
        </is>
      </c>
      <c r="C17" s="13" t="inlineStr">
        <is>
          <t>G-I-WWW23</t>
        </is>
      </c>
      <c r="D17" s="12" t="inlineStr">
        <is>
          <t>Poste fictif Psi</t>
        </is>
      </c>
      <c r="E17" s="12" t="inlineStr">
        <is>
          <t>DETENTE</t>
        </is>
      </c>
      <c r="F17" s="14" t="inlineStr">
        <is>
          <t>PIS</t>
        </is>
      </c>
      <c r="G17" s="14" t="inlineStr">
        <is>
          <t>PIS + EC SIMPLE</t>
        </is>
      </c>
      <c r="H17" s="14" t="inlineStr">
        <is>
          <t>PIS</t>
        </is>
      </c>
      <c r="I17" s="14" t="inlineStr">
        <is>
          <t>PIS + EC SIMPLE</t>
        </is>
      </c>
      <c r="J17" s="14" t="inlineStr">
        <is>
          <t>PIS</t>
        </is>
      </c>
      <c r="K17" s="14" t="inlineStr">
        <is>
          <t>PIS + EC SIMPLE + REVISION</t>
        </is>
      </c>
      <c r="L17" s="14" t="inlineStr">
        <is>
          <t>PIS</t>
        </is>
      </c>
    </row>
    <row r="18" ht="26" customHeight="1">
      <c r="A18" s="12" t="inlineStr">
        <is>
          <t>DEI</t>
        </is>
      </c>
      <c r="B18" s="12" t="inlineStr">
        <is>
          <t>AA4</t>
        </is>
      </c>
      <c r="C18" s="13" t="inlineStr">
        <is>
          <t>G-I-XXX24</t>
        </is>
      </c>
      <c r="D18" s="12" t="inlineStr">
        <is>
          <t>Poste fictif Omega</t>
        </is>
      </c>
      <c r="E18" s="12" t="inlineStr">
        <is>
          <t>COUPURE</t>
        </is>
      </c>
      <c r="F18" s="14" t="inlineStr">
        <is>
          <t>PIS</t>
        </is>
      </c>
      <c r="G18" s="14" t="inlineStr">
        <is>
          <t>PIS + EC SIMPLE + REVISION</t>
        </is>
      </c>
      <c r="H18" s="14" t="inlineStr">
        <is>
          <t>PIS</t>
        </is>
      </c>
      <c r="I18" s="14" t="inlineStr">
        <is>
          <t>PIS + EC SIMPLE</t>
        </is>
      </c>
      <c r="J18" s="14" t="inlineStr">
        <is>
          <t>PIS</t>
        </is>
      </c>
      <c r="K18" s="14" t="inlineStr">
        <is>
          <t>PIS + EC SIMPLE</t>
        </is>
      </c>
      <c r="L18" s="14" t="inlineStr">
        <is>
          <t>PIS</t>
        </is>
      </c>
    </row>
    <row r="19" ht="26" customHeight="1">
      <c r="A19" s="12" t="inlineStr">
        <is>
          <t>LRO</t>
        </is>
      </c>
      <c r="B19" s="12" t="inlineStr">
        <is>
          <t>AA1</t>
        </is>
      </c>
      <c r="C19" s="13" t="inlineStr">
        <is>
          <t>G-I-MMM13</t>
        </is>
      </c>
      <c r="D19" s="12" t="inlineStr">
        <is>
          <t>Poste fictif Nu</t>
        </is>
      </c>
      <c r="E19" s="12" t="inlineStr">
        <is>
          <t>LIVRAISON</t>
        </is>
      </c>
      <c r="F19" s="14" t="inlineStr">
        <is>
          <t>PIS</t>
        </is>
      </c>
      <c r="G19" s="14" t="inlineStr">
        <is>
          <t>PIS + EC SIMPLE</t>
        </is>
      </c>
      <c r="H19" s="14" t="inlineStr">
        <is>
          <t>PIS</t>
        </is>
      </c>
      <c r="I19" s="14" t="inlineStr">
        <is>
          <t>REVISION</t>
        </is>
      </c>
      <c r="J19" s="14" t="inlineStr">
        <is>
          <t>PIS</t>
        </is>
      </c>
      <c r="K19" s="14" t="inlineStr">
        <is>
          <t>PIS + EC SIMPLE</t>
        </is>
      </c>
      <c r="L19" s="14" t="inlineStr">
        <is>
          <t>PIS</t>
        </is>
      </c>
    </row>
    <row r="20" ht="26" customHeight="1">
      <c r="A20" s="12" t="inlineStr">
        <is>
          <t>LRO</t>
        </is>
      </c>
      <c r="B20" s="12" t="inlineStr">
        <is>
          <t>AA3</t>
        </is>
      </c>
      <c r="C20" s="13" t="inlineStr">
        <is>
          <t>G-I-NNN14</t>
        </is>
      </c>
      <c r="D20" s="12" t="inlineStr">
        <is>
          <t>Poste fictif Xi</t>
        </is>
      </c>
      <c r="E20" s="12" t="inlineStr">
        <is>
          <t>SECTIONNEMENT</t>
        </is>
      </c>
      <c r="F20" s="14" t="inlineStr">
        <is>
          <t>PIS + EC SIMPLE</t>
        </is>
      </c>
      <c r="G20" s="14" t="inlineStr">
        <is>
          <t>PIS + REVISION</t>
        </is>
      </c>
      <c r="H20" s="14" t="inlineStr">
        <is>
          <t>PIS + EC FILTRE</t>
        </is>
      </c>
      <c r="I20" s="14" t="inlineStr">
        <is>
          <t>PIS</t>
        </is>
      </c>
      <c r="J20" s="14" t="inlineStr">
        <is>
          <t>PIS + EC SIMPLE</t>
        </is>
      </c>
      <c r="K20" s="14" t="inlineStr">
        <is>
          <t>PIS</t>
        </is>
      </c>
      <c r="L20" s="14" t="inlineStr">
        <is>
          <t>PIS + EC FILTRE</t>
        </is>
      </c>
    </row>
    <row r="21" ht="26" customHeight="1">
      <c r="A21" s="12" t="inlineStr">
        <is>
          <t>LRO</t>
        </is>
      </c>
      <c r="B21" s="12" t="inlineStr">
        <is>
          <t>AA4</t>
        </is>
      </c>
      <c r="C21" s="13" t="inlineStr">
        <is>
          <t>G-I-HHI34</t>
        </is>
      </c>
      <c r="D21" s="12" t="inlineStr">
        <is>
          <t>Poste fictif Kappa II</t>
        </is>
      </c>
      <c r="E21" s="12" t="inlineStr">
        <is>
          <t>PIQUAGE</t>
        </is>
      </c>
      <c r="F21" s="14" t="inlineStr">
        <is>
          <t>PIS</t>
        </is>
      </c>
      <c r="G21" s="14" t="inlineStr">
        <is>
          <t>PIS</t>
        </is>
      </c>
      <c r="H21" s="14" t="inlineStr">
        <is>
          <t>PIS + EC FILTRE</t>
        </is>
      </c>
      <c r="I21" s="14" t="inlineStr">
        <is>
          <t>PIS + REVISION</t>
        </is>
      </c>
      <c r="J21" s="14" t="inlineStr">
        <is>
          <t>PIS</t>
        </is>
      </c>
      <c r="K21" s="14" t="inlineStr">
        <is>
          <t>PIS + EC SIMPLE</t>
        </is>
      </c>
      <c r="L21" s="14" t="inlineStr">
        <is>
          <t>PIS</t>
        </is>
      </c>
    </row>
    <row r="22" ht="26" customHeight="1">
      <c r="A22" s="12" t="inlineStr">
        <is>
          <t>LRO</t>
        </is>
      </c>
      <c r="B22" s="12" t="inlineStr">
        <is>
          <t>AA4</t>
        </is>
      </c>
      <c r="C22" s="13" t="inlineStr">
        <is>
          <t>G-I-OOO15</t>
        </is>
      </c>
      <c r="D22" s="12" t="inlineStr">
        <is>
          <t>Poste fictif Omicron</t>
        </is>
      </c>
      <c r="E22" s="12" t="inlineStr">
        <is>
          <t>SECTIONNEMENT</t>
        </is>
      </c>
      <c r="F22" s="14" t="inlineStr">
        <is>
          <t>PIS</t>
        </is>
      </c>
      <c r="G22" s="14" t="n"/>
      <c r="H22" s="14" t="inlineStr">
        <is>
          <t>REVISION</t>
        </is>
      </c>
      <c r="I22" s="14" t="n"/>
      <c r="J22" s="14" t="inlineStr">
        <is>
          <t>PIS</t>
        </is>
      </c>
      <c r="K22" s="14" t="inlineStr">
        <is>
          <t>EC SIMPLE</t>
        </is>
      </c>
      <c r="L22" s="14" t="inlineStr">
        <is>
          <t>PIS</t>
        </is>
      </c>
    </row>
    <row r="23" ht="26" customHeight="1">
      <c r="A23" s="12" t="inlineStr">
        <is>
          <t>RNA</t>
        </is>
      </c>
      <c r="B23" s="12" t="inlineStr">
        <is>
          <t>AA1</t>
        </is>
      </c>
      <c r="C23" s="13" t="inlineStr">
        <is>
          <t>G-I-GGG07</t>
        </is>
      </c>
      <c r="D23" s="12" t="inlineStr">
        <is>
          <t>Poste fictif Eta</t>
        </is>
      </c>
      <c r="E23" s="12" t="inlineStr">
        <is>
          <t>DETENTE</t>
        </is>
      </c>
      <c r="F23" s="14" t="inlineStr">
        <is>
          <t>REVISION</t>
        </is>
      </c>
      <c r="G23" s="14" t="inlineStr">
        <is>
          <t>PIS + EC FILTRE</t>
        </is>
      </c>
      <c r="H23" s="14" t="inlineStr">
        <is>
          <t>PIS</t>
        </is>
      </c>
      <c r="I23" s="14" t="inlineStr">
        <is>
          <t>PIS + EC SIMPLE</t>
        </is>
      </c>
      <c r="J23" s="14" t="inlineStr">
        <is>
          <t>PIS</t>
        </is>
      </c>
      <c r="K23" s="14" t="inlineStr">
        <is>
          <t>PIS + EC FILTRE</t>
        </is>
      </c>
      <c r="L23" s="14" t="inlineStr">
        <is>
          <t>REVISION</t>
        </is>
      </c>
    </row>
    <row r="24" ht="26" customHeight="1">
      <c r="A24" s="12" t="inlineStr">
        <is>
          <t>RNA</t>
        </is>
      </c>
      <c r="B24" s="12" t="inlineStr">
        <is>
          <t>AA1</t>
        </is>
      </c>
      <c r="C24" s="13" t="inlineStr">
        <is>
          <t>G-I-IIJ35</t>
        </is>
      </c>
      <c r="D24" s="12" t="inlineStr">
        <is>
          <t>Poste fictif Lambda II</t>
        </is>
      </c>
      <c r="E24" s="12" t="inlineStr">
        <is>
          <t>PIQUAGE</t>
        </is>
      </c>
      <c r="F24" s="14" t="inlineStr">
        <is>
          <t>PIS + EC FILTRE + REVISION</t>
        </is>
      </c>
      <c r="G24" s="14" t="inlineStr">
        <is>
          <t>PIS</t>
        </is>
      </c>
      <c r="H24" s="14" t="inlineStr">
        <is>
          <t>PIS + EC SIMPLE</t>
        </is>
      </c>
      <c r="I24" s="14" t="inlineStr">
        <is>
          <t>PIS</t>
        </is>
      </c>
      <c r="J24" s="14" t="inlineStr">
        <is>
          <t>PIS + EC FILTRE</t>
        </is>
      </c>
      <c r="K24" s="14" t="inlineStr">
        <is>
          <t>PIS</t>
        </is>
      </c>
      <c r="L24" s="14" t="inlineStr">
        <is>
          <t>PIS + EC SIMPLE + REVISION</t>
        </is>
      </c>
    </row>
    <row r="25" ht="26" customHeight="1">
      <c r="A25" s="12" t="inlineStr">
        <is>
          <t>RNA</t>
        </is>
      </c>
      <c r="B25" s="12" t="inlineStr">
        <is>
          <t>AA3</t>
        </is>
      </c>
      <c r="C25" s="13" t="inlineStr">
        <is>
          <t>G-I-HHH08</t>
        </is>
      </c>
      <c r="D25" s="12" t="inlineStr">
        <is>
          <t>Poste fictif Theta</t>
        </is>
      </c>
      <c r="E25" s="12" t="inlineStr">
        <is>
          <t>COMPTAGE</t>
        </is>
      </c>
      <c r="F25" s="14" t="inlineStr">
        <is>
          <t>PIS + EC SIMPLE</t>
        </is>
      </c>
      <c r="G25" s="14" t="inlineStr">
        <is>
          <t>PIS</t>
        </is>
      </c>
      <c r="H25" s="14" t="inlineStr">
        <is>
          <t>PIS + EC SIMPLE</t>
        </is>
      </c>
      <c r="I25" s="14" t="inlineStr">
        <is>
          <t>PIS</t>
        </is>
      </c>
      <c r="J25" s="14" t="inlineStr">
        <is>
          <t>REVISION</t>
        </is>
      </c>
      <c r="K25" s="14" t="inlineStr">
        <is>
          <t>PIS</t>
        </is>
      </c>
      <c r="L25" s="14" t="inlineStr">
        <is>
          <t>PIS + EC SIMPLE</t>
        </is>
      </c>
    </row>
    <row r="26" ht="26" customHeight="1">
      <c r="A26" s="12" t="inlineStr">
        <is>
          <t>RNA</t>
        </is>
      </c>
      <c r="B26" s="12" t="inlineStr">
        <is>
          <t>AA4</t>
        </is>
      </c>
      <c r="C26" s="13" t="inlineStr">
        <is>
          <t>G-I-III09</t>
        </is>
      </c>
      <c r="D26" s="12" t="inlineStr">
        <is>
          <t>Poste fictif Iota</t>
        </is>
      </c>
      <c r="E26" s="12" t="inlineStr">
        <is>
          <t>COUPURE</t>
        </is>
      </c>
      <c r="F26" s="14" t="inlineStr">
        <is>
          <t>PIS + EC SIMPLE</t>
        </is>
      </c>
      <c r="G26" s="14" t="inlineStr">
        <is>
          <t>PIS</t>
        </is>
      </c>
      <c r="H26" s="14" t="inlineStr">
        <is>
          <t>PIS + EC FILTRE + REVISION</t>
        </is>
      </c>
      <c r="I26" s="14" t="inlineStr">
        <is>
          <t>PIS</t>
        </is>
      </c>
      <c r="J26" s="14" t="inlineStr">
        <is>
          <t>PIS + EC SIMPLE</t>
        </is>
      </c>
      <c r="K26" s="14" t="inlineStr">
        <is>
          <t>PIS</t>
        </is>
      </c>
      <c r="L26" s="14" t="inlineStr">
        <is>
          <t>PIS + EC FILTRE</t>
        </is>
      </c>
    </row>
    <row r="27" ht="26" customHeight="1">
      <c r="A27" s="12" t="inlineStr">
        <is>
          <t>SET</t>
        </is>
      </c>
      <c r="B27" s="12" t="inlineStr">
        <is>
          <t>AA1</t>
        </is>
      </c>
      <c r="C27" s="13" t="inlineStr">
        <is>
          <t>G-I-AAA01</t>
        </is>
      </c>
      <c r="D27" s="12" t="inlineStr">
        <is>
          <t>Poste fictif Alpha</t>
        </is>
      </c>
      <c r="E27" s="12" t="inlineStr">
        <is>
          <t>DETENTE</t>
        </is>
      </c>
      <c r="F27" s="14" t="inlineStr">
        <is>
          <t>PIS + EC SIMPLE</t>
        </is>
      </c>
      <c r="G27" s="14" t="n"/>
      <c r="H27" s="14" t="inlineStr">
        <is>
          <t>PIS + EC FILTRE</t>
        </is>
      </c>
      <c r="I27" s="14" t="inlineStr">
        <is>
          <t>REVISION</t>
        </is>
      </c>
      <c r="J27" s="14" t="inlineStr">
        <is>
          <t>PIS + EC SIMPLE</t>
        </is>
      </c>
      <c r="K27" s="14" t="n"/>
      <c r="L27" s="14" t="inlineStr">
        <is>
          <t>PIS + EC FILTRE</t>
        </is>
      </c>
    </row>
    <row r="28" ht="26" customHeight="1">
      <c r="A28" s="12" t="inlineStr">
        <is>
          <t>SET</t>
        </is>
      </c>
      <c r="B28" s="12" t="inlineStr">
        <is>
          <t>AA3</t>
        </is>
      </c>
      <c r="C28" s="13" t="inlineStr">
        <is>
          <t>G-I-BBB02</t>
        </is>
      </c>
      <c r="D28" s="12" t="inlineStr">
        <is>
          <t>Poste fictif Beta</t>
        </is>
      </c>
      <c r="E28" s="12" t="inlineStr">
        <is>
          <t>LIVRAISON</t>
        </is>
      </c>
      <c r="F28" s="14" t="inlineStr">
        <is>
          <t>PIS</t>
        </is>
      </c>
      <c r="G28" s="14" t="inlineStr">
        <is>
          <t>PIS + EC FILTRE</t>
        </is>
      </c>
      <c r="H28" s="14" t="inlineStr">
        <is>
          <t>PIS</t>
        </is>
      </c>
      <c r="I28" s="14" t="inlineStr">
        <is>
          <t>PIS + EC SIMPLE</t>
        </is>
      </c>
      <c r="J28" s="14" t="inlineStr">
        <is>
          <t>REVISION</t>
        </is>
      </c>
      <c r="K28" s="14" t="inlineStr">
        <is>
          <t>PIS + EC FILTRE</t>
        </is>
      </c>
      <c r="L28" s="14" t="inlineStr">
        <is>
          <t>PIS</t>
        </is>
      </c>
    </row>
    <row r="29" ht="26" customHeight="1">
      <c r="A29" s="12" t="inlineStr">
        <is>
          <t>SET</t>
        </is>
      </c>
      <c r="B29" s="12" t="inlineStr">
        <is>
          <t>AA3</t>
        </is>
      </c>
      <c r="C29" s="13" t="inlineStr">
        <is>
          <t>G-I-GGH33</t>
        </is>
      </c>
      <c r="D29" s="12" t="inlineStr">
        <is>
          <t>Poste fictif Iota II</t>
        </is>
      </c>
      <c r="E29" s="12" t="inlineStr">
        <is>
          <t>DETENTE</t>
        </is>
      </c>
      <c r="F29" s="14" t="inlineStr">
        <is>
          <t>REVISION</t>
        </is>
      </c>
      <c r="G29" s="14" t="inlineStr">
        <is>
          <t>PIS + EC SIMPLE</t>
        </is>
      </c>
      <c r="H29" s="14" t="inlineStr">
        <is>
          <t>PIS</t>
        </is>
      </c>
      <c r="I29" s="14" t="inlineStr">
        <is>
          <t>PIS</t>
        </is>
      </c>
      <c r="J29" s="14" t="inlineStr">
        <is>
          <t>PIS + EC SIMPLE</t>
        </is>
      </c>
      <c r="K29" s="14" t="inlineStr">
        <is>
          <t>PIS</t>
        </is>
      </c>
      <c r="L29" s="14" t="inlineStr">
        <is>
          <t>REVISION</t>
        </is>
      </c>
    </row>
    <row r="30" ht="26" customHeight="1">
      <c r="A30" s="12" t="inlineStr">
        <is>
          <t>SET</t>
        </is>
      </c>
      <c r="B30" s="12" t="inlineStr">
        <is>
          <t>AA4</t>
        </is>
      </c>
      <c r="C30" s="13" t="inlineStr">
        <is>
          <t>G-I-CCC03</t>
        </is>
      </c>
      <c r="D30" s="12" t="inlineStr">
        <is>
          <t>Poste fictif Gamma</t>
        </is>
      </c>
      <c r="E30" s="12" t="inlineStr">
        <is>
          <t>PIQUAGE</t>
        </is>
      </c>
      <c r="F30" s="14" t="inlineStr">
        <is>
          <t>PIS</t>
        </is>
      </c>
      <c r="G30" s="14" t="inlineStr">
        <is>
          <t>PIS</t>
        </is>
      </c>
      <c r="H30" s="14" t="inlineStr">
        <is>
          <t>PIS + EC SIMPLE</t>
        </is>
      </c>
      <c r="I30" s="14" t="inlineStr">
        <is>
          <t>PIS + REVISION</t>
        </is>
      </c>
      <c r="J30" s="14" t="inlineStr">
        <is>
          <t>PIS</t>
        </is>
      </c>
      <c r="K30" s="14" t="inlineStr">
        <is>
          <t>PIS + EC SIMPLE</t>
        </is>
      </c>
      <c r="L30" s="14" t="inlineStr">
        <is>
          <t>PIS</t>
        </is>
      </c>
    </row>
    <row r="31" ht="26" customHeight="1">
      <c r="A31" s="12" t="inlineStr">
        <is>
          <t>SHL</t>
        </is>
      </c>
      <c r="B31" s="12" t="inlineStr">
        <is>
          <t>AA1</t>
        </is>
      </c>
      <c r="C31" s="13" t="inlineStr">
        <is>
          <t>G-I-YYY25</t>
        </is>
      </c>
      <c r="D31" s="12" t="inlineStr">
        <is>
          <t>Poste fictif Alpha II</t>
        </is>
      </c>
      <c r="E31" s="12" t="inlineStr">
        <is>
          <t>LIVRAISON</t>
        </is>
      </c>
      <c r="F31" s="14" t="inlineStr">
        <is>
          <t>PIS + EC SIMPLE</t>
        </is>
      </c>
      <c r="G31" s="14" t="inlineStr">
        <is>
          <t>PIS</t>
        </is>
      </c>
      <c r="H31" s="14" t="inlineStr">
        <is>
          <t>PIS + EC SIMPLE</t>
        </is>
      </c>
      <c r="I31" s="14" t="inlineStr">
        <is>
          <t>PIS</t>
        </is>
      </c>
      <c r="J31" s="14" t="inlineStr">
        <is>
          <t>PIS + EC SIMPLE</t>
        </is>
      </c>
      <c r="K31" s="14" t="inlineStr">
        <is>
          <t>REVISION</t>
        </is>
      </c>
      <c r="L31" s="14" t="inlineStr">
        <is>
          <t>PIS + EC SIMPLE</t>
        </is>
      </c>
    </row>
    <row r="32" ht="26" customHeight="1">
      <c r="A32" s="12" t="inlineStr">
        <is>
          <t>SHL</t>
        </is>
      </c>
      <c r="B32" s="12" t="inlineStr">
        <is>
          <t>AA3</t>
        </is>
      </c>
      <c r="C32" s="13" t="inlineStr">
        <is>
          <t>G-I-ZZZ26</t>
        </is>
      </c>
      <c r="D32" s="12" t="inlineStr">
        <is>
          <t>Poste fictif Beta II</t>
        </is>
      </c>
      <c r="E32" s="12" t="inlineStr">
        <is>
          <t>COMPTAGE</t>
        </is>
      </c>
      <c r="F32" s="14" t="inlineStr">
        <is>
          <t>PIS + EC SIMPLE + REVISION</t>
        </is>
      </c>
      <c r="G32" s="14" t="n"/>
      <c r="H32" s="14" t="inlineStr">
        <is>
          <t>PIS + EC SIMPLE</t>
        </is>
      </c>
      <c r="I32" s="14" t="n"/>
      <c r="J32" s="14" t="inlineStr">
        <is>
          <t>PIS + EC SIMPLE</t>
        </is>
      </c>
      <c r="K32" s="14" t="n"/>
      <c r="L32" s="14" t="inlineStr">
        <is>
          <t>PIS + EC SIMPLE + REVISION</t>
        </is>
      </c>
    </row>
    <row r="33" ht="26" customHeight="1">
      <c r="A33" s="12" t="inlineStr">
        <is>
          <t>SHL</t>
        </is>
      </c>
      <c r="B33" s="12" t="inlineStr">
        <is>
          <t>AA4</t>
        </is>
      </c>
      <c r="C33" s="13" t="inlineStr">
        <is>
          <t>G-I-AAB27</t>
        </is>
      </c>
      <c r="D33" s="12" t="inlineStr">
        <is>
          <t>Poste fictif Gamma II</t>
        </is>
      </c>
      <c r="E33" s="12" t="inlineStr">
        <is>
          <t>COUPURE</t>
        </is>
      </c>
      <c r="F33" s="14" t="inlineStr">
        <is>
          <t>EC SIMPLE</t>
        </is>
      </c>
      <c r="G33" s="14" t="inlineStr">
        <is>
          <t>PIS</t>
        </is>
      </c>
      <c r="H33" s="14" t="n"/>
      <c r="I33" s="14" t="inlineStr">
        <is>
          <t>PIS + EC SIMPLE + REVISION</t>
        </is>
      </c>
      <c r="J33" s="14" t="n"/>
      <c r="K33" s="14" t="inlineStr">
        <is>
          <t>PIS</t>
        </is>
      </c>
      <c r="L33" s="14" t="inlineStr">
        <is>
          <t>EC SIMPLE</t>
        </is>
      </c>
    </row>
    <row r="34" ht="26" customHeight="1">
      <c r="A34" s="12" t="inlineStr">
        <is>
          <t>SPS</t>
        </is>
      </c>
      <c r="B34" s="12" t="inlineStr">
        <is>
          <t>AA1</t>
        </is>
      </c>
      <c r="C34" s="13" t="inlineStr">
        <is>
          <t>G-I-DDD04</t>
        </is>
      </c>
      <c r="D34" s="12" t="inlineStr">
        <is>
          <t>Poste fictif Delta</t>
        </is>
      </c>
      <c r="E34" s="12" t="inlineStr">
        <is>
          <t>LIVRAISON</t>
        </is>
      </c>
      <c r="F34" s="14" t="inlineStr">
        <is>
          <t>EC FILTRE</t>
        </is>
      </c>
      <c r="G34" s="14" t="inlineStr">
        <is>
          <t>PIS</t>
        </is>
      </c>
      <c r="H34" s="14" t="n"/>
      <c r="I34" s="14" t="inlineStr">
        <is>
          <t>REVISION</t>
        </is>
      </c>
      <c r="J34" s="14" t="n"/>
      <c r="K34" s="14" t="inlineStr">
        <is>
          <t>PIS</t>
        </is>
      </c>
      <c r="L34" s="14" t="inlineStr">
        <is>
          <t>EC FILTRE</t>
        </is>
      </c>
    </row>
    <row r="35" ht="26" customHeight="1">
      <c r="A35" s="12" t="inlineStr">
        <is>
          <t>SPS</t>
        </is>
      </c>
      <c r="B35" s="12" t="inlineStr">
        <is>
          <t>AA3</t>
        </is>
      </c>
      <c r="C35" s="13" t="inlineStr">
        <is>
          <t>G-I-EEE05</t>
        </is>
      </c>
      <c r="D35" s="12" t="inlineStr">
        <is>
          <t>Poste fictif Epsilon</t>
        </is>
      </c>
      <c r="E35" s="12" t="inlineStr">
        <is>
          <t>COUPURE</t>
        </is>
      </c>
      <c r="F35" s="14" t="inlineStr">
        <is>
          <t>REVISION</t>
        </is>
      </c>
      <c r="G35" s="14" t="inlineStr">
        <is>
          <t>PIS</t>
        </is>
      </c>
      <c r="H35" s="14" t="inlineStr">
        <is>
          <t>PIS + EC SIMPLE</t>
        </is>
      </c>
      <c r="I35" s="14" t="inlineStr">
        <is>
          <t>PIS</t>
        </is>
      </c>
      <c r="J35" s="14" t="inlineStr">
        <is>
          <t>PIS + EC SIMPLE</t>
        </is>
      </c>
      <c r="K35" s="14" t="inlineStr">
        <is>
          <t>PIS</t>
        </is>
      </c>
      <c r="L35" s="14" t="inlineStr">
        <is>
          <t>REVISION</t>
        </is>
      </c>
    </row>
    <row r="36" ht="26" customHeight="1">
      <c r="A36" s="12" t="inlineStr">
        <is>
          <t>SPS</t>
        </is>
      </c>
      <c r="B36" s="12" t="inlineStr">
        <is>
          <t>AA4</t>
        </is>
      </c>
      <c r="C36" s="13" t="inlineStr">
        <is>
          <t>G-I-FFF06</t>
        </is>
      </c>
      <c r="D36" s="12" t="inlineStr">
        <is>
          <t>Poste fictif Zeta</t>
        </is>
      </c>
      <c r="E36" s="12" t="inlineStr">
        <is>
          <t>SECTIONNEMENT</t>
        </is>
      </c>
      <c r="F36" s="14" t="inlineStr">
        <is>
          <t>PIS</t>
        </is>
      </c>
      <c r="G36" s="14" t="inlineStr">
        <is>
          <t>REVISION</t>
        </is>
      </c>
      <c r="H36" s="14" t="inlineStr">
        <is>
          <t>PIS</t>
        </is>
      </c>
      <c r="I36" s="14" t="inlineStr">
        <is>
          <t>PIS</t>
        </is>
      </c>
      <c r="J36" s="14" t="inlineStr">
        <is>
          <t>PIS + EC SIMPLE</t>
        </is>
      </c>
      <c r="K36" s="14" t="inlineStr">
        <is>
          <t>PIS</t>
        </is>
      </c>
      <c r="L36" s="14" t="inlineStr">
        <is>
          <t>PIS</t>
        </is>
      </c>
    </row>
    <row r="37" ht="26" customHeight="1">
      <c r="A37" s="12" t="inlineStr">
        <is>
          <t>SVI</t>
        </is>
      </c>
      <c r="B37" s="12" t="inlineStr">
        <is>
          <t>AA1</t>
        </is>
      </c>
      <c r="C37" s="13" t="inlineStr">
        <is>
          <t>G-I-BBC28</t>
        </is>
      </c>
      <c r="D37" s="12" t="inlineStr">
        <is>
          <t>Poste fictif Delta II</t>
        </is>
      </c>
      <c r="E37" s="12" t="inlineStr">
        <is>
          <t>COMPTAGE</t>
        </is>
      </c>
      <c r="F37" s="14" t="inlineStr">
        <is>
          <t>PIS</t>
        </is>
      </c>
      <c r="G37" s="14" t="inlineStr">
        <is>
          <t>PIS + EC FILTRE + REVISION</t>
        </is>
      </c>
      <c r="H37" s="14" t="inlineStr">
        <is>
          <t>PIS</t>
        </is>
      </c>
      <c r="I37" s="14" t="inlineStr">
        <is>
          <t>PIS + EC SIMPLE</t>
        </is>
      </c>
      <c r="J37" s="14" t="inlineStr">
        <is>
          <t>PIS</t>
        </is>
      </c>
      <c r="K37" s="14" t="inlineStr">
        <is>
          <t>PIS + EC FILTRE</t>
        </is>
      </c>
      <c r="L37" s="14" t="inlineStr">
        <is>
          <t>PIS</t>
        </is>
      </c>
    </row>
    <row r="38" ht="26" customHeight="1">
      <c r="A38" s="12" t="inlineStr">
        <is>
          <t>SVI</t>
        </is>
      </c>
      <c r="B38" s="12" t="inlineStr">
        <is>
          <t>AA3</t>
        </is>
      </c>
      <c r="C38" s="13" t="inlineStr">
        <is>
          <t>G-I-CCD29</t>
        </is>
      </c>
      <c r="D38" s="12" t="inlineStr">
        <is>
          <t>Poste fictif Epsilon II</t>
        </is>
      </c>
      <c r="E38" s="12" t="inlineStr">
        <is>
          <t>COMPTAGE</t>
        </is>
      </c>
      <c r="F38" s="14" t="inlineStr">
        <is>
          <t>PIS</t>
        </is>
      </c>
      <c r="G38" s="14" t="inlineStr">
        <is>
          <t>PIS + EC FILTRE + REVISION</t>
        </is>
      </c>
      <c r="H38" s="14" t="inlineStr">
        <is>
          <t>PIS</t>
        </is>
      </c>
      <c r="I38" s="14" t="inlineStr">
        <is>
          <t>PIS</t>
        </is>
      </c>
      <c r="J38" s="14" t="inlineStr">
        <is>
          <t>PIS + EC SIMPLE</t>
        </is>
      </c>
      <c r="K38" s="14" t="inlineStr">
        <is>
          <t>PIS</t>
        </is>
      </c>
      <c r="L38" s="14" t="inlineStr">
        <is>
          <t>PIS</t>
        </is>
      </c>
    </row>
    <row r="39" ht="26" customHeight="1">
      <c r="A39" s="12" t="inlineStr">
        <is>
          <t>SVI</t>
        </is>
      </c>
      <c r="B39" s="12" t="inlineStr">
        <is>
          <t>AA4</t>
        </is>
      </c>
      <c r="C39" s="13" t="inlineStr">
        <is>
          <t>G-I-DDE30</t>
        </is>
      </c>
      <c r="D39" s="12" t="inlineStr">
        <is>
          <t>Poste fictif Zeta II</t>
        </is>
      </c>
      <c r="E39" s="12" t="inlineStr">
        <is>
          <t>PIQUAGE</t>
        </is>
      </c>
      <c r="F39" s="14" t="inlineStr">
        <is>
          <t>PIS + EC SIMPLE</t>
        </is>
      </c>
      <c r="G39" s="14" t="inlineStr">
        <is>
          <t>PIS + REVISION</t>
        </is>
      </c>
      <c r="H39" s="14" t="inlineStr">
        <is>
          <t>PIS + EC SIMPLE</t>
        </is>
      </c>
      <c r="I39" s="14" t="inlineStr">
        <is>
          <t>PIS</t>
        </is>
      </c>
      <c r="J39" s="14" t="inlineStr">
        <is>
          <t>PIS + EC SIMPLE</t>
        </is>
      </c>
      <c r="K39" s="14" t="inlineStr">
        <is>
          <t>PIS</t>
        </is>
      </c>
      <c r="L39" s="14" t="inlineStr">
        <is>
          <t>PIS + EC SIMPLE</t>
        </is>
      </c>
    </row>
    <row r="40" ht="26" customHeight="1">
      <c r="A40" s="12" t="inlineStr">
        <is>
          <t>SVI</t>
        </is>
      </c>
      <c r="B40" s="12" t="inlineStr">
        <is>
          <t>AA4</t>
        </is>
      </c>
      <c r="C40" s="13" t="inlineStr">
        <is>
          <t>G-I-JJK36</t>
        </is>
      </c>
      <c r="D40" s="12" t="inlineStr">
        <is>
          <t>Poste fictif Mu II</t>
        </is>
      </c>
      <c r="E40" s="12" t="inlineStr">
        <is>
          <t>COUPURE</t>
        </is>
      </c>
      <c r="F40" s="14" t="inlineStr">
        <is>
          <t>PIS + REVISION</t>
        </is>
      </c>
      <c r="G40" s="14" t="inlineStr">
        <is>
          <t>PIS + EC SIMPLE</t>
        </is>
      </c>
      <c r="H40" s="14" t="inlineStr">
        <is>
          <t>PIS</t>
        </is>
      </c>
      <c r="I40" s="14" t="inlineStr">
        <is>
          <t>PIS</t>
        </is>
      </c>
      <c r="J40" s="14" t="inlineStr">
        <is>
          <t>PIS + EC SIMPLE</t>
        </is>
      </c>
      <c r="K40" s="14" t="inlineStr">
        <is>
          <t>PIS</t>
        </is>
      </c>
      <c r="L40" s="14" t="inlineStr">
        <is>
          <t>PIS + REVISION</t>
        </is>
      </c>
    </row>
    <row r="41" ht="26" customHeight="1">
      <c r="A41" s="12" t="inlineStr">
        <is>
          <t>VDY</t>
        </is>
      </c>
      <c r="B41" s="12" t="inlineStr">
        <is>
          <t>AA1</t>
        </is>
      </c>
      <c r="C41" s="13" t="inlineStr">
        <is>
          <t>G-I-SSS19</t>
        </is>
      </c>
      <c r="D41" s="12" t="inlineStr">
        <is>
          <t>Poste fictif Tau</t>
        </is>
      </c>
      <c r="E41" s="12" t="inlineStr">
        <is>
          <t>PIQUAGE</t>
        </is>
      </c>
      <c r="F41" s="14" t="inlineStr">
        <is>
          <t>PIS + EC SIMPLE</t>
        </is>
      </c>
      <c r="G41" s="14" t="inlineStr">
        <is>
          <t>PIS</t>
        </is>
      </c>
      <c r="H41" s="14" t="inlineStr">
        <is>
          <t>PIS</t>
        </is>
      </c>
      <c r="I41" s="14" t="inlineStr">
        <is>
          <t>PIS + EC SIMPLE + REVISION</t>
        </is>
      </c>
      <c r="J41" s="14" t="inlineStr">
        <is>
          <t>PIS</t>
        </is>
      </c>
      <c r="K41" s="14" t="inlineStr">
        <is>
          <t>PIS</t>
        </is>
      </c>
      <c r="L41" s="14" t="inlineStr">
        <is>
          <t>PIS + EC SIMPLE</t>
        </is>
      </c>
    </row>
    <row r="42" ht="26" customHeight="1">
      <c r="A42" s="12" t="inlineStr">
        <is>
          <t>VDY</t>
        </is>
      </c>
      <c r="B42" s="12" t="inlineStr">
        <is>
          <t>AA3</t>
        </is>
      </c>
      <c r="C42" s="13" t="inlineStr">
        <is>
          <t>G-I-TTT20</t>
        </is>
      </c>
      <c r="D42" s="12" t="inlineStr">
        <is>
          <t>Poste fictif Upsilon</t>
        </is>
      </c>
      <c r="E42" s="12" t="inlineStr">
        <is>
          <t>SECTIONNEMENT</t>
        </is>
      </c>
      <c r="F42" s="14" t="inlineStr">
        <is>
          <t>PIS + EC SIMPLE</t>
        </is>
      </c>
      <c r="G42" s="14" t="inlineStr">
        <is>
          <t>PIS</t>
        </is>
      </c>
      <c r="H42" s="14" t="inlineStr">
        <is>
          <t>PIS + EC FILTRE + REVISION</t>
        </is>
      </c>
      <c r="I42" s="14" t="inlineStr">
        <is>
          <t>PIS</t>
        </is>
      </c>
      <c r="J42" s="14" t="inlineStr">
        <is>
          <t>PIS + EC SIMPLE</t>
        </is>
      </c>
      <c r="K42" s="14" t="inlineStr">
        <is>
          <t>PIS</t>
        </is>
      </c>
      <c r="L42" s="14" t="inlineStr">
        <is>
          <t>PIS + EC FILTRE</t>
        </is>
      </c>
    </row>
    <row r="43" ht="26" customHeight="1">
      <c r="A43" s="12" t="inlineStr">
        <is>
          <t>VDY</t>
        </is>
      </c>
      <c r="B43" s="12" t="inlineStr">
        <is>
          <t>AA4</t>
        </is>
      </c>
      <c r="C43" s="13" t="inlineStr">
        <is>
          <t>G-I-UUU21</t>
        </is>
      </c>
      <c r="D43" s="12" t="inlineStr">
        <is>
          <t>Poste fictif Phi</t>
        </is>
      </c>
      <c r="E43" s="12" t="inlineStr">
        <is>
          <t>COUPURE</t>
        </is>
      </c>
      <c r="F43" s="14" t="inlineStr">
        <is>
          <t>PIS + EC FILTRE</t>
        </is>
      </c>
      <c r="G43" s="14" t="n"/>
      <c r="H43" s="14" t="inlineStr">
        <is>
          <t>PIS + EC SIMPLE</t>
        </is>
      </c>
      <c r="I43" s="14" t="inlineStr">
        <is>
          <t>REVISION</t>
        </is>
      </c>
      <c r="J43" s="14" t="inlineStr">
        <is>
          <t>PIS + EC FILTRE</t>
        </is>
      </c>
      <c r="K43" s="14" t="n"/>
      <c r="L43" s="14" t="inlineStr">
        <is>
          <t>PIS + EC SIMPLE</t>
        </is>
      </c>
    </row>
    <row r="44" ht="26" customHeight="1">
      <c r="A44" s="12" t="inlineStr">
        <is>
          <t>VRS</t>
        </is>
      </c>
      <c r="B44" s="12" t="inlineStr">
        <is>
          <t>AA1</t>
        </is>
      </c>
      <c r="C44" s="13" t="inlineStr">
        <is>
          <t>G-I-JJJ10</t>
        </is>
      </c>
      <c r="D44" s="12" t="inlineStr">
        <is>
          <t>Poste fictif Kappa</t>
        </is>
      </c>
      <c r="E44" s="12" t="inlineStr">
        <is>
          <t>COMPTAGE</t>
        </is>
      </c>
      <c r="F44" s="14" t="inlineStr">
        <is>
          <t>PIS + EC SIMPLE</t>
        </is>
      </c>
      <c r="G44" s="14" t="inlineStr">
        <is>
          <t>PIS</t>
        </is>
      </c>
      <c r="H44" s="14" t="inlineStr">
        <is>
          <t>PIS</t>
        </is>
      </c>
      <c r="I44" s="14" t="inlineStr">
        <is>
          <t>PIS + EC SIMPLE + REVISION</t>
        </is>
      </c>
      <c r="J44" s="14" t="inlineStr">
        <is>
          <t>PIS</t>
        </is>
      </c>
      <c r="K44" s="14" t="inlineStr">
        <is>
          <t>PIS</t>
        </is>
      </c>
      <c r="L44" s="14" t="inlineStr">
        <is>
          <t>PIS + EC SIMPLE</t>
        </is>
      </c>
    </row>
    <row r="45" ht="26" customHeight="1">
      <c r="A45" s="12" t="inlineStr">
        <is>
          <t>VRS</t>
        </is>
      </c>
      <c r="B45" s="12" t="inlineStr">
        <is>
          <t>AA3</t>
        </is>
      </c>
      <c r="C45" s="13" t="inlineStr">
        <is>
          <t>G-I-FFG32</t>
        </is>
      </c>
      <c r="D45" s="12" t="inlineStr">
        <is>
          <t>Poste fictif Theta II</t>
        </is>
      </c>
      <c r="E45" s="12" t="inlineStr">
        <is>
          <t>PIQUAGE</t>
        </is>
      </c>
      <c r="F45" s="14" t="inlineStr">
        <is>
          <t>PIS</t>
        </is>
      </c>
      <c r="G45" s="14" t="inlineStr">
        <is>
          <t>PIS + EC SIMPLE</t>
        </is>
      </c>
      <c r="H45" s="14" t="inlineStr">
        <is>
          <t>PIS</t>
        </is>
      </c>
      <c r="I45" s="14" t="inlineStr">
        <is>
          <t>PIS + EC SIMPLE</t>
        </is>
      </c>
      <c r="J45" s="14" t="inlineStr">
        <is>
          <t>PIS</t>
        </is>
      </c>
      <c r="K45" s="14" t="inlineStr">
        <is>
          <t>PIS + EC SIMPLE + REVISION</t>
        </is>
      </c>
      <c r="L45" s="14" t="inlineStr">
        <is>
          <t>PIS</t>
        </is>
      </c>
    </row>
    <row r="46" ht="26" customHeight="1">
      <c r="A46" s="12" t="inlineStr">
        <is>
          <t>VRS</t>
        </is>
      </c>
      <c r="B46" s="12" t="inlineStr">
        <is>
          <t>AA3</t>
        </is>
      </c>
      <c r="C46" s="13" t="inlineStr">
        <is>
          <t>G-I-KKK11</t>
        </is>
      </c>
      <c r="D46" s="12" t="inlineStr">
        <is>
          <t>Poste fictif Lambda</t>
        </is>
      </c>
      <c r="E46" s="12" t="inlineStr">
        <is>
          <t>COUPURE</t>
        </is>
      </c>
      <c r="F46" s="14" t="inlineStr">
        <is>
          <t>PIS</t>
        </is>
      </c>
      <c r="G46" s="14" t="inlineStr">
        <is>
          <t>PIS</t>
        </is>
      </c>
      <c r="H46" s="14" t="inlineStr">
        <is>
          <t>PIS + EC SIMPLE</t>
        </is>
      </c>
      <c r="I46" s="14" t="inlineStr">
        <is>
          <t>PIS</t>
        </is>
      </c>
      <c r="J46" s="14" t="inlineStr">
        <is>
          <t>PIS</t>
        </is>
      </c>
      <c r="K46" s="14" t="inlineStr">
        <is>
          <t>PIS + EC SIMPLE + REVISION</t>
        </is>
      </c>
      <c r="L46" s="14" t="inlineStr">
        <is>
          <t>PIS</t>
        </is>
      </c>
    </row>
    <row r="47" ht="26" customHeight="1">
      <c r="A47" s="12" t="inlineStr">
        <is>
          <t>VRS</t>
        </is>
      </c>
      <c r="B47" s="12" t="inlineStr">
        <is>
          <t>AA4</t>
        </is>
      </c>
      <c r="C47" s="13" t="inlineStr">
        <is>
          <t>G-I-LLL12</t>
        </is>
      </c>
      <c r="D47" s="12" t="inlineStr">
        <is>
          <t>Poste fictif Mu</t>
        </is>
      </c>
      <c r="E47" s="12" t="inlineStr">
        <is>
          <t>COMPTAGE</t>
        </is>
      </c>
      <c r="F47" s="14" t="inlineStr">
        <is>
          <t>PIS + EC SIMPLE</t>
        </is>
      </c>
      <c r="G47" s="14" t="inlineStr">
        <is>
          <t>PIS</t>
        </is>
      </c>
      <c r="H47" s="14" t="inlineStr">
        <is>
          <t>PIS + EC SIMPLE + REVISION</t>
        </is>
      </c>
      <c r="I47" s="14" t="inlineStr">
        <is>
          <t>PIS</t>
        </is>
      </c>
      <c r="J47" s="14" t="inlineStr">
        <is>
          <t>PIS + EC SIMPLE</t>
        </is>
      </c>
      <c r="K47" s="14" t="inlineStr">
        <is>
          <t>PIS</t>
        </is>
      </c>
      <c r="L47" s="14" t="inlineStr">
        <is>
          <t>PIS + EC SIMPLE</t>
        </is>
      </c>
    </row>
  </sheetData>
  <mergeCells count="5">
    <mergeCell ref="J4:K4"/>
    <mergeCell ref="J5:K5"/>
    <mergeCell ref="H5:I5"/>
    <mergeCell ref="H4:I4"/>
    <mergeCell ref="H7:L9"/>
  </mergeCells>
  <conditionalFormatting sqref="A11:T11">
    <cfRule type="expression" priority="1" dxfId="0">
      <formula>AND(A$11&lt;&gt;"",A$11=P_Annee&amp;"")</formula>
    </cfRule>
  </conditionalFormatting>
  <conditionalFormatting sqref="A12:T3011">
    <cfRule type="expression" priority="2" dxfId="1">
      <formula>AND(A$11&lt;&gt;"",A$11=P_Annee&amp;"")</formula>
    </cfRule>
  </conditionalFormatting>
  <pageMargins left="0.4" right="0.4" top="1" bottom="1" header="0.5" footer="0.5"/>
  <pageSetup orientation="landscape" paperSize="9" fitToHeight="0" fitToWidth="1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xmlns:r="http://schemas.openxmlformats.org/officeDocument/2006/relationships" r:id="rId3"/>
      </x14:slicerList>
    </ext>
  </extLst>
</worksheet>
</file>

<file path=xl/worksheets/sheet2.xml><?xml version="1.0" encoding="utf-8"?>
<worksheet xmlns="http://schemas.openxmlformats.org/spreadsheetml/2006/main">
  <sheetPr>
    <tabColor rgb="00FFC600"/>
    <outlinePr summaryBelow="1" summaryRight="1"/>
    <pageSetUpPr fitToPage="1"/>
  </sheetPr>
  <dimension ref="A1:P78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2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n"/>
      <c r="B1" s="1" t="n"/>
      <c r="C1" s="2" t="inlineStr">
        <is>
          <t>COUVERTURE DES OT PRÉVENTIFS (GMAO)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inlineStr">
        <is>
          <t>PROTOTYPE V0.4</t>
        </is>
      </c>
    </row>
    <row r="2" ht="18" customHeight="1">
      <c r="A2" s="1" t="n"/>
      <c r="B2" s="1" t="n"/>
      <c r="C2" s="4" t="inlineStr">
        <is>
          <t>Nombre d'OT préventifs distincts (Type de travail PRE) par poste et par activité.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5" t="inlineStr">
        <is>
          <t>Données 100 % fictives</t>
        </is>
      </c>
    </row>
    <row r="3" ht="3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 ht="20" customHeight="1">
      <c r="G4" s="15" t="inlineStr">
        <is>
          <t>Type de travail</t>
        </is>
      </c>
      <c r="H4" s="15" t="inlineStr">
        <is>
          <t>OT préventifs distincts</t>
        </is>
      </c>
    </row>
    <row r="5" ht="20" customHeight="1">
      <c r="G5" s="16" t="inlineStr">
        <is>
          <t>PRE</t>
        </is>
      </c>
      <c r="H5" s="16" t="n">
        <v>81</v>
      </c>
    </row>
    <row r="6" ht="20" customHeight="1"/>
    <row r="7" ht="20" customHeight="1"/>
    <row r="8" ht="20" customHeight="1"/>
    <row r="9" ht="20" customHeight="1"/>
    <row r="10" ht="24" customHeight="1">
      <c r="A10" s="17" t="inlineStr">
        <is>
          <t>Double-cliquez sur un nombre pour afficher le détail des OT concernés.</t>
        </is>
      </c>
    </row>
    <row r="12">
      <c r="A12" s="18" t="inlineStr">
        <is>
          <t>Nb OT</t>
        </is>
      </c>
      <c r="B12" s="18" t="n"/>
      <c r="C12" s="18" t="n"/>
      <c r="D12" s="18" t="n"/>
      <c r="E12" s="18" t="n"/>
      <c r="F12" s="18" t="inlineStr">
        <is>
          <t>Activité atomique</t>
        </is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>
      <c r="A13" s="18" t="inlineStr">
        <is>
          <t>Année planifiée</t>
        </is>
      </c>
      <c r="B13" s="18" t="inlineStr">
        <is>
          <t>Site</t>
        </is>
      </c>
      <c r="C13" s="18" t="inlineStr">
        <is>
          <t>Équipe</t>
        </is>
      </c>
      <c r="D13" s="18" t="inlineStr">
        <is>
          <t>Code poste</t>
        </is>
      </c>
      <c r="E13" s="18" t="inlineStr">
        <is>
          <t>Désignation du poste</t>
        </is>
      </c>
      <c r="F13" s="18" t="inlineStr">
        <is>
          <t>PIS</t>
        </is>
      </c>
      <c r="G13" s="18" t="inlineStr">
        <is>
          <t>EC</t>
        </is>
      </c>
      <c r="H13" s="18" t="inlineStr">
        <is>
          <t>PILOTAGE</t>
        </is>
      </c>
      <c r="I13" s="18" t="inlineStr">
        <is>
          <t>FILTRE</t>
        </is>
      </c>
      <c r="J13" s="18" t="inlineStr">
        <is>
          <t>REV</t>
        </is>
      </c>
      <c r="K13" s="18" t="inlineStr">
        <is>
          <t>SURV DEC</t>
        </is>
      </c>
      <c r="L13" s="18" t="inlineStr">
        <is>
          <t>INSPECTION TSF</t>
        </is>
      </c>
      <c r="M13" s="18" t="inlineStr">
        <is>
          <t>INSPECTION TA</t>
        </is>
      </c>
      <c r="N13" s="18" t="inlineStr">
        <is>
          <t>ENDO</t>
        </is>
      </c>
      <c r="O13" s="18" t="inlineStr">
        <is>
          <t>CONTROLE VISUEL</t>
        </is>
      </c>
      <c r="P13" s="18" t="inlineStr">
        <is>
          <t>(vide)</t>
        </is>
      </c>
    </row>
    <row r="14">
      <c r="A14" s="19" t="n">
        <v>2026</v>
      </c>
      <c r="B14" s="19" t="inlineStr">
        <is>
          <t>ALZ</t>
        </is>
      </c>
      <c r="C14" s="19" t="inlineStr">
        <is>
          <t>AA1</t>
        </is>
      </c>
      <c r="D14" s="19" t="inlineStr">
        <is>
          <t>G-I-PPP16</t>
        </is>
      </c>
      <c r="E14" s="19" t="inlineStr">
        <is>
          <t>Poste fictif Pi</t>
        </is>
      </c>
      <c r="F14" s="20" t="n">
        <v>1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</row>
    <row r="15">
      <c r="A15" s="19" t="n">
        <v>2026</v>
      </c>
      <c r="B15" s="19" t="inlineStr">
        <is>
          <t>ALZ</t>
        </is>
      </c>
      <c r="C15" s="19" t="inlineStr">
        <is>
          <t>AA3</t>
        </is>
      </c>
      <c r="D15" s="19" t="inlineStr">
        <is>
          <t>G-I-QQQ17</t>
        </is>
      </c>
      <c r="E15" s="19" t="inlineStr">
        <is>
          <t>Poste fictif Rho</t>
        </is>
      </c>
      <c r="F15" s="20" t="n">
        <v>1</v>
      </c>
      <c r="G15" s="20" t="n">
        <v>1</v>
      </c>
      <c r="H15" s="20" t="n">
        <v>0</v>
      </c>
      <c r="I15" s="20" t="n">
        <v>1</v>
      </c>
      <c r="J15" s="20" t="n">
        <v>1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</row>
    <row r="16">
      <c r="A16" s="19" t="n">
        <v>2026</v>
      </c>
      <c r="B16" s="19" t="inlineStr">
        <is>
          <t>ALZ</t>
        </is>
      </c>
      <c r="C16" s="19" t="inlineStr">
        <is>
          <t>AA4</t>
        </is>
      </c>
      <c r="D16" s="19" t="inlineStr">
        <is>
          <t>G-I-RRR18</t>
        </is>
      </c>
      <c r="E16" s="19" t="inlineStr">
        <is>
          <t>Poste fictif Sigma</t>
        </is>
      </c>
      <c r="F16" s="20" t="n">
        <v>1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</row>
    <row r="17">
      <c r="A17" s="19" t="n">
        <v>2026</v>
      </c>
      <c r="B17" s="19" t="inlineStr">
        <is>
          <t>DEI</t>
        </is>
      </c>
      <c r="C17" s="19" t="inlineStr">
        <is>
          <t>AA1</t>
        </is>
      </c>
      <c r="D17" s="19" t="inlineStr">
        <is>
          <t>G-I-EEF31</t>
        </is>
      </c>
      <c r="E17" s="19" t="inlineStr">
        <is>
          <t>Poste fictif Eta II</t>
        </is>
      </c>
      <c r="F17" s="20" t="n">
        <v>1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</row>
    <row r="18">
      <c r="A18" s="19" t="n">
        <v>2026</v>
      </c>
      <c r="B18" s="19" t="inlineStr">
        <is>
          <t>DEI</t>
        </is>
      </c>
      <c r="C18" s="19" t="inlineStr">
        <is>
          <t>AA1</t>
        </is>
      </c>
      <c r="D18" s="19" t="inlineStr">
        <is>
          <t>G-I-VVV22</t>
        </is>
      </c>
      <c r="E18" s="19" t="inlineStr">
        <is>
          <t>Poste fictif Chi</t>
        </is>
      </c>
      <c r="F18" s="20" t="n">
        <v>1</v>
      </c>
      <c r="G18" s="20" t="n">
        <v>1</v>
      </c>
      <c r="H18" s="20" t="n">
        <v>1</v>
      </c>
      <c r="I18" s="20" t="n">
        <v>1</v>
      </c>
      <c r="J18" s="20" t="n">
        <v>0</v>
      </c>
      <c r="K18" s="20" t="n">
        <v>0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</row>
    <row r="19">
      <c r="A19" s="19" t="n">
        <v>2026</v>
      </c>
      <c r="B19" s="19" t="inlineStr">
        <is>
          <t>DEI</t>
        </is>
      </c>
      <c r="C19" s="19" t="inlineStr">
        <is>
          <t>AA3</t>
        </is>
      </c>
      <c r="D19" s="19" t="inlineStr">
        <is>
          <t>G-I-WWW23</t>
        </is>
      </c>
      <c r="E19" s="19" t="inlineStr">
        <is>
          <t>Poste fictif Psi</t>
        </is>
      </c>
      <c r="F19" s="20" t="n">
        <v>1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</row>
    <row r="20">
      <c r="A20" s="19" t="n">
        <v>2026</v>
      </c>
      <c r="B20" s="19" t="inlineStr">
        <is>
          <t>DEI</t>
        </is>
      </c>
      <c r="C20" s="19" t="inlineStr">
        <is>
          <t>AA4</t>
        </is>
      </c>
      <c r="D20" s="19" t="inlineStr">
        <is>
          <t>G-I-XXX24</t>
        </is>
      </c>
      <c r="E20" s="19" t="inlineStr">
        <is>
          <t>Poste fictif Omega</t>
        </is>
      </c>
      <c r="F20" s="20" t="n">
        <v>1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</row>
    <row r="21">
      <c r="A21" s="19" t="n">
        <v>2026</v>
      </c>
      <c r="B21" s="19" t="inlineStr">
        <is>
          <t>LRO</t>
        </is>
      </c>
      <c r="C21" s="19" t="inlineStr">
        <is>
          <t>AA1</t>
        </is>
      </c>
      <c r="D21" s="19" t="inlineStr">
        <is>
          <t>G-I-MMN13</t>
        </is>
      </c>
      <c r="E21" s="19" t="inlineStr">
        <is>
          <t>Poste fictif Nu</t>
        </is>
      </c>
      <c r="F21" s="20" t="n">
        <v>1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</row>
    <row r="22">
      <c r="A22" s="19" t="n">
        <v>2026</v>
      </c>
      <c r="B22" s="19" t="inlineStr">
        <is>
          <t>LRO</t>
        </is>
      </c>
      <c r="C22" s="19" t="inlineStr">
        <is>
          <t>AA3</t>
        </is>
      </c>
      <c r="D22" s="19" t="inlineStr">
        <is>
          <t>G-I-NNN14</t>
        </is>
      </c>
      <c r="E22" s="19" t="inlineStr">
        <is>
          <t>Poste fictif Xi</t>
        </is>
      </c>
      <c r="F22" s="20" t="n">
        <v>1</v>
      </c>
      <c r="G22" s="20" t="n">
        <v>1</v>
      </c>
      <c r="H22" s="20" t="n">
        <v>0</v>
      </c>
      <c r="I22" s="20" t="n">
        <v>0</v>
      </c>
      <c r="J22" s="20" t="n">
        <v>0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</row>
    <row r="23">
      <c r="A23" s="19" t="n">
        <v>2026</v>
      </c>
      <c r="B23" s="19" t="inlineStr">
        <is>
          <t>LRO</t>
        </is>
      </c>
      <c r="C23" s="19" t="inlineStr">
        <is>
          <t>AA4</t>
        </is>
      </c>
      <c r="D23" s="19" t="inlineStr">
        <is>
          <t>G-I-HHI34</t>
        </is>
      </c>
      <c r="E23" s="19" t="inlineStr">
        <is>
          <t>Poste fictif Kappa II</t>
        </is>
      </c>
      <c r="F23" s="20" t="n">
        <v>1</v>
      </c>
      <c r="G23" s="20" t="n">
        <v>0</v>
      </c>
      <c r="H23" s="20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</row>
    <row r="24">
      <c r="A24" s="19" t="n">
        <v>2026</v>
      </c>
      <c r="B24" s="19" t="inlineStr">
        <is>
          <t>LRO</t>
        </is>
      </c>
      <c r="C24" s="19" t="inlineStr">
        <is>
          <t>AA4</t>
        </is>
      </c>
      <c r="D24" s="19" t="inlineStr">
        <is>
          <t>G-I-OOO15</t>
        </is>
      </c>
      <c r="E24" s="19" t="inlineStr">
        <is>
          <t>Poste fictif Omicron</t>
        </is>
      </c>
      <c r="F24" s="20" t="n">
        <v>1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</v>
      </c>
      <c r="O24" s="20" t="n">
        <v>0</v>
      </c>
      <c r="P24" s="20" t="n">
        <v>0</v>
      </c>
    </row>
    <row r="25">
      <c r="A25" s="19" t="n">
        <v>2026</v>
      </c>
      <c r="B25" s="19" t="inlineStr">
        <is>
          <t>RNA</t>
        </is>
      </c>
      <c r="C25" s="19" t="inlineStr">
        <is>
          <t>AA1</t>
        </is>
      </c>
      <c r="D25" s="19" t="inlineStr">
        <is>
          <t>G-I-GGG07</t>
        </is>
      </c>
      <c r="E25" s="19" t="inlineStr">
        <is>
          <t>Poste fictif Eta</t>
        </is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1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</row>
    <row r="26">
      <c r="A26" s="19" t="n">
        <v>2026</v>
      </c>
      <c r="B26" s="19" t="inlineStr">
        <is>
          <t>RNA</t>
        </is>
      </c>
      <c r="C26" s="19" t="inlineStr">
        <is>
          <t>AA1</t>
        </is>
      </c>
      <c r="D26" s="19" t="inlineStr">
        <is>
          <t>G-I-IIJ35</t>
        </is>
      </c>
      <c r="E26" s="19" t="inlineStr">
        <is>
          <t>Poste fictif Lambda II</t>
        </is>
      </c>
      <c r="F26" s="20" t="n">
        <v>1</v>
      </c>
      <c r="G26" s="20" t="n">
        <v>1</v>
      </c>
      <c r="H26" s="20" t="n">
        <v>1</v>
      </c>
      <c r="I26" s="20" t="n">
        <v>1</v>
      </c>
      <c r="J26" s="20" t="n">
        <v>1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</row>
    <row r="27">
      <c r="A27" s="19" t="n">
        <v>2026</v>
      </c>
      <c r="B27" s="19" t="inlineStr">
        <is>
          <t>RNA</t>
        </is>
      </c>
      <c r="C27" s="19" t="inlineStr">
        <is>
          <t>AA3</t>
        </is>
      </c>
      <c r="D27" s="19" t="inlineStr">
        <is>
          <t>G-I-HHH08</t>
        </is>
      </c>
      <c r="E27" s="19" t="inlineStr">
        <is>
          <t>Poste fictif Theta</t>
        </is>
      </c>
      <c r="F27" s="20" t="n">
        <v>1</v>
      </c>
      <c r="G27" s="20" t="n">
        <v>1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</row>
    <row r="28">
      <c r="A28" s="19" t="n">
        <v>2026</v>
      </c>
      <c r="B28" s="19" t="inlineStr">
        <is>
          <t>RNA</t>
        </is>
      </c>
      <c r="C28" s="19" t="inlineStr">
        <is>
          <t>AA4</t>
        </is>
      </c>
      <c r="D28" s="19" t="inlineStr">
        <is>
          <t>G-I-III09</t>
        </is>
      </c>
      <c r="E28" s="19" t="inlineStr">
        <is>
          <t>Poste fictif Iota</t>
        </is>
      </c>
      <c r="F28" s="20" t="n">
        <v>1</v>
      </c>
      <c r="G28" s="20" t="n">
        <v>1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</row>
    <row r="29">
      <c r="A29" s="19" t="n">
        <v>2026</v>
      </c>
      <c r="B29" s="19" t="inlineStr">
        <is>
          <t>SET</t>
        </is>
      </c>
      <c r="C29" s="19" t="inlineStr">
        <is>
          <t>AA1</t>
        </is>
      </c>
      <c r="D29" s="19" t="inlineStr">
        <is>
          <t>G-I-AAA01</t>
        </is>
      </c>
      <c r="E29" s="19" t="inlineStr">
        <is>
          <t>Poste fictif Alpha</t>
        </is>
      </c>
      <c r="F29" s="20" t="n">
        <v>1</v>
      </c>
      <c r="G29" s="20" t="n">
        <v>1</v>
      </c>
      <c r="H29" s="20" t="n">
        <v>0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</row>
    <row r="30">
      <c r="A30" s="19" t="n">
        <v>2026</v>
      </c>
      <c r="B30" s="19" t="inlineStr">
        <is>
          <t>SET</t>
        </is>
      </c>
      <c r="C30" s="19" t="inlineStr">
        <is>
          <t>AA3</t>
        </is>
      </c>
      <c r="D30" s="19" t="inlineStr">
        <is>
          <t>G-I-BBB02</t>
        </is>
      </c>
      <c r="E30" s="19" t="inlineStr">
        <is>
          <t>Poste fictif Beta</t>
        </is>
      </c>
      <c r="F30" s="20" t="n">
        <v>2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</row>
    <row r="31">
      <c r="A31" s="19" t="n">
        <v>2026</v>
      </c>
      <c r="B31" s="19" t="inlineStr">
        <is>
          <t>SET</t>
        </is>
      </c>
      <c r="C31" s="19" t="inlineStr">
        <is>
          <t>AA3</t>
        </is>
      </c>
      <c r="D31" s="19" t="inlineStr">
        <is>
          <t>G-I-GGH33</t>
        </is>
      </c>
      <c r="E31" s="19" t="inlineStr">
        <is>
          <t>Poste fictif Iota II</t>
        </is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1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</row>
    <row r="32">
      <c r="A32" s="19" t="n">
        <v>2026</v>
      </c>
      <c r="B32" s="19" t="inlineStr">
        <is>
          <t>SET</t>
        </is>
      </c>
      <c r="C32" s="19" t="inlineStr">
        <is>
          <t>AA4</t>
        </is>
      </c>
      <c r="D32" s="19" t="inlineStr">
        <is>
          <t>G-I-CCC03</t>
        </is>
      </c>
      <c r="E32" s="19" t="inlineStr">
        <is>
          <t>Poste fictif Gamma</t>
        </is>
      </c>
      <c r="F32" s="20" t="n">
        <v>2</v>
      </c>
      <c r="G32" s="20" t="n">
        <v>0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</row>
    <row r="33">
      <c r="A33" s="19" t="n">
        <v>2026</v>
      </c>
      <c r="B33" s="19" t="inlineStr">
        <is>
          <t>SHL</t>
        </is>
      </c>
      <c r="C33" s="19" t="inlineStr">
        <is>
          <t>AA1</t>
        </is>
      </c>
      <c r="D33" s="19" t="inlineStr">
        <is>
          <t>G-I-YYY25</t>
        </is>
      </c>
      <c r="E33" s="19" t="inlineStr">
        <is>
          <t>Poste fictif Alpha II</t>
        </is>
      </c>
      <c r="F33" s="20" t="n">
        <v>1</v>
      </c>
      <c r="G33" s="20" t="n">
        <v>1</v>
      </c>
      <c r="H33" s="20" t="n">
        <v>0</v>
      </c>
      <c r="I33" s="20" t="n">
        <v>0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</row>
    <row r="34">
      <c r="A34" s="19" t="n">
        <v>2026</v>
      </c>
      <c r="B34" s="19" t="inlineStr">
        <is>
          <t>SHL</t>
        </is>
      </c>
      <c r="C34" s="19" t="inlineStr">
        <is>
          <t>AA4</t>
        </is>
      </c>
      <c r="D34" s="19" t="inlineStr">
        <is>
          <t>G-I-AAB27</t>
        </is>
      </c>
      <c r="E34" s="19" t="inlineStr">
        <is>
          <t>Poste fictif Gamma II</t>
        </is>
      </c>
      <c r="F34" s="20" t="n">
        <v>0</v>
      </c>
      <c r="G34" s="20" t="n">
        <v>1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</row>
    <row r="35">
      <c r="A35" s="19" t="n">
        <v>2026</v>
      </c>
      <c r="B35" s="19" t="inlineStr">
        <is>
          <t>SPS</t>
        </is>
      </c>
      <c r="C35" s="19" t="inlineStr">
        <is>
          <t>AA3</t>
        </is>
      </c>
      <c r="D35" s="19" t="inlineStr">
        <is>
          <t>G-I-EEE05</t>
        </is>
      </c>
      <c r="E35" s="19" t="inlineStr">
        <is>
          <t>Poste fictif Epsilon</t>
        </is>
      </c>
      <c r="F35" s="20" t="n">
        <v>1</v>
      </c>
      <c r="G35" s="20" t="n">
        <v>1</v>
      </c>
      <c r="H35" s="20" t="n">
        <v>0</v>
      </c>
      <c r="I35" s="20" t="n">
        <v>0</v>
      </c>
      <c r="J35" s="20" t="n">
        <v>1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</row>
    <row r="36">
      <c r="A36" s="19" t="n">
        <v>2026</v>
      </c>
      <c r="B36" s="19" t="inlineStr">
        <is>
          <t>SPS</t>
        </is>
      </c>
      <c r="C36" s="19" t="inlineStr">
        <is>
          <t>AA4</t>
        </is>
      </c>
      <c r="D36" s="19" t="inlineStr">
        <is>
          <t>G-I-FFF06</t>
        </is>
      </c>
      <c r="E36" s="19" t="inlineStr">
        <is>
          <t>Poste fictif Zeta</t>
        </is>
      </c>
      <c r="F36" s="20" t="n">
        <v>1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</row>
    <row r="37">
      <c r="A37" s="19" t="n">
        <v>2026</v>
      </c>
      <c r="B37" s="19" t="inlineStr">
        <is>
          <t>SVI</t>
        </is>
      </c>
      <c r="C37" s="19" t="inlineStr">
        <is>
          <t>AA1</t>
        </is>
      </c>
      <c r="D37" s="19" t="inlineStr">
        <is>
          <t>G-I-BBC28</t>
        </is>
      </c>
      <c r="E37" s="19" t="inlineStr">
        <is>
          <t>Poste fictif Delta II</t>
        </is>
      </c>
      <c r="F37" s="20" t="n">
        <v>1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</row>
    <row r="38">
      <c r="A38" s="19" t="n">
        <v>2026</v>
      </c>
      <c r="B38" s="19" t="inlineStr">
        <is>
          <t>SVI</t>
        </is>
      </c>
      <c r="C38" s="19" t="inlineStr">
        <is>
          <t>AA3</t>
        </is>
      </c>
      <c r="D38" s="19" t="inlineStr">
        <is>
          <t>G-I-CCD29</t>
        </is>
      </c>
      <c r="E38" s="19" t="inlineStr">
        <is>
          <t>Poste fictif Epsilon II</t>
        </is>
      </c>
      <c r="F38" s="20" t="n">
        <v>1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</row>
    <row r="39">
      <c r="A39" s="19" t="n">
        <v>2026</v>
      </c>
      <c r="B39" s="19" t="inlineStr">
        <is>
          <t>SVI</t>
        </is>
      </c>
      <c r="C39" s="19" t="inlineStr">
        <is>
          <t>AA4</t>
        </is>
      </c>
      <c r="D39" s="19" t="inlineStr">
        <is>
          <t>G-I-DDE30</t>
        </is>
      </c>
      <c r="E39" s="19" t="inlineStr">
        <is>
          <t>Poste fictif Zeta II</t>
        </is>
      </c>
      <c r="F39" s="20" t="n">
        <v>1</v>
      </c>
      <c r="G39" s="20" t="n">
        <v>1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</row>
    <row r="40">
      <c r="A40" s="19" t="n">
        <v>2026</v>
      </c>
      <c r="B40" s="19" t="inlineStr">
        <is>
          <t>VDY</t>
        </is>
      </c>
      <c r="C40" s="19" t="inlineStr">
        <is>
          <t>AA1</t>
        </is>
      </c>
      <c r="D40" s="19" t="inlineStr">
        <is>
          <t>G-I-SSS19</t>
        </is>
      </c>
      <c r="E40" s="19" t="inlineStr">
        <is>
          <t>Poste fictif Tau</t>
        </is>
      </c>
      <c r="F40" s="20" t="n">
        <v>1</v>
      </c>
      <c r="G40" s="20" t="n">
        <v>1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</row>
    <row r="41">
      <c r="A41" s="19" t="n">
        <v>2026</v>
      </c>
      <c r="B41" s="19" t="inlineStr">
        <is>
          <t>VDY</t>
        </is>
      </c>
      <c r="C41" s="19" t="inlineStr">
        <is>
          <t>AA3</t>
        </is>
      </c>
      <c r="D41" s="19" t="inlineStr">
        <is>
          <t>G-I-TTT20</t>
        </is>
      </c>
      <c r="E41" s="19" t="inlineStr">
        <is>
          <t>Poste fictif Upsilon</t>
        </is>
      </c>
      <c r="F41" s="20" t="n">
        <v>1</v>
      </c>
      <c r="G41" s="20" t="n">
        <v>1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</row>
    <row r="42">
      <c r="A42" s="19" t="n">
        <v>2026</v>
      </c>
      <c r="B42" s="19" t="inlineStr">
        <is>
          <t>VDY</t>
        </is>
      </c>
      <c r="C42" s="19" t="inlineStr">
        <is>
          <t>AA4</t>
        </is>
      </c>
      <c r="D42" s="19" t="inlineStr">
        <is>
          <t>G-I-UUU21</t>
        </is>
      </c>
      <c r="E42" s="19" t="inlineStr">
        <is>
          <t>Poste fictif Phi</t>
        </is>
      </c>
      <c r="F42" s="20" t="n">
        <v>1</v>
      </c>
      <c r="G42" s="20" t="n">
        <v>1</v>
      </c>
      <c r="H42" s="20" t="n">
        <v>0</v>
      </c>
      <c r="I42" s="20" t="n">
        <v>1</v>
      </c>
      <c r="J42" s="20" t="n">
        <v>0</v>
      </c>
      <c r="K42" s="20" t="n">
        <v>0</v>
      </c>
      <c r="L42" s="20" t="n">
        <v>0</v>
      </c>
      <c r="M42" s="20" t="n">
        <v>0</v>
      </c>
      <c r="N42" s="20" t="n">
        <v>0</v>
      </c>
      <c r="O42" s="20" t="n">
        <v>0</v>
      </c>
      <c r="P42" s="20" t="n">
        <v>0</v>
      </c>
    </row>
    <row r="43">
      <c r="A43" s="19" t="n">
        <v>2026</v>
      </c>
      <c r="B43" s="19" t="inlineStr">
        <is>
          <t>VRS</t>
        </is>
      </c>
      <c r="C43" s="19" t="inlineStr">
        <is>
          <t>AA1</t>
        </is>
      </c>
      <c r="D43" s="19" t="inlineStr">
        <is>
          <t>G-I-JJJ10</t>
        </is>
      </c>
      <c r="E43" s="19" t="inlineStr">
        <is>
          <t>Poste fictif Kappa</t>
        </is>
      </c>
      <c r="F43" s="20" t="n">
        <v>1</v>
      </c>
      <c r="G43" s="20" t="n">
        <v>1</v>
      </c>
      <c r="H43" s="20" t="n">
        <v>0</v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</row>
    <row r="44">
      <c r="A44" s="19" t="n">
        <v>2026</v>
      </c>
      <c r="B44" s="19" t="inlineStr">
        <is>
          <t>VRS</t>
        </is>
      </c>
      <c r="C44" s="19" t="inlineStr">
        <is>
          <t>AA3</t>
        </is>
      </c>
      <c r="D44" s="19" t="inlineStr">
        <is>
          <t>G-I-FFG32</t>
        </is>
      </c>
      <c r="E44" s="19" t="inlineStr">
        <is>
          <t>Poste fictif Theta II</t>
        </is>
      </c>
      <c r="F44" s="20" t="n">
        <v>1</v>
      </c>
      <c r="G44" s="20" t="n">
        <v>0</v>
      </c>
      <c r="H44" s="20" t="n">
        <v>0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  <c r="N44" s="20" t="n">
        <v>0</v>
      </c>
      <c r="O44" s="20" t="n">
        <v>0</v>
      </c>
      <c r="P44" s="20" t="n">
        <v>0</v>
      </c>
    </row>
    <row r="45">
      <c r="A45" s="19" t="n">
        <v>2026</v>
      </c>
      <c r="B45" s="19" t="inlineStr">
        <is>
          <t>VRS</t>
        </is>
      </c>
      <c r="C45" s="19" t="inlineStr">
        <is>
          <t>AA3</t>
        </is>
      </c>
      <c r="D45" s="19" t="inlineStr">
        <is>
          <t>G-I-KKK11</t>
        </is>
      </c>
      <c r="E45" s="19" t="inlineStr">
        <is>
          <t>Poste fictif Lambda</t>
        </is>
      </c>
      <c r="F45" s="20" t="n">
        <v>1</v>
      </c>
      <c r="G45" s="20" t="n">
        <v>0</v>
      </c>
      <c r="H45" s="20" t="n">
        <v>0</v>
      </c>
      <c r="I45" s="20" t="n">
        <v>0</v>
      </c>
      <c r="J45" s="20" t="n">
        <v>0</v>
      </c>
      <c r="K45" s="20" t="n">
        <v>0</v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</row>
    <row r="46">
      <c r="A46" s="19" t="n">
        <v>2026</v>
      </c>
      <c r="B46" s="19" t="inlineStr">
        <is>
          <t>VRS</t>
        </is>
      </c>
      <c r="C46" s="19" t="inlineStr">
        <is>
          <t>AA4</t>
        </is>
      </c>
      <c r="D46" s="19" t="inlineStr">
        <is>
          <t>G-I-LLL12</t>
        </is>
      </c>
      <c r="E46" s="19" t="inlineStr">
        <is>
          <t>Poste fictif Mu</t>
        </is>
      </c>
      <c r="F46" s="20" t="n">
        <v>1</v>
      </c>
      <c r="G46" s="20" t="n">
        <v>1</v>
      </c>
      <c r="H46" s="20" t="n">
        <v>0</v>
      </c>
      <c r="I46" s="20" t="n">
        <v>0</v>
      </c>
      <c r="J46" s="20" t="n">
        <v>0</v>
      </c>
      <c r="K46" s="20" t="n">
        <v>0</v>
      </c>
      <c r="L46" s="20" t="n">
        <v>0</v>
      </c>
      <c r="M46" s="20" t="n">
        <v>0</v>
      </c>
      <c r="N46" s="20" t="n">
        <v>0</v>
      </c>
      <c r="O46" s="20" t="n">
        <v>0</v>
      </c>
      <c r="P46" s="20" t="n">
        <v>0</v>
      </c>
    </row>
    <row r="47">
      <c r="A47" s="19" t="n">
        <v>2027</v>
      </c>
      <c r="B47" s="19" t="inlineStr">
        <is>
          <t>ALZ</t>
        </is>
      </c>
      <c r="C47" s="19" t="inlineStr">
        <is>
          <t>AA1</t>
        </is>
      </c>
      <c r="D47" s="19" t="inlineStr">
        <is>
          <t>G-I-PPP16</t>
        </is>
      </c>
      <c r="E47" s="19" t="inlineStr">
        <is>
          <t>Poste fictif Pi</t>
        </is>
      </c>
      <c r="F47" s="20" t="n">
        <v>2</v>
      </c>
      <c r="G47" s="20" t="n">
        <v>0</v>
      </c>
      <c r="H47" s="20" t="n">
        <v>0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</row>
    <row r="48">
      <c r="A48" s="19" t="n">
        <v>2027</v>
      </c>
      <c r="B48" s="19" t="inlineStr">
        <is>
          <t>ALZ</t>
        </is>
      </c>
      <c r="C48" s="19" t="inlineStr">
        <is>
          <t>AA3</t>
        </is>
      </c>
      <c r="D48" s="19" t="inlineStr">
        <is>
          <t>G-I-QQQ17</t>
        </is>
      </c>
      <c r="E48" s="19" t="inlineStr">
        <is>
          <t>Poste fictif Rho</t>
        </is>
      </c>
      <c r="F48" s="20" t="n">
        <v>1</v>
      </c>
      <c r="G48" s="20" t="n">
        <v>0</v>
      </c>
      <c r="H48" s="20" t="n">
        <v>0</v>
      </c>
      <c r="I48" s="20" t="n">
        <v>0</v>
      </c>
      <c r="J48" s="20" t="n">
        <v>0</v>
      </c>
      <c r="K48" s="20" t="n">
        <v>0</v>
      </c>
      <c r="L48" s="20" t="n">
        <v>0</v>
      </c>
      <c r="M48" s="20" t="n">
        <v>0</v>
      </c>
      <c r="N48" s="20" t="n">
        <v>0</v>
      </c>
      <c r="O48" s="20" t="n">
        <v>0</v>
      </c>
      <c r="P48" s="20" t="n">
        <v>0</v>
      </c>
    </row>
    <row r="49">
      <c r="A49" s="19" t="n">
        <v>2027</v>
      </c>
      <c r="B49" s="19" t="inlineStr">
        <is>
          <t>ALZ</t>
        </is>
      </c>
      <c r="C49" s="19" t="inlineStr">
        <is>
          <t>AA4</t>
        </is>
      </c>
      <c r="D49" s="19" t="inlineStr">
        <is>
          <t>G-I-RRR18</t>
        </is>
      </c>
      <c r="E49" s="19" t="inlineStr">
        <is>
          <t>Poste fictif Sigma</t>
        </is>
      </c>
      <c r="F49" s="20" t="n">
        <v>1</v>
      </c>
      <c r="G49" s="20" t="n">
        <v>0</v>
      </c>
      <c r="H49" s="20" t="n">
        <v>0</v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</row>
    <row r="50">
      <c r="A50" s="19" t="n">
        <v>2027</v>
      </c>
      <c r="B50" s="19" t="inlineStr">
        <is>
          <t>DEI</t>
        </is>
      </c>
      <c r="C50" s="19" t="inlineStr">
        <is>
          <t>AA1</t>
        </is>
      </c>
      <c r="D50" s="19" t="inlineStr">
        <is>
          <t>G-I-EEF31</t>
        </is>
      </c>
      <c r="E50" s="19" t="inlineStr">
        <is>
          <t>Poste fictif Eta II</t>
        </is>
      </c>
      <c r="F50" s="20" t="n">
        <v>0</v>
      </c>
      <c r="G50" s="20" t="n">
        <v>1</v>
      </c>
      <c r="H50" s="20" t="n">
        <v>0</v>
      </c>
      <c r="I50" s="20" t="n">
        <v>1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0</v>
      </c>
      <c r="O50" s="20" t="n">
        <v>0</v>
      </c>
      <c r="P50" s="20" t="n">
        <v>0</v>
      </c>
    </row>
    <row r="51">
      <c r="A51" s="19" t="n">
        <v>2027</v>
      </c>
      <c r="B51" s="19" t="inlineStr">
        <is>
          <t>DEI</t>
        </is>
      </c>
      <c r="C51" s="19" t="inlineStr">
        <is>
          <t>AA1</t>
        </is>
      </c>
      <c r="D51" s="19" t="inlineStr">
        <is>
          <t>G-I-VVV22</t>
        </is>
      </c>
      <c r="E51" s="19" t="inlineStr">
        <is>
          <t>Poste fictif Chi</t>
        </is>
      </c>
      <c r="F51" s="20" t="n">
        <v>1</v>
      </c>
      <c r="G51" s="20" t="n">
        <v>0</v>
      </c>
      <c r="H51" s="20" t="n">
        <v>0</v>
      </c>
      <c r="I51" s="20" t="n">
        <v>0</v>
      </c>
      <c r="J51" s="20" t="n">
        <v>1</v>
      </c>
      <c r="K51" s="20" t="n">
        <v>0</v>
      </c>
      <c r="L51" s="20" t="n">
        <v>0</v>
      </c>
      <c r="M51" s="20" t="n">
        <v>0</v>
      </c>
      <c r="N51" s="20" t="n">
        <v>1</v>
      </c>
      <c r="O51" s="20" t="n">
        <v>0</v>
      </c>
      <c r="P51" s="20" t="n">
        <v>0</v>
      </c>
    </row>
    <row r="52">
      <c r="A52" s="19" t="n">
        <v>2027</v>
      </c>
      <c r="B52" s="19" t="inlineStr">
        <is>
          <t>DEI</t>
        </is>
      </c>
      <c r="C52" s="19" t="inlineStr">
        <is>
          <t>AA3</t>
        </is>
      </c>
      <c r="D52" s="19" t="inlineStr">
        <is>
          <t>G-I-WWW23</t>
        </is>
      </c>
      <c r="E52" s="19" t="inlineStr">
        <is>
          <t>Poste fictif Psi</t>
        </is>
      </c>
      <c r="F52" s="20" t="n">
        <v>1</v>
      </c>
      <c r="G52" s="20" t="n">
        <v>1</v>
      </c>
      <c r="H52" s="20" t="n">
        <v>0</v>
      </c>
      <c r="I52" s="20" t="n">
        <v>0</v>
      </c>
      <c r="J52" s="20" t="n">
        <v>0</v>
      </c>
      <c r="K52" s="20" t="n">
        <v>0</v>
      </c>
      <c r="L52" s="20" t="n">
        <v>0</v>
      </c>
      <c r="M52" s="20" t="n">
        <v>0</v>
      </c>
      <c r="N52" s="20" t="n">
        <v>0</v>
      </c>
      <c r="O52" s="20" t="n">
        <v>0</v>
      </c>
      <c r="P52" s="20" t="n">
        <v>0</v>
      </c>
    </row>
    <row r="53">
      <c r="A53" s="19" t="n">
        <v>2027</v>
      </c>
      <c r="B53" s="19" t="inlineStr">
        <is>
          <t>DEI</t>
        </is>
      </c>
      <c r="C53" s="19" t="inlineStr">
        <is>
          <t>AA4</t>
        </is>
      </c>
      <c r="D53" s="19" t="inlineStr">
        <is>
          <t>G-I-XXX24</t>
        </is>
      </c>
      <c r="E53" s="19" t="inlineStr">
        <is>
          <t>Poste fictif Omega</t>
        </is>
      </c>
      <c r="F53" s="20" t="n">
        <v>1</v>
      </c>
      <c r="G53" s="20" t="n">
        <v>1</v>
      </c>
      <c r="H53" s="20" t="n">
        <v>0</v>
      </c>
      <c r="I53" s="20" t="n">
        <v>0</v>
      </c>
      <c r="J53" s="20" t="n">
        <v>1</v>
      </c>
      <c r="K53" s="20" t="n">
        <v>0</v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</row>
    <row r="54">
      <c r="A54" s="19" t="n">
        <v>2027</v>
      </c>
      <c r="B54" s="19" t="inlineStr">
        <is>
          <t>LRO</t>
        </is>
      </c>
      <c r="C54" s="19" t="inlineStr">
        <is>
          <t>AA1</t>
        </is>
      </c>
      <c r="D54" s="19" t="inlineStr">
        <is>
          <t>G-I-MMN13</t>
        </is>
      </c>
      <c r="E54" s="19" t="inlineStr">
        <is>
          <t>Poste fictif Nu</t>
        </is>
      </c>
      <c r="F54" s="20" t="n">
        <v>1</v>
      </c>
      <c r="G54" s="20" t="n">
        <v>1</v>
      </c>
      <c r="H54" s="20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</row>
    <row r="55">
      <c r="A55" s="19" t="n">
        <v>2027</v>
      </c>
      <c r="B55" s="19" t="inlineStr">
        <is>
          <t>LRO</t>
        </is>
      </c>
      <c r="C55" s="19" t="inlineStr">
        <is>
          <t>AA3</t>
        </is>
      </c>
      <c r="D55" s="19" t="inlineStr">
        <is>
          <t>G-I-NNN14</t>
        </is>
      </c>
      <c r="E55" s="19" t="inlineStr">
        <is>
          <t>Poste fictif Xi</t>
        </is>
      </c>
      <c r="F55" s="20" t="n">
        <v>1</v>
      </c>
      <c r="G55" s="20" t="n">
        <v>0</v>
      </c>
      <c r="H55" s="20" t="n">
        <v>0</v>
      </c>
      <c r="I55" s="20" t="n">
        <v>0</v>
      </c>
      <c r="J55" s="20" t="n">
        <v>1</v>
      </c>
      <c r="K55" s="20" t="n">
        <v>0</v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</row>
    <row r="56">
      <c r="A56" s="19" t="n">
        <v>2027</v>
      </c>
      <c r="B56" s="19" t="inlineStr">
        <is>
          <t>RNA</t>
        </is>
      </c>
      <c r="C56" s="19" t="inlineStr">
        <is>
          <t>AA1</t>
        </is>
      </c>
      <c r="D56" s="19" t="inlineStr">
        <is>
          <t>G-I-GGG07</t>
        </is>
      </c>
      <c r="E56" s="19" t="inlineStr">
        <is>
          <t>Poste fictif Eta</t>
        </is>
      </c>
      <c r="F56" s="20" t="n">
        <v>1</v>
      </c>
      <c r="G56" s="20" t="n">
        <v>2</v>
      </c>
      <c r="H56" s="20" t="n">
        <v>1</v>
      </c>
      <c r="I56" s="20" t="n">
        <v>1</v>
      </c>
      <c r="J56" s="20" t="n">
        <v>0</v>
      </c>
      <c r="K56" s="20" t="n">
        <v>0</v>
      </c>
      <c r="L56" s="20" t="n">
        <v>0</v>
      </c>
      <c r="M56" s="20" t="n">
        <v>0</v>
      </c>
      <c r="N56" s="20" t="n">
        <v>0</v>
      </c>
      <c r="O56" s="20" t="n">
        <v>0</v>
      </c>
      <c r="P56" s="20" t="n">
        <v>0</v>
      </c>
    </row>
    <row r="57">
      <c r="A57" s="19" t="n">
        <v>2027</v>
      </c>
      <c r="B57" s="19" t="inlineStr">
        <is>
          <t>RNA</t>
        </is>
      </c>
      <c r="C57" s="19" t="inlineStr">
        <is>
          <t>AA1</t>
        </is>
      </c>
      <c r="D57" s="19" t="inlineStr">
        <is>
          <t>G-I-IIJ35</t>
        </is>
      </c>
      <c r="E57" s="19" t="inlineStr">
        <is>
          <t>Poste fictif Lambda II</t>
        </is>
      </c>
      <c r="F57" s="20" t="n">
        <v>1</v>
      </c>
      <c r="G57" s="20" t="n">
        <v>0</v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</row>
    <row r="58">
      <c r="A58" s="19" t="n">
        <v>2027</v>
      </c>
      <c r="B58" s="19" t="inlineStr">
        <is>
          <t>RNA</t>
        </is>
      </c>
      <c r="C58" s="19" t="inlineStr">
        <is>
          <t>AA3</t>
        </is>
      </c>
      <c r="D58" s="19" t="inlineStr">
        <is>
          <t>G-I-HHH08</t>
        </is>
      </c>
      <c r="E58" s="19" t="inlineStr">
        <is>
          <t>Poste fictif Theta</t>
        </is>
      </c>
      <c r="F58" s="20" t="n">
        <v>1</v>
      </c>
      <c r="G58" s="20" t="n">
        <v>0</v>
      </c>
      <c r="H58" s="20" t="n">
        <v>0</v>
      </c>
      <c r="I58" s="20" t="n">
        <v>0</v>
      </c>
      <c r="J58" s="20" t="n">
        <v>0</v>
      </c>
      <c r="K58" s="20" t="n">
        <v>1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</row>
    <row r="59">
      <c r="A59" s="19" t="n">
        <v>2027</v>
      </c>
      <c r="B59" s="19" t="inlineStr">
        <is>
          <t>SET</t>
        </is>
      </c>
      <c r="C59" s="19" t="inlineStr">
        <is>
          <t>AA1</t>
        </is>
      </c>
      <c r="D59" s="19" t="inlineStr">
        <is>
          <t>G-I-AAA01</t>
        </is>
      </c>
      <c r="E59" s="19" t="inlineStr">
        <is>
          <t>Poste fictif Alpha</t>
        </is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</v>
      </c>
      <c r="K59" s="20" t="n">
        <v>1</v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</row>
    <row r="60">
      <c r="A60" s="19" t="n">
        <v>2027</v>
      </c>
      <c r="B60" s="19" t="inlineStr">
        <is>
          <t>SET</t>
        </is>
      </c>
      <c r="C60" s="19" t="inlineStr">
        <is>
          <t>AA3</t>
        </is>
      </c>
      <c r="D60" s="19" t="inlineStr">
        <is>
          <t>G-I-BBB02</t>
        </is>
      </c>
      <c r="E60" s="19" t="inlineStr">
        <is>
          <t>Poste fictif Beta</t>
        </is>
      </c>
      <c r="F60" s="20" t="n">
        <v>1</v>
      </c>
      <c r="G60" s="20" t="n">
        <v>1</v>
      </c>
      <c r="H60" s="20" t="n">
        <v>1</v>
      </c>
      <c r="I60" s="20" t="n">
        <v>1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</row>
    <row r="61">
      <c r="A61" s="19" t="n">
        <v>2027</v>
      </c>
      <c r="B61" s="19" t="inlineStr">
        <is>
          <t>SET</t>
        </is>
      </c>
      <c r="C61" s="19" t="inlineStr">
        <is>
          <t>AA3</t>
        </is>
      </c>
      <c r="D61" s="19" t="inlineStr">
        <is>
          <t>G-I-GGH33</t>
        </is>
      </c>
      <c r="E61" s="19" t="inlineStr">
        <is>
          <t>Poste fictif Iota II</t>
        </is>
      </c>
      <c r="F61" s="20" t="n">
        <v>1</v>
      </c>
      <c r="G61" s="20" t="n">
        <v>1</v>
      </c>
      <c r="H61" s="20" t="n">
        <v>0</v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</row>
    <row r="62">
      <c r="A62" s="19" t="n">
        <v>2027</v>
      </c>
      <c r="B62" s="19" t="inlineStr">
        <is>
          <t>SET</t>
        </is>
      </c>
      <c r="C62" s="19" t="inlineStr">
        <is>
          <t>AA4</t>
        </is>
      </c>
      <c r="D62" s="19" t="inlineStr">
        <is>
          <t>G-I-CCC03</t>
        </is>
      </c>
      <c r="E62" s="19" t="inlineStr">
        <is>
          <t>Poste fictif Gamma</t>
        </is>
      </c>
      <c r="F62" s="20" t="n">
        <v>1</v>
      </c>
      <c r="G62" s="20" t="n">
        <v>0</v>
      </c>
      <c r="H62" s="20" t="n">
        <v>0</v>
      </c>
      <c r="I62" s="20" t="n">
        <v>0</v>
      </c>
      <c r="J62" s="20" t="n">
        <v>0</v>
      </c>
      <c r="K62" s="20" t="n">
        <v>0</v>
      </c>
      <c r="L62" s="20" t="n">
        <v>0</v>
      </c>
      <c r="M62" s="20" t="n">
        <v>0</v>
      </c>
      <c r="N62" s="20" t="n">
        <v>0</v>
      </c>
      <c r="O62" s="20" t="n">
        <v>0</v>
      </c>
      <c r="P62" s="20" t="n">
        <v>0</v>
      </c>
    </row>
    <row r="63">
      <c r="A63" s="19" t="n">
        <v>2027</v>
      </c>
      <c r="B63" s="19" t="inlineStr">
        <is>
          <t>SHL</t>
        </is>
      </c>
      <c r="C63" s="19" t="inlineStr">
        <is>
          <t>AA1</t>
        </is>
      </c>
      <c r="D63" s="19" t="inlineStr">
        <is>
          <t>G-I-YYY25</t>
        </is>
      </c>
      <c r="E63" s="19" t="inlineStr">
        <is>
          <t>Poste fictif Alpha II</t>
        </is>
      </c>
      <c r="F63" s="20" t="n">
        <v>1</v>
      </c>
      <c r="G63" s="20" t="n">
        <v>0</v>
      </c>
      <c r="H63" s="20" t="n">
        <v>0</v>
      </c>
      <c r="I63" s="20" t="n">
        <v>0</v>
      </c>
      <c r="J63" s="20" t="n">
        <v>0</v>
      </c>
      <c r="K63" s="20" t="n">
        <v>0</v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</row>
    <row r="64">
      <c r="A64" s="19" t="n">
        <v>2027</v>
      </c>
      <c r="B64" s="19" t="inlineStr">
        <is>
          <t>SHL</t>
        </is>
      </c>
      <c r="C64" s="19" t="inlineStr">
        <is>
          <t>AA4</t>
        </is>
      </c>
      <c r="D64" s="19" t="inlineStr">
        <is>
          <t>G-I-AAB27</t>
        </is>
      </c>
      <c r="E64" s="19" t="inlineStr">
        <is>
          <t>Poste fictif Gamma II</t>
        </is>
      </c>
      <c r="F64" s="20" t="n">
        <v>1</v>
      </c>
      <c r="G64" s="20" t="n">
        <v>0</v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</row>
    <row r="65">
      <c r="A65" s="19" t="n">
        <v>2027</v>
      </c>
      <c r="B65" s="19" t="inlineStr">
        <is>
          <t>SPS</t>
        </is>
      </c>
      <c r="C65" s="19" t="inlineStr">
        <is>
          <t>AA1</t>
        </is>
      </c>
      <c r="D65" s="19" t="inlineStr">
        <is>
          <t>G-I-DDD04</t>
        </is>
      </c>
      <c r="E65" s="19" t="inlineStr">
        <is>
          <t>Poste fictif Delta</t>
        </is>
      </c>
      <c r="F65" s="20" t="n">
        <v>2</v>
      </c>
      <c r="G65" s="20" t="n">
        <v>0</v>
      </c>
      <c r="H65" s="20" t="n">
        <v>0</v>
      </c>
      <c r="I65" s="20" t="n">
        <v>0</v>
      </c>
      <c r="J65" s="20" t="n">
        <v>0</v>
      </c>
      <c r="K65" s="20" t="n">
        <v>0</v>
      </c>
      <c r="L65" s="20" t="n">
        <v>1</v>
      </c>
      <c r="M65" s="20" t="n">
        <v>0</v>
      </c>
      <c r="N65" s="20" t="n">
        <v>0</v>
      </c>
      <c r="O65" s="20" t="n">
        <v>0</v>
      </c>
      <c r="P65" s="20" t="n">
        <v>0</v>
      </c>
    </row>
    <row r="66">
      <c r="A66" s="19" t="n">
        <v>2027</v>
      </c>
      <c r="B66" s="19" t="inlineStr">
        <is>
          <t>SPS</t>
        </is>
      </c>
      <c r="C66" s="19" t="inlineStr">
        <is>
          <t>AA3</t>
        </is>
      </c>
      <c r="D66" s="19" t="inlineStr">
        <is>
          <t>G-I-EEE05</t>
        </is>
      </c>
      <c r="E66" s="19" t="inlineStr">
        <is>
          <t>Poste fictif Epsilon</t>
        </is>
      </c>
      <c r="F66" s="20" t="n">
        <v>1</v>
      </c>
      <c r="G66" s="20" t="n">
        <v>0</v>
      </c>
      <c r="H66" s="20" t="n">
        <v>0</v>
      </c>
      <c r="I66" s="20" t="n">
        <v>0</v>
      </c>
      <c r="J66" s="20" t="n">
        <v>0</v>
      </c>
      <c r="K66" s="20" t="n">
        <v>0</v>
      </c>
      <c r="L66" s="20" t="n">
        <v>0</v>
      </c>
      <c r="M66" s="20" t="n">
        <v>0</v>
      </c>
      <c r="N66" s="20" t="n">
        <v>0</v>
      </c>
      <c r="O66" s="20" t="n">
        <v>0</v>
      </c>
      <c r="P66" s="20" t="n">
        <v>0</v>
      </c>
    </row>
    <row r="67">
      <c r="A67" s="19" t="n">
        <v>2027</v>
      </c>
      <c r="B67" s="19" t="inlineStr">
        <is>
          <t>SPS</t>
        </is>
      </c>
      <c r="C67" s="19" t="inlineStr">
        <is>
          <t>AA4</t>
        </is>
      </c>
      <c r="D67" s="19" t="inlineStr">
        <is>
          <t>G-I-FFF06</t>
        </is>
      </c>
      <c r="E67" s="19" t="inlineStr">
        <is>
          <t>Poste fictif Zeta</t>
        </is>
      </c>
      <c r="F67" s="20" t="n">
        <v>1</v>
      </c>
      <c r="G67" s="20" t="n">
        <v>0</v>
      </c>
      <c r="H67" s="20" t="n">
        <v>0</v>
      </c>
      <c r="I67" s="20" t="n">
        <v>0</v>
      </c>
      <c r="J67" s="20" t="n">
        <v>1</v>
      </c>
      <c r="K67" s="20" t="n">
        <v>0</v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</row>
    <row r="68">
      <c r="A68" s="19" t="n">
        <v>2027</v>
      </c>
      <c r="B68" s="19" t="inlineStr">
        <is>
          <t>SVI</t>
        </is>
      </c>
      <c r="C68" s="19" t="inlineStr">
        <is>
          <t>AA1</t>
        </is>
      </c>
      <c r="D68" s="19" t="inlineStr">
        <is>
          <t>G-I-BBC28</t>
        </is>
      </c>
      <c r="E68" s="19" t="inlineStr">
        <is>
          <t>Poste fictif Delta II</t>
        </is>
      </c>
      <c r="F68" s="20" t="n">
        <v>1</v>
      </c>
      <c r="G68" s="20" t="n">
        <v>1</v>
      </c>
      <c r="H68" s="20" t="n">
        <v>0</v>
      </c>
      <c r="I68" s="20" t="n">
        <v>1</v>
      </c>
      <c r="J68" s="20" t="n">
        <v>1</v>
      </c>
      <c r="K68" s="20" t="n">
        <v>0</v>
      </c>
      <c r="L68" s="20" t="n">
        <v>0</v>
      </c>
      <c r="M68" s="20" t="n">
        <v>0</v>
      </c>
      <c r="N68" s="20" t="n">
        <v>0</v>
      </c>
      <c r="O68" s="20" t="n">
        <v>0</v>
      </c>
      <c r="P68" s="20" t="n">
        <v>0</v>
      </c>
    </row>
    <row r="69">
      <c r="A69" s="19" t="n">
        <v>2027</v>
      </c>
      <c r="B69" s="19" t="inlineStr">
        <is>
          <t>SVI</t>
        </is>
      </c>
      <c r="C69" s="19" t="inlineStr">
        <is>
          <t>AA3</t>
        </is>
      </c>
      <c r="D69" s="19" t="inlineStr">
        <is>
          <t>G-I-CCD29</t>
        </is>
      </c>
      <c r="E69" s="19" t="inlineStr">
        <is>
          <t>Poste fictif Epsilon II</t>
        </is>
      </c>
      <c r="F69" s="20" t="n">
        <v>1</v>
      </c>
      <c r="G69" s="20" t="n">
        <v>1</v>
      </c>
      <c r="H69" s="20" t="n">
        <v>0</v>
      </c>
      <c r="I69" s="20" t="n">
        <v>1</v>
      </c>
      <c r="J69" s="20" t="n">
        <v>1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</row>
    <row r="70">
      <c r="A70" s="19" t="n">
        <v>2027</v>
      </c>
      <c r="B70" s="19" t="inlineStr">
        <is>
          <t>SVI</t>
        </is>
      </c>
      <c r="C70" s="19" t="inlineStr">
        <is>
          <t>AA4</t>
        </is>
      </c>
      <c r="D70" s="19" t="inlineStr">
        <is>
          <t>G-I-DDE30</t>
        </is>
      </c>
      <c r="E70" s="19" t="inlineStr">
        <is>
          <t>Poste fictif Zeta II</t>
        </is>
      </c>
      <c r="F70" s="20" t="n">
        <v>1</v>
      </c>
      <c r="G70" s="20" t="n">
        <v>0</v>
      </c>
      <c r="H70" s="20" t="n">
        <v>0</v>
      </c>
      <c r="I70" s="20" t="n">
        <v>0</v>
      </c>
      <c r="J70" s="20" t="n">
        <v>1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</row>
    <row r="71">
      <c r="A71" s="19" t="n">
        <v>2027</v>
      </c>
      <c r="B71" s="19" t="inlineStr">
        <is>
          <t>SVI</t>
        </is>
      </c>
      <c r="C71" s="19" t="inlineStr">
        <is>
          <t>AA4</t>
        </is>
      </c>
      <c r="D71" s="19" t="inlineStr">
        <is>
          <t>G-I-JJK36</t>
        </is>
      </c>
      <c r="E71" s="19" t="inlineStr">
        <is>
          <t>Poste fictif Mu II</t>
        </is>
      </c>
      <c r="F71" s="20" t="n">
        <v>1</v>
      </c>
      <c r="G71" s="20" t="n">
        <v>1</v>
      </c>
      <c r="H71" s="20" t="n">
        <v>0</v>
      </c>
      <c r="I71" s="20" t="n">
        <v>0</v>
      </c>
      <c r="J71" s="20" t="n">
        <v>0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</row>
    <row r="72">
      <c r="A72" s="19" t="n">
        <v>2027</v>
      </c>
      <c r="B72" s="19" t="inlineStr">
        <is>
          <t>VDY</t>
        </is>
      </c>
      <c r="C72" s="19" t="inlineStr">
        <is>
          <t>AA1</t>
        </is>
      </c>
      <c r="D72" s="19" t="inlineStr">
        <is>
          <t>G-I-SSS19</t>
        </is>
      </c>
      <c r="E72" s="19" t="inlineStr">
        <is>
          <t>Poste fictif Tau</t>
        </is>
      </c>
      <c r="F72" s="20" t="n">
        <v>1</v>
      </c>
      <c r="G72" s="20" t="n">
        <v>0</v>
      </c>
      <c r="H72" s="20" t="n">
        <v>0</v>
      </c>
      <c r="I72" s="20" t="n">
        <v>0</v>
      </c>
      <c r="J72" s="20" t="n">
        <v>0</v>
      </c>
      <c r="K72" s="20" t="n">
        <v>0</v>
      </c>
      <c r="L72" s="20" t="n">
        <v>0</v>
      </c>
      <c r="M72" s="20" t="n">
        <v>0</v>
      </c>
      <c r="N72" s="20" t="n">
        <v>0</v>
      </c>
      <c r="O72" s="20" t="n">
        <v>0</v>
      </c>
      <c r="P72" s="20" t="n">
        <v>0</v>
      </c>
    </row>
    <row r="73">
      <c r="A73" s="19" t="n">
        <v>2027</v>
      </c>
      <c r="B73" s="19" t="inlineStr">
        <is>
          <t>VDY</t>
        </is>
      </c>
      <c r="C73" s="19" t="inlineStr">
        <is>
          <t>AA3</t>
        </is>
      </c>
      <c r="D73" s="19" t="inlineStr">
        <is>
          <t>G-I-TTT20</t>
        </is>
      </c>
      <c r="E73" s="19" t="inlineStr">
        <is>
          <t>Poste fictif Upsilon</t>
        </is>
      </c>
      <c r="F73" s="20" t="n">
        <v>1</v>
      </c>
      <c r="G73" s="20" t="n">
        <v>0</v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</row>
    <row r="74">
      <c r="A74" s="19" t="n">
        <v>2027</v>
      </c>
      <c r="B74" s="19" t="inlineStr">
        <is>
          <t>VRS</t>
        </is>
      </c>
      <c r="C74" s="19" t="inlineStr">
        <is>
          <t>AA1</t>
        </is>
      </c>
      <c r="D74" s="19" t="inlineStr">
        <is>
          <t>G-I-JJJ10</t>
        </is>
      </c>
      <c r="E74" s="19" t="inlineStr">
        <is>
          <t>Poste fictif Kappa</t>
        </is>
      </c>
      <c r="F74" s="20" t="n">
        <v>2</v>
      </c>
      <c r="G74" s="20" t="n">
        <v>0</v>
      </c>
      <c r="H74" s="20" t="n">
        <v>0</v>
      </c>
      <c r="I74" s="20" t="n">
        <v>0</v>
      </c>
      <c r="J74" s="20" t="n">
        <v>0</v>
      </c>
      <c r="K74" s="20" t="n">
        <v>0</v>
      </c>
      <c r="L74" s="20" t="n">
        <v>0</v>
      </c>
      <c r="M74" s="20" t="n">
        <v>0</v>
      </c>
      <c r="N74" s="20" t="n">
        <v>0</v>
      </c>
      <c r="O74" s="20" t="n">
        <v>1</v>
      </c>
      <c r="P74" s="20" t="n">
        <v>0</v>
      </c>
    </row>
    <row r="75">
      <c r="A75" s="19" t="n">
        <v>2027</v>
      </c>
      <c r="B75" s="19" t="inlineStr">
        <is>
          <t>VRS</t>
        </is>
      </c>
      <c r="C75" s="19" t="inlineStr">
        <is>
          <t>AA3</t>
        </is>
      </c>
      <c r="D75" s="19" t="inlineStr">
        <is>
          <t>G-I-FFG32</t>
        </is>
      </c>
      <c r="E75" s="19" t="inlineStr">
        <is>
          <t>Poste fictif Theta II</t>
        </is>
      </c>
      <c r="F75" s="20" t="n">
        <v>1</v>
      </c>
      <c r="G75" s="20" t="n">
        <v>1</v>
      </c>
      <c r="H75" s="20" t="n">
        <v>0</v>
      </c>
      <c r="I75" s="20" t="n">
        <v>0</v>
      </c>
      <c r="J75" s="20" t="n">
        <v>0</v>
      </c>
      <c r="K75" s="20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</row>
    <row r="76">
      <c r="A76" s="19" t="n">
        <v>2027</v>
      </c>
      <c r="B76" s="19" t="inlineStr">
        <is>
          <t>VRS</t>
        </is>
      </c>
      <c r="C76" s="19" t="inlineStr">
        <is>
          <t>AA3</t>
        </is>
      </c>
      <c r="D76" s="19" t="inlineStr">
        <is>
          <t>G-I-KKK11</t>
        </is>
      </c>
      <c r="E76" s="19" t="inlineStr">
        <is>
          <t>Poste fictif Lambda</t>
        </is>
      </c>
      <c r="F76" s="20" t="n">
        <v>1</v>
      </c>
      <c r="G76" s="20" t="n">
        <v>0</v>
      </c>
      <c r="H76" s="20" t="n">
        <v>0</v>
      </c>
      <c r="I76" s="20" t="n">
        <v>0</v>
      </c>
      <c r="J76" s="20" t="n">
        <v>0</v>
      </c>
      <c r="K76" s="20" t="n">
        <v>0</v>
      </c>
      <c r="L76" s="20" t="n">
        <v>0</v>
      </c>
      <c r="M76" s="20" t="n">
        <v>1</v>
      </c>
      <c r="N76" s="20" t="n">
        <v>0</v>
      </c>
      <c r="O76" s="20" t="n">
        <v>0</v>
      </c>
      <c r="P76" s="20" t="n">
        <v>0</v>
      </c>
    </row>
    <row r="77">
      <c r="A77" s="19" t="n">
        <v>2027</v>
      </c>
      <c r="B77" s="19" t="inlineStr">
        <is>
          <t>VRS</t>
        </is>
      </c>
      <c r="C77" s="19" t="inlineStr">
        <is>
          <t>AA4</t>
        </is>
      </c>
      <c r="D77" s="19" t="inlineStr">
        <is>
          <t>G-I-LLL12</t>
        </is>
      </c>
      <c r="E77" s="19" t="inlineStr">
        <is>
          <t>Poste fictif Mu</t>
        </is>
      </c>
      <c r="F77" s="20" t="n">
        <v>1</v>
      </c>
      <c r="G77" s="20" t="n">
        <v>0</v>
      </c>
      <c r="H77" s="20" t="n">
        <v>0</v>
      </c>
      <c r="I77" s="20" t="n">
        <v>0</v>
      </c>
      <c r="J77" s="20" t="n">
        <v>0</v>
      </c>
      <c r="K77" s="20" t="n">
        <v>0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1</v>
      </c>
    </row>
    <row r="78">
      <c r="A78" s="21" t="inlineStr">
        <is>
          <t>Total</t>
        </is>
      </c>
      <c r="B78" s="21" t="n"/>
      <c r="C78" s="21" t="n"/>
      <c r="D78" s="21" t="n"/>
      <c r="E78" s="21" t="n"/>
      <c r="F78" s="22" t="n">
        <v>64</v>
      </c>
      <c r="G78" s="22" t="n">
        <v>28</v>
      </c>
      <c r="H78" s="22" t="n">
        <v>4</v>
      </c>
      <c r="I78" s="22" t="n">
        <v>9</v>
      </c>
      <c r="J78" s="22" t="n">
        <v>12</v>
      </c>
      <c r="K78" s="22" t="n">
        <v>2</v>
      </c>
      <c r="L78" s="22" t="n">
        <v>1</v>
      </c>
      <c r="M78" s="22" t="n">
        <v>1</v>
      </c>
      <c r="N78" s="22" t="n">
        <v>1</v>
      </c>
      <c r="O78" s="22" t="n">
        <v>1</v>
      </c>
      <c r="P78" s="22" t="n">
        <v>1</v>
      </c>
    </row>
  </sheetData>
  <mergeCells count="1">
    <mergeCell ref="A10:P10"/>
  </mergeCells>
  <conditionalFormatting sqref="F14:AZ3012">
    <cfRule type="expression" priority="1" dxfId="2">
      <formula>F14&amp;""="0"</formula>
    </cfRule>
  </conditionalFormatting>
  <pageMargins left="0.4" right="0.4" top="1" bottom="1" header="0.5" footer="0.5"/>
  <pageSetup orientation="landscape" paperSize="9" fitToHeight="0" fitToWidth="1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drawing xmlns:r="http://schemas.openxmlformats.org/officeDocument/2006/relationships" r:id="rId1"/>
  <extLst>
    <ext xmlns:x14="http://schemas.microsoft.com/office/spreadsheetml/2009/9/main" uri="{A8765BA9-456A-4dab-B4F3-ACF838C121DE}">
      <x14:slicerList>
        <x14:slicer xmlns:r="http://schemas.openxmlformats.org/officeDocument/2006/relationships" r:id="rId4"/>
      </x14:slicerList>
    </ext>
  </extLst>
</worksheet>
</file>

<file path=xl/worksheets/sheet3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AL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6" customWidth="1" min="8" max="8"/>
    <col width="40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0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34" customWidth="1" min="34" max="34"/>
    <col width="12" customWidth="1" min="35" max="35"/>
    <col width="12" customWidth="1" min="36" max="36"/>
    <col width="18" customWidth="1" min="37" max="37"/>
    <col width="17" customWidth="1" min="38" max="38"/>
  </cols>
  <sheetData>
    <row r="1" ht="32" customHeight="1">
      <c r="A1" s="11" t="inlineStr">
        <is>
          <t>Ordre</t>
        </is>
      </c>
      <c r="B1" s="11" t="inlineStr">
        <is>
          <t>Ordre supérieur</t>
        </is>
      </c>
      <c r="C1" s="11" t="inlineStr">
        <is>
          <t>Site</t>
        </is>
      </c>
      <c r="D1" s="11" t="inlineStr">
        <is>
          <t>Équipe</t>
        </is>
      </c>
      <c r="E1" s="11" t="inlineStr">
        <is>
          <t>Code poste</t>
        </is>
      </c>
      <c r="F1" s="11" t="inlineStr">
        <is>
          <t>Code site</t>
        </is>
      </c>
      <c r="G1" s="11" t="inlineStr">
        <is>
          <t>Poste technique</t>
        </is>
      </c>
      <c r="H1" s="11" t="inlineStr">
        <is>
          <t>Désign.poste techn.</t>
        </is>
      </c>
      <c r="I1" s="11" t="inlineStr">
        <is>
          <t>Désignation</t>
        </is>
      </c>
      <c r="J1" s="11" t="inlineStr">
        <is>
          <t>Date début planifiée</t>
        </is>
      </c>
      <c r="K1" s="11" t="inlineStr">
        <is>
          <t>Année planifiée</t>
        </is>
      </c>
      <c r="L1" s="11" t="inlineStr">
        <is>
          <t>Activité source</t>
        </is>
      </c>
      <c r="M1" s="11" t="inlineStr">
        <is>
          <t>Activité atomique</t>
        </is>
      </c>
      <c r="N1" s="11" t="inlineStr">
        <is>
          <t>Typologie</t>
        </is>
      </c>
      <c r="O1" s="11" t="inlineStr">
        <is>
          <t>Statut utilisateur</t>
        </is>
      </c>
      <c r="P1" s="11" t="inlineStr">
        <is>
          <t>Statut système</t>
        </is>
      </c>
      <c r="Q1" s="11" t="inlineStr">
        <is>
          <t>Équipement</t>
        </is>
      </c>
      <c r="R1" s="11" t="inlineStr">
        <is>
          <t>Créé le</t>
        </is>
      </c>
      <c r="S1" s="11" t="inlineStr">
        <is>
          <t>Date modif. fiche ordre</t>
        </is>
      </c>
      <c r="T1" s="11" t="inlineStr">
        <is>
          <t>Désignation du poste</t>
        </is>
      </c>
      <c r="U1" s="11" t="inlineStr">
        <is>
          <t>Groupe gestionnaires</t>
        </is>
      </c>
      <c r="V1" s="11" t="inlineStr">
        <is>
          <t>Poste travail princ.</t>
        </is>
      </c>
      <c r="W1" s="11" t="inlineStr">
        <is>
          <t>Type d'ordre</t>
        </is>
      </c>
      <c r="X1" s="11" t="inlineStr">
        <is>
          <t>Type de travail</t>
        </is>
      </c>
      <c r="Y1" s="11" t="inlineStr">
        <is>
          <t>Avis</t>
        </is>
      </c>
      <c r="Z1" s="11" t="inlineStr">
        <is>
          <t>Saisi par</t>
        </is>
      </c>
      <c r="AA1" s="11" t="inlineStr">
        <is>
          <t>Total coûts réels</t>
        </is>
      </c>
      <c r="AB1" s="11" t="inlineStr">
        <is>
          <t>Secteur exploitation</t>
        </is>
      </c>
      <c r="AC1" s="11" t="inlineStr">
        <is>
          <t>Groupe de gamme principale</t>
        </is>
      </c>
      <c r="AD1" s="11" t="inlineStr">
        <is>
          <t>Compteur de groupe de gamme principale</t>
        </is>
      </c>
      <c r="AE1" s="11" t="inlineStr">
        <is>
          <t>Source code poste</t>
        </is>
      </c>
      <c r="AF1" s="11" t="inlineStr">
        <is>
          <t>Activité reconstruite (secours)</t>
        </is>
      </c>
      <c r="AG1" s="11" t="inlineStr">
        <is>
          <t>Compte OT</t>
        </is>
      </c>
      <c r="AH1" s="11" t="inlineStr">
        <is>
          <t>Contrôle qualité</t>
        </is>
      </c>
      <c r="AI1" s="11" t="inlineStr">
        <is>
          <t>Ligne export</t>
        </is>
      </c>
      <c r="AJ1" s="11" t="inlineStr">
        <is>
          <t>Lignes export regroupées</t>
        </is>
      </c>
      <c r="AK1" s="11" t="inlineStr">
        <is>
          <t>Fichier source</t>
        </is>
      </c>
      <c r="AL1" s="11" t="inlineStr">
        <is>
          <t>Importé le</t>
        </is>
      </c>
    </row>
    <row r="2">
      <c r="A2" s="12" t="inlineStr">
        <is>
          <t>910000001</t>
        </is>
      </c>
      <c r="B2" s="12" t="n"/>
      <c r="C2" s="12" t="inlineStr">
        <is>
          <t>SET</t>
        </is>
      </c>
      <c r="D2" s="12" t="inlineStr">
        <is>
          <t>AA1</t>
        </is>
      </c>
      <c r="E2" s="12" t="inlineStr">
        <is>
          <t>G-I-AAA01</t>
        </is>
      </c>
      <c r="F2" s="12" t="inlineStr">
        <is>
          <t>G-I-AAA01</t>
        </is>
      </c>
      <c r="G2" s="12" t="inlineStr">
        <is>
          <t>G-I-AAA01-REG01</t>
        </is>
      </c>
      <c r="H2" s="12" t="inlineStr">
        <is>
          <t>Équipement fictif G-I-AAA01-REG01</t>
        </is>
      </c>
      <c r="I2" s="12" t="inlineStr">
        <is>
          <t>Maintenance préventive fictive EC+PIS - poste G-I-AAA01</t>
        </is>
      </c>
      <c r="J2" s="23" t="n">
        <v>46329</v>
      </c>
      <c r="K2" s="12" t="n">
        <v>2026</v>
      </c>
      <c r="L2" s="12" t="inlineStr">
        <is>
          <t>EC+PIS</t>
        </is>
      </c>
      <c r="M2" s="12" t="inlineStr">
        <is>
          <t>EC</t>
        </is>
      </c>
      <c r="N2" s="12" t="inlineStr">
        <is>
          <t>DETENTE</t>
        </is>
      </c>
      <c r="O2" s="12" t="inlineStr">
        <is>
          <t>TERM</t>
        </is>
      </c>
      <c r="P2" s="12" t="inlineStr">
        <is>
          <t>STAT_SYS_A</t>
        </is>
      </c>
      <c r="Q2" s="12" t="inlineStr">
        <is>
          <t>EQ-AAA01-08</t>
        </is>
      </c>
      <c r="R2" s="23" t="n">
        <v>46250</v>
      </c>
      <c r="S2" s="23" t="n">
        <v>46307</v>
      </c>
      <c r="T2" s="12" t="inlineStr">
        <is>
          <t>Poste fictif Alpha</t>
        </is>
      </c>
      <c r="U2" s="12" t="inlineStr">
        <is>
          <t>SET</t>
        </is>
      </c>
      <c r="V2" s="12" t="inlineStr">
        <is>
          <t>AA1</t>
        </is>
      </c>
      <c r="W2" s="12" t="inlineStr">
        <is>
          <t>ZPR2</t>
        </is>
      </c>
      <c r="X2" s="12" t="inlineStr">
        <is>
          <t>PRE</t>
        </is>
      </c>
      <c r="Y2" s="12" t="n"/>
      <c r="Z2" s="12" t="inlineStr">
        <is>
          <t>USER02</t>
        </is>
      </c>
      <c r="AA2" s="12" t="n">
        <v>571.1799999999999</v>
      </c>
      <c r="AB2" s="12" t="inlineStr">
        <is>
          <t>AA1</t>
        </is>
      </c>
      <c r="AC2" s="12" t="inlineStr">
        <is>
          <t>GG-PREV</t>
        </is>
      </c>
      <c r="AD2" s="12" t="inlineStr">
        <is>
          <t>1</t>
        </is>
      </c>
      <c r="AE2" s="12" t="inlineStr">
        <is>
          <t>Code site</t>
        </is>
      </c>
      <c r="AF2" s="12" t="n"/>
      <c r="AG2" s="12" t="n">
        <v>1</v>
      </c>
      <c r="AH2" s="12" t="n"/>
      <c r="AI2" s="12" t="n">
        <v>2</v>
      </c>
      <c r="AJ2" s="12" t="n"/>
      <c r="AK2" s="12" t="inlineStr">
        <is>
          <t>DEMO_GMAO.xlsx</t>
        </is>
      </c>
      <c r="AL2" s="24" t="n">
        <v>46309.625</v>
      </c>
    </row>
    <row r="3">
      <c r="A3" s="12" t="inlineStr">
        <is>
          <t>910000001</t>
        </is>
      </c>
      <c r="B3" s="12" t="n"/>
      <c r="C3" s="12" t="inlineStr">
        <is>
          <t>SET</t>
        </is>
      </c>
      <c r="D3" s="12" t="inlineStr">
        <is>
          <t>AA1</t>
        </is>
      </c>
      <c r="E3" s="12" t="inlineStr">
        <is>
          <t>G-I-AAA01</t>
        </is>
      </c>
      <c r="F3" s="12" t="inlineStr">
        <is>
          <t>G-I-AAA01</t>
        </is>
      </c>
      <c r="G3" s="12" t="inlineStr">
        <is>
          <t>G-I-AAA01-REG01</t>
        </is>
      </c>
      <c r="H3" s="12" t="inlineStr">
        <is>
          <t>Équipement fictif G-I-AAA01-REG01</t>
        </is>
      </c>
      <c r="I3" s="12" t="inlineStr">
        <is>
          <t>Maintenance préventive fictive EC+PIS - poste G-I-AAA01</t>
        </is>
      </c>
      <c r="J3" s="23" t="n">
        <v>46329</v>
      </c>
      <c r="K3" s="12" t="n">
        <v>2026</v>
      </c>
      <c r="L3" s="12" t="inlineStr">
        <is>
          <t>EC+PIS</t>
        </is>
      </c>
      <c r="M3" s="12" t="inlineStr">
        <is>
          <t>PIS</t>
        </is>
      </c>
      <c r="N3" s="12" t="inlineStr">
        <is>
          <t>DETENTE</t>
        </is>
      </c>
      <c r="O3" s="12" t="inlineStr">
        <is>
          <t>TERM</t>
        </is>
      </c>
      <c r="P3" s="12" t="inlineStr">
        <is>
          <t>STAT_SYS_A</t>
        </is>
      </c>
      <c r="Q3" s="12" t="inlineStr">
        <is>
          <t>EQ-AAA01-08</t>
        </is>
      </c>
      <c r="R3" s="23" t="n">
        <v>46250</v>
      </c>
      <c r="S3" s="23" t="n">
        <v>46307</v>
      </c>
      <c r="T3" s="12" t="inlineStr">
        <is>
          <t>Poste fictif Alpha</t>
        </is>
      </c>
      <c r="U3" s="12" t="inlineStr">
        <is>
          <t>SET</t>
        </is>
      </c>
      <c r="V3" s="12" t="inlineStr">
        <is>
          <t>AA1</t>
        </is>
      </c>
      <c r="W3" s="12" t="inlineStr">
        <is>
          <t>ZPR2</t>
        </is>
      </c>
      <c r="X3" s="12" t="inlineStr">
        <is>
          <t>PRE</t>
        </is>
      </c>
      <c r="Y3" s="12" t="n"/>
      <c r="Z3" s="12" t="inlineStr">
        <is>
          <t>USER02</t>
        </is>
      </c>
      <c r="AA3" s="12" t="n">
        <v>571.1799999999999</v>
      </c>
      <c r="AB3" s="12" t="inlineStr">
        <is>
          <t>AA1</t>
        </is>
      </c>
      <c r="AC3" s="12" t="inlineStr">
        <is>
          <t>GG-PREV</t>
        </is>
      </c>
      <c r="AD3" s="12" t="inlineStr">
        <is>
          <t>1</t>
        </is>
      </c>
      <c r="AE3" s="12" t="inlineStr">
        <is>
          <t>Code site</t>
        </is>
      </c>
      <c r="AF3" s="12" t="n"/>
      <c r="AG3" s="12" t="n">
        <v>0</v>
      </c>
      <c r="AH3" s="12" t="n"/>
      <c r="AI3" s="12" t="n">
        <v>2</v>
      </c>
      <c r="AJ3" s="12" t="n"/>
      <c r="AK3" s="12" t="inlineStr">
        <is>
          <t>DEMO_GMAO.xlsx</t>
        </is>
      </c>
      <c r="AL3" s="24" t="n">
        <v>46309.625</v>
      </c>
    </row>
    <row r="4">
      <c r="A4" s="12" t="inlineStr">
        <is>
          <t>910000002</t>
        </is>
      </c>
      <c r="B4" s="12" t="n"/>
      <c r="C4" s="12" t="inlineStr">
        <is>
          <t>SET</t>
        </is>
      </c>
      <c r="D4" s="12" t="inlineStr">
        <is>
          <t>AA3</t>
        </is>
      </c>
      <c r="E4" s="12" t="inlineStr">
        <is>
          <t>G-I-BBB02</t>
        </is>
      </c>
      <c r="F4" s="12" t="inlineStr">
        <is>
          <t>G-I-BBB02</t>
        </is>
      </c>
      <c r="G4" s="12" t="inlineStr">
        <is>
          <t>G-I-BBB02-VAN01</t>
        </is>
      </c>
      <c r="H4" s="12" t="inlineStr">
        <is>
          <t>Équipement fictif G-I-BBB02-VAN01</t>
        </is>
      </c>
      <c r="I4" s="12" t="inlineStr">
        <is>
          <t>Maintenance préventive fictive PIS - poste G-I-BBB02</t>
        </is>
      </c>
      <c r="J4" s="23" t="n">
        <v>46103</v>
      </c>
      <c r="K4" s="12" t="n">
        <v>2026</v>
      </c>
      <c r="L4" s="12" t="inlineStr">
        <is>
          <t>PIS</t>
        </is>
      </c>
      <c r="M4" s="12" t="inlineStr">
        <is>
          <t>PIS</t>
        </is>
      </c>
      <c r="N4" s="12" t="inlineStr">
        <is>
          <t>LIVRAISON</t>
        </is>
      </c>
      <c r="O4" s="12" t="inlineStr">
        <is>
          <t>ACTI</t>
        </is>
      </c>
      <c r="P4" s="12" t="inlineStr">
        <is>
          <t>STAT_SYS_A</t>
        </is>
      </c>
      <c r="Q4" s="12" t="inlineStr">
        <is>
          <t>EQ-BBB02-02</t>
        </is>
      </c>
      <c r="R4" s="23" t="n">
        <v>46021</v>
      </c>
      <c r="S4" s="23" t="n">
        <v>46088</v>
      </c>
      <c r="T4" s="12" t="inlineStr">
        <is>
          <t>Poste fictif Beta</t>
        </is>
      </c>
      <c r="U4" s="12" t="inlineStr">
        <is>
          <t>SET</t>
        </is>
      </c>
      <c r="V4" s="12" t="inlineStr">
        <is>
          <t>AA3</t>
        </is>
      </c>
      <c r="W4" s="12" t="inlineStr">
        <is>
          <t>ZPR2</t>
        </is>
      </c>
      <c r="X4" s="12" t="inlineStr">
        <is>
          <t>PRE</t>
        </is>
      </c>
      <c r="Y4" s="12" t="n"/>
      <c r="Z4" s="12" t="inlineStr">
        <is>
          <t>USER03</t>
        </is>
      </c>
      <c r="AA4" s="12" t="n">
        <v>1279.21</v>
      </c>
      <c r="AB4" s="12" t="inlineStr">
        <is>
          <t>AA3</t>
        </is>
      </c>
      <c r="AC4" s="12" t="inlineStr">
        <is>
          <t>GG-PREV</t>
        </is>
      </c>
      <c r="AD4" s="12" t="inlineStr">
        <is>
          <t>2</t>
        </is>
      </c>
      <c r="AE4" s="12" t="inlineStr">
        <is>
          <t>Code site</t>
        </is>
      </c>
      <c r="AF4" s="12" t="n"/>
      <c r="AG4" s="12" t="n">
        <v>1</v>
      </c>
      <c r="AH4" s="12" t="n"/>
      <c r="AI4" s="12" t="n">
        <v>3</v>
      </c>
      <c r="AJ4" s="12" t="n"/>
      <c r="AK4" s="12" t="inlineStr">
        <is>
          <t>DEMO_GMAO.xlsx</t>
        </is>
      </c>
      <c r="AL4" s="24" t="n">
        <v>46309.625</v>
      </c>
    </row>
    <row r="5">
      <c r="A5" s="12" t="inlineStr">
        <is>
          <t>910000003</t>
        </is>
      </c>
      <c r="B5" s="12" t="n"/>
      <c r="C5" s="12" t="inlineStr">
        <is>
          <t>SET</t>
        </is>
      </c>
      <c r="D5" s="12" t="inlineStr">
        <is>
          <t>AA3</t>
        </is>
      </c>
      <c r="E5" s="12" t="inlineStr">
        <is>
          <t>G-I-BBB02</t>
        </is>
      </c>
      <c r="F5" s="12" t="inlineStr">
        <is>
          <t>G-I-BBB02</t>
        </is>
      </c>
      <c r="G5" s="12" t="inlineStr">
        <is>
          <t>G-I-BBB02-VAN01</t>
        </is>
      </c>
      <c r="H5" s="12" t="inlineStr">
        <is>
          <t>Équipement fictif G-I-BBB02-VAN01</t>
        </is>
      </c>
      <c r="I5" s="12" t="inlineStr">
        <is>
          <t>Maintenance préventive fictive PIS - poste G-I-BBB02</t>
        </is>
      </c>
      <c r="J5" s="23" t="n">
        <v>46268</v>
      </c>
      <c r="K5" s="12" t="n">
        <v>2026</v>
      </c>
      <c r="L5" s="12" t="inlineStr">
        <is>
          <t>PIS</t>
        </is>
      </c>
      <c r="M5" s="12" t="inlineStr">
        <is>
          <t>PIS</t>
        </is>
      </c>
      <c r="N5" s="12" t="inlineStr">
        <is>
          <t>LIVRAISON</t>
        </is>
      </c>
      <c r="O5" s="12" t="inlineStr">
        <is>
          <t>ACTI</t>
        </is>
      </c>
      <c r="P5" s="12" t="inlineStr">
        <is>
          <t>STAT_SYS_A</t>
        </is>
      </c>
      <c r="Q5" s="12" t="inlineStr">
        <is>
          <t>EQ-BBB02-04</t>
        </is>
      </c>
      <c r="R5" s="23" t="n">
        <v>46209</v>
      </c>
      <c r="S5" s="23" t="n">
        <v>46253</v>
      </c>
      <c r="T5" s="12" t="inlineStr">
        <is>
          <t>Poste fictif Beta</t>
        </is>
      </c>
      <c r="U5" s="12" t="inlineStr">
        <is>
          <t>SET</t>
        </is>
      </c>
      <c r="V5" s="12" t="inlineStr">
        <is>
          <t>AA3</t>
        </is>
      </c>
      <c r="W5" s="12" t="inlineStr">
        <is>
          <t>ZPR2</t>
        </is>
      </c>
      <c r="X5" s="12" t="inlineStr">
        <is>
          <t>PRE</t>
        </is>
      </c>
      <c r="Y5" s="12" t="n"/>
      <c r="Z5" s="12" t="inlineStr">
        <is>
          <t>USER02</t>
        </is>
      </c>
      <c r="AA5" s="12" t="n">
        <v>525.63</v>
      </c>
      <c r="AB5" s="12" t="inlineStr">
        <is>
          <t>AA3</t>
        </is>
      </c>
      <c r="AC5" s="12" t="inlineStr">
        <is>
          <t>GG-PREV</t>
        </is>
      </c>
      <c r="AD5" s="12" t="inlineStr">
        <is>
          <t>1</t>
        </is>
      </c>
      <c r="AE5" s="12" t="inlineStr">
        <is>
          <t>Code site</t>
        </is>
      </c>
      <c r="AF5" s="12" t="n"/>
      <c r="AG5" s="12" t="n">
        <v>1</v>
      </c>
      <c r="AH5" s="12" t="n"/>
      <c r="AI5" s="12" t="n">
        <v>4</v>
      </c>
      <c r="AJ5" s="12" t="n"/>
      <c r="AK5" s="12" t="inlineStr">
        <is>
          <t>DEMO_GMAO.xlsx</t>
        </is>
      </c>
      <c r="AL5" s="24" t="n">
        <v>46309.625</v>
      </c>
    </row>
    <row r="6">
      <c r="A6" s="12" t="inlineStr">
        <is>
          <t>910000004</t>
        </is>
      </c>
      <c r="B6" s="12" t="n"/>
      <c r="C6" s="12" t="inlineStr">
        <is>
          <t>SET</t>
        </is>
      </c>
      <c r="D6" s="12" t="inlineStr">
        <is>
          <t>AA3</t>
        </is>
      </c>
      <c r="E6" s="12" t="inlineStr">
        <is>
          <t>G-I-BBB02</t>
        </is>
      </c>
      <c r="F6" s="12" t="inlineStr">
        <is>
          <t>G-I-BBB02</t>
        </is>
      </c>
      <c r="G6" s="12" t="inlineStr">
        <is>
          <t>G-I-BBB02-VAN01</t>
        </is>
      </c>
      <c r="H6" s="12" t="inlineStr">
        <is>
          <t>Équipement fictif G-I-BBB02-VAN01</t>
        </is>
      </c>
      <c r="I6" s="12" t="inlineStr">
        <is>
          <t>Maintenance préventive fictive EC+PIS+PILOTAGE+FILTRE - poste G-I-BBB02</t>
        </is>
      </c>
      <c r="J6" s="23" t="n">
        <v>46543</v>
      </c>
      <c r="K6" s="12" t="n">
        <v>2027</v>
      </c>
      <c r="L6" s="12" t="inlineStr">
        <is>
          <t>EC+PIS+PILOTAGE+FILTRE</t>
        </is>
      </c>
      <c r="M6" s="12" t="inlineStr">
        <is>
          <t>EC</t>
        </is>
      </c>
      <c r="N6" s="12" t="inlineStr">
        <is>
          <t>LIVRAISON</t>
        </is>
      </c>
      <c r="O6" s="12" t="inlineStr">
        <is>
          <t>TERM</t>
        </is>
      </c>
      <c r="P6" s="12" t="inlineStr">
        <is>
          <t>STAT_SYS_A</t>
        </is>
      </c>
      <c r="Q6" s="12" t="inlineStr">
        <is>
          <t>EQ-BBB02-06</t>
        </is>
      </c>
      <c r="R6" s="23" t="n">
        <v>46485</v>
      </c>
      <c r="S6" s="23" t="n">
        <v>46515</v>
      </c>
      <c r="T6" s="12" t="inlineStr">
        <is>
          <t>Poste fictif Beta</t>
        </is>
      </c>
      <c r="U6" s="12" t="inlineStr">
        <is>
          <t>SET</t>
        </is>
      </c>
      <c r="V6" s="12" t="inlineStr">
        <is>
          <t>AA3</t>
        </is>
      </c>
      <c r="W6" s="12" t="inlineStr">
        <is>
          <t>ZPR2</t>
        </is>
      </c>
      <c r="X6" s="12" t="inlineStr">
        <is>
          <t>PRE</t>
        </is>
      </c>
      <c r="Y6" s="12" t="n"/>
      <c r="Z6" s="12" t="inlineStr">
        <is>
          <t>USER01</t>
        </is>
      </c>
      <c r="AA6" s="12" t="n">
        <v>552.2</v>
      </c>
      <c r="AB6" s="12" t="inlineStr">
        <is>
          <t>AA3</t>
        </is>
      </c>
      <c r="AC6" s="12" t="inlineStr">
        <is>
          <t>GG-PREV</t>
        </is>
      </c>
      <c r="AD6" s="12" t="inlineStr">
        <is>
          <t>3</t>
        </is>
      </c>
      <c r="AE6" s="12" t="inlineStr">
        <is>
          <t>Code site</t>
        </is>
      </c>
      <c r="AF6" s="12" t="n"/>
      <c r="AG6" s="12" t="n">
        <v>1</v>
      </c>
      <c r="AH6" s="12" t="n"/>
      <c r="AI6" s="12" t="n">
        <v>5</v>
      </c>
      <c r="AJ6" s="12" t="n"/>
      <c r="AK6" s="12" t="inlineStr">
        <is>
          <t>DEMO_GMAO.xlsx</t>
        </is>
      </c>
      <c r="AL6" s="24" t="n">
        <v>46309.625</v>
      </c>
    </row>
    <row r="7">
      <c r="A7" s="12" t="inlineStr">
        <is>
          <t>910000004</t>
        </is>
      </c>
      <c r="B7" s="12" t="n"/>
      <c r="C7" s="12" t="inlineStr">
        <is>
          <t>SET</t>
        </is>
      </c>
      <c r="D7" s="12" t="inlineStr">
        <is>
          <t>AA3</t>
        </is>
      </c>
      <c r="E7" s="12" t="inlineStr">
        <is>
          <t>G-I-BBB02</t>
        </is>
      </c>
      <c r="F7" s="12" t="inlineStr">
        <is>
          <t>G-I-BBB02</t>
        </is>
      </c>
      <c r="G7" s="12" t="inlineStr">
        <is>
          <t>G-I-BBB02-VAN01</t>
        </is>
      </c>
      <c r="H7" s="12" t="inlineStr">
        <is>
          <t>Équipement fictif G-I-BBB02-VAN01</t>
        </is>
      </c>
      <c r="I7" s="12" t="inlineStr">
        <is>
          <t>Maintenance préventive fictive EC+PIS+PILOTAGE+FILTRE - poste G-I-BBB02</t>
        </is>
      </c>
      <c r="J7" s="23" t="n">
        <v>46543</v>
      </c>
      <c r="K7" s="12" t="n">
        <v>2027</v>
      </c>
      <c r="L7" s="12" t="inlineStr">
        <is>
          <t>EC+PIS+PILOTAGE+FILTRE</t>
        </is>
      </c>
      <c r="M7" s="12" t="inlineStr">
        <is>
          <t>PIS</t>
        </is>
      </c>
      <c r="N7" s="12" t="inlineStr">
        <is>
          <t>LIVRAISON</t>
        </is>
      </c>
      <c r="O7" s="12" t="inlineStr">
        <is>
          <t>TERM</t>
        </is>
      </c>
      <c r="P7" s="12" t="inlineStr">
        <is>
          <t>STAT_SYS_A</t>
        </is>
      </c>
      <c r="Q7" s="12" t="inlineStr">
        <is>
          <t>EQ-BBB02-06</t>
        </is>
      </c>
      <c r="R7" s="23" t="n">
        <v>46485</v>
      </c>
      <c r="S7" s="23" t="n">
        <v>46515</v>
      </c>
      <c r="T7" s="12" t="inlineStr">
        <is>
          <t>Poste fictif Beta</t>
        </is>
      </c>
      <c r="U7" s="12" t="inlineStr">
        <is>
          <t>SET</t>
        </is>
      </c>
      <c r="V7" s="12" t="inlineStr">
        <is>
          <t>AA3</t>
        </is>
      </c>
      <c r="W7" s="12" t="inlineStr">
        <is>
          <t>ZPR2</t>
        </is>
      </c>
      <c r="X7" s="12" t="inlineStr">
        <is>
          <t>PRE</t>
        </is>
      </c>
      <c r="Y7" s="12" t="n"/>
      <c r="Z7" s="12" t="inlineStr">
        <is>
          <t>USER01</t>
        </is>
      </c>
      <c r="AA7" s="12" t="n">
        <v>552.2</v>
      </c>
      <c r="AB7" s="12" t="inlineStr">
        <is>
          <t>AA3</t>
        </is>
      </c>
      <c r="AC7" s="12" t="inlineStr">
        <is>
          <t>GG-PREV</t>
        </is>
      </c>
      <c r="AD7" s="12" t="inlineStr">
        <is>
          <t>3</t>
        </is>
      </c>
      <c r="AE7" s="12" t="inlineStr">
        <is>
          <t>Code site</t>
        </is>
      </c>
      <c r="AF7" s="12" t="n"/>
      <c r="AG7" s="12" t="n">
        <v>0</v>
      </c>
      <c r="AH7" s="12" t="n"/>
      <c r="AI7" s="12" t="n">
        <v>5</v>
      </c>
      <c r="AJ7" s="12" t="n"/>
      <c r="AK7" s="12" t="inlineStr">
        <is>
          <t>DEMO_GMAO.xlsx</t>
        </is>
      </c>
      <c r="AL7" s="24" t="n">
        <v>46309.625</v>
      </c>
    </row>
    <row r="8">
      <c r="A8" s="12" t="inlineStr">
        <is>
          <t>910000004</t>
        </is>
      </c>
      <c r="B8" s="12" t="n"/>
      <c r="C8" s="12" t="inlineStr">
        <is>
          <t>SET</t>
        </is>
      </c>
      <c r="D8" s="12" t="inlineStr">
        <is>
          <t>AA3</t>
        </is>
      </c>
      <c r="E8" s="12" t="inlineStr">
        <is>
          <t>G-I-BBB02</t>
        </is>
      </c>
      <c r="F8" s="12" t="inlineStr">
        <is>
          <t>G-I-BBB02</t>
        </is>
      </c>
      <c r="G8" s="12" t="inlineStr">
        <is>
          <t>G-I-BBB02-VAN01</t>
        </is>
      </c>
      <c r="H8" s="12" t="inlineStr">
        <is>
          <t>Équipement fictif G-I-BBB02-VAN01</t>
        </is>
      </c>
      <c r="I8" s="12" t="inlineStr">
        <is>
          <t>Maintenance préventive fictive EC+PIS+PILOTAGE+FILTRE - poste G-I-BBB02</t>
        </is>
      </c>
      <c r="J8" s="23" t="n">
        <v>46543</v>
      </c>
      <c r="K8" s="12" t="n">
        <v>2027</v>
      </c>
      <c r="L8" s="12" t="inlineStr">
        <is>
          <t>EC+PIS+PILOTAGE+FILTRE</t>
        </is>
      </c>
      <c r="M8" s="12" t="inlineStr">
        <is>
          <t>PILOTAGE</t>
        </is>
      </c>
      <c r="N8" s="12" t="inlineStr">
        <is>
          <t>LIVRAISON</t>
        </is>
      </c>
      <c r="O8" s="12" t="inlineStr">
        <is>
          <t>TERM</t>
        </is>
      </c>
      <c r="P8" s="12" t="inlineStr">
        <is>
          <t>STAT_SYS_A</t>
        </is>
      </c>
      <c r="Q8" s="12" t="inlineStr">
        <is>
          <t>EQ-BBB02-06</t>
        </is>
      </c>
      <c r="R8" s="23" t="n">
        <v>46485</v>
      </c>
      <c r="S8" s="23" t="n">
        <v>46515</v>
      </c>
      <c r="T8" s="12" t="inlineStr">
        <is>
          <t>Poste fictif Beta</t>
        </is>
      </c>
      <c r="U8" s="12" t="inlineStr">
        <is>
          <t>SET</t>
        </is>
      </c>
      <c r="V8" s="12" t="inlineStr">
        <is>
          <t>AA3</t>
        </is>
      </c>
      <c r="W8" s="12" t="inlineStr">
        <is>
          <t>ZPR2</t>
        </is>
      </c>
      <c r="X8" s="12" t="inlineStr">
        <is>
          <t>PRE</t>
        </is>
      </c>
      <c r="Y8" s="12" t="n"/>
      <c r="Z8" s="12" t="inlineStr">
        <is>
          <t>USER01</t>
        </is>
      </c>
      <c r="AA8" s="12" t="n">
        <v>552.2</v>
      </c>
      <c r="AB8" s="12" t="inlineStr">
        <is>
          <t>AA3</t>
        </is>
      </c>
      <c r="AC8" s="12" t="inlineStr">
        <is>
          <t>GG-PREV</t>
        </is>
      </c>
      <c r="AD8" s="12" t="inlineStr">
        <is>
          <t>3</t>
        </is>
      </c>
      <c r="AE8" s="12" t="inlineStr">
        <is>
          <t>Code site</t>
        </is>
      </c>
      <c r="AF8" s="12" t="n"/>
      <c r="AG8" s="12" t="n">
        <v>0</v>
      </c>
      <c r="AH8" s="12" t="n"/>
      <c r="AI8" s="12" t="n">
        <v>5</v>
      </c>
      <c r="AJ8" s="12" t="n"/>
      <c r="AK8" s="12" t="inlineStr">
        <is>
          <t>DEMO_GMAO.xlsx</t>
        </is>
      </c>
      <c r="AL8" s="24" t="n">
        <v>46309.625</v>
      </c>
    </row>
    <row r="9">
      <c r="A9" s="12" t="inlineStr">
        <is>
          <t>910000004</t>
        </is>
      </c>
      <c r="B9" s="12" t="n"/>
      <c r="C9" s="12" t="inlineStr">
        <is>
          <t>SET</t>
        </is>
      </c>
      <c r="D9" s="12" t="inlineStr">
        <is>
          <t>AA3</t>
        </is>
      </c>
      <c r="E9" s="12" t="inlineStr">
        <is>
          <t>G-I-BBB02</t>
        </is>
      </c>
      <c r="F9" s="12" t="inlineStr">
        <is>
          <t>G-I-BBB02</t>
        </is>
      </c>
      <c r="G9" s="12" t="inlineStr">
        <is>
          <t>G-I-BBB02-VAN01</t>
        </is>
      </c>
      <c r="H9" s="12" t="inlineStr">
        <is>
          <t>Équipement fictif G-I-BBB02-VAN01</t>
        </is>
      </c>
      <c r="I9" s="12" t="inlineStr">
        <is>
          <t>Maintenance préventive fictive EC+PIS+PILOTAGE+FILTRE - poste G-I-BBB02</t>
        </is>
      </c>
      <c r="J9" s="23" t="n">
        <v>46543</v>
      </c>
      <c r="K9" s="12" t="n">
        <v>2027</v>
      </c>
      <c r="L9" s="12" t="inlineStr">
        <is>
          <t>EC+PIS+PILOTAGE+FILTRE</t>
        </is>
      </c>
      <c r="M9" s="12" t="inlineStr">
        <is>
          <t>FILTRE</t>
        </is>
      </c>
      <c r="N9" s="12" t="inlineStr">
        <is>
          <t>LIVRAISON</t>
        </is>
      </c>
      <c r="O9" s="12" t="inlineStr">
        <is>
          <t>TERM</t>
        </is>
      </c>
      <c r="P9" s="12" t="inlineStr">
        <is>
          <t>STAT_SYS_A</t>
        </is>
      </c>
      <c r="Q9" s="12" t="inlineStr">
        <is>
          <t>EQ-BBB02-06</t>
        </is>
      </c>
      <c r="R9" s="23" t="n">
        <v>46485</v>
      </c>
      <c r="S9" s="23" t="n">
        <v>46515</v>
      </c>
      <c r="T9" s="12" t="inlineStr">
        <is>
          <t>Poste fictif Beta</t>
        </is>
      </c>
      <c r="U9" s="12" t="inlineStr">
        <is>
          <t>SET</t>
        </is>
      </c>
      <c r="V9" s="12" t="inlineStr">
        <is>
          <t>AA3</t>
        </is>
      </c>
      <c r="W9" s="12" t="inlineStr">
        <is>
          <t>ZPR2</t>
        </is>
      </c>
      <c r="X9" s="12" t="inlineStr">
        <is>
          <t>PRE</t>
        </is>
      </c>
      <c r="Y9" s="12" t="n"/>
      <c r="Z9" s="12" t="inlineStr">
        <is>
          <t>USER01</t>
        </is>
      </c>
      <c r="AA9" s="12" t="n">
        <v>552.2</v>
      </c>
      <c r="AB9" s="12" t="inlineStr">
        <is>
          <t>AA3</t>
        </is>
      </c>
      <c r="AC9" s="12" t="inlineStr">
        <is>
          <t>GG-PREV</t>
        </is>
      </c>
      <c r="AD9" s="12" t="inlineStr">
        <is>
          <t>3</t>
        </is>
      </c>
      <c r="AE9" s="12" t="inlineStr">
        <is>
          <t>Code site</t>
        </is>
      </c>
      <c r="AF9" s="12" t="n"/>
      <c r="AG9" s="12" t="n">
        <v>0</v>
      </c>
      <c r="AH9" s="12" t="n"/>
      <c r="AI9" s="12" t="n">
        <v>5</v>
      </c>
      <c r="AJ9" s="12" t="n"/>
      <c r="AK9" s="12" t="inlineStr">
        <is>
          <t>DEMO_GMAO.xlsx</t>
        </is>
      </c>
      <c r="AL9" s="24" t="n">
        <v>46309.625</v>
      </c>
    </row>
    <row r="10">
      <c r="A10" s="12" t="inlineStr">
        <is>
          <t>910000005</t>
        </is>
      </c>
      <c r="B10" s="12" t="n"/>
      <c r="C10" s="12" t="inlineStr">
        <is>
          <t>SET</t>
        </is>
      </c>
      <c r="D10" s="12" t="inlineStr">
        <is>
          <t>AA4</t>
        </is>
      </c>
      <c r="E10" s="12" t="inlineStr">
        <is>
          <t>G-I-CCC03</t>
        </is>
      </c>
      <c r="F10" s="12" t="inlineStr">
        <is>
          <t>G-I-CCC03</t>
        </is>
      </c>
      <c r="G10" s="12" t="inlineStr">
        <is>
          <t>G-I-CCC03-FILT01</t>
        </is>
      </c>
      <c r="H10" s="12" t="inlineStr">
        <is>
          <t>Équipement fictif G-I-CCC03-FILT01</t>
        </is>
      </c>
      <c r="I10" s="12" t="inlineStr">
        <is>
          <t>Maintenance préventive fictive PIS - poste G-I-CCC03</t>
        </is>
      </c>
      <c r="J10" s="23" t="n">
        <v>46093</v>
      </c>
      <c r="K10" s="12" t="n">
        <v>2026</v>
      </c>
      <c r="L10" s="12" t="inlineStr">
        <is>
          <t>PIS</t>
        </is>
      </c>
      <c r="M10" s="12" t="inlineStr">
        <is>
          <t>PIS</t>
        </is>
      </c>
      <c r="N10" s="12" t="inlineStr">
        <is>
          <t>PIQUAGE</t>
        </is>
      </c>
      <c r="O10" s="12" t="inlineStr">
        <is>
          <t>ACTI</t>
        </is>
      </c>
      <c r="P10" s="12" t="inlineStr">
        <is>
          <t>STAT_SYS_A</t>
        </is>
      </c>
      <c r="Q10" s="12" t="inlineStr">
        <is>
          <t>EQ-CCC03-04</t>
        </is>
      </c>
      <c r="R10" s="23" t="n">
        <v>46048</v>
      </c>
      <c r="S10" s="23" t="n">
        <v>46088</v>
      </c>
      <c r="T10" s="12" t="inlineStr">
        <is>
          <t>Poste fictif Gamma</t>
        </is>
      </c>
      <c r="U10" s="12" t="inlineStr">
        <is>
          <t>SET</t>
        </is>
      </c>
      <c r="V10" s="12" t="inlineStr">
        <is>
          <t>AA4</t>
        </is>
      </c>
      <c r="W10" s="12" t="inlineStr">
        <is>
          <t>ZPR2</t>
        </is>
      </c>
      <c r="X10" s="12" t="inlineStr">
        <is>
          <t>PRE</t>
        </is>
      </c>
      <c r="Y10" s="12" t="n"/>
      <c r="Z10" s="12" t="inlineStr">
        <is>
          <t>USER01</t>
        </is>
      </c>
      <c r="AA10" s="12" t="n">
        <v>881.26</v>
      </c>
      <c r="AB10" s="12" t="inlineStr">
        <is>
          <t>AA4</t>
        </is>
      </c>
      <c r="AC10" s="12" t="inlineStr">
        <is>
          <t>GG-PREV</t>
        </is>
      </c>
      <c r="AD10" s="12" t="inlineStr">
        <is>
          <t>3</t>
        </is>
      </c>
      <c r="AE10" s="12" t="inlineStr">
        <is>
          <t>Code site</t>
        </is>
      </c>
      <c r="AF10" s="12" t="n"/>
      <c r="AG10" s="12" t="n">
        <v>1</v>
      </c>
      <c r="AH10" s="12" t="n"/>
      <c r="AI10" s="12" t="n">
        <v>6</v>
      </c>
      <c r="AJ10" s="12" t="n"/>
      <c r="AK10" s="12" t="inlineStr">
        <is>
          <t>DEMO_GMAO.xlsx</t>
        </is>
      </c>
      <c r="AL10" s="24" t="n">
        <v>46309.625</v>
      </c>
    </row>
    <row r="11">
      <c r="A11" s="12" t="inlineStr">
        <is>
          <t>910000006</t>
        </is>
      </c>
      <c r="B11" s="12" t="n"/>
      <c r="C11" s="12" t="inlineStr">
        <is>
          <t>SET</t>
        </is>
      </c>
      <c r="D11" s="12" t="inlineStr">
        <is>
          <t>AA4</t>
        </is>
      </c>
      <c r="E11" s="12" t="inlineStr">
        <is>
          <t>G-I-CCC03</t>
        </is>
      </c>
      <c r="F11" s="12" t="inlineStr">
        <is>
          <t>G-I-CCC03</t>
        </is>
      </c>
      <c r="G11" s="12" t="inlineStr">
        <is>
          <t>G-I-CCC03-FILT01</t>
        </is>
      </c>
      <c r="H11" s="12" t="inlineStr">
        <is>
          <t>Équipement fictif G-I-CCC03-FILT01</t>
        </is>
      </c>
      <c r="I11" s="12" t="inlineStr">
        <is>
          <t>Maintenance préventive fictive PIS - poste G-I-CCC03</t>
        </is>
      </c>
      <c r="J11" s="23" t="n">
        <v>46273</v>
      </c>
      <c r="K11" s="12" t="n">
        <v>2026</v>
      </c>
      <c r="L11" s="12" t="inlineStr">
        <is>
          <t>PIS</t>
        </is>
      </c>
      <c r="M11" s="12" t="inlineStr">
        <is>
          <t>PIS</t>
        </is>
      </c>
      <c r="N11" s="12" t="inlineStr">
        <is>
          <t>PIQUAGE</t>
        </is>
      </c>
      <c r="O11" s="12" t="inlineStr">
        <is>
          <t>ACTI</t>
        </is>
      </c>
      <c r="P11" s="12" t="inlineStr">
        <is>
          <t>STAT_SYS_A</t>
        </is>
      </c>
      <c r="Q11" s="12" t="inlineStr">
        <is>
          <t>EQ-CCC03-04</t>
        </is>
      </c>
      <c r="R11" s="23" t="n">
        <v>46185</v>
      </c>
      <c r="S11" s="23" t="n">
        <v>46250</v>
      </c>
      <c r="T11" s="12" t="inlineStr">
        <is>
          <t>Poste fictif Gamma</t>
        </is>
      </c>
      <c r="U11" s="12" t="inlineStr">
        <is>
          <t>SET</t>
        </is>
      </c>
      <c r="V11" s="12" t="inlineStr">
        <is>
          <t>AA4</t>
        </is>
      </c>
      <c r="W11" s="12" t="inlineStr">
        <is>
          <t>ZPR2</t>
        </is>
      </c>
      <c r="X11" s="12" t="inlineStr">
        <is>
          <t>PRE</t>
        </is>
      </c>
      <c r="Y11" s="12" t="n"/>
      <c r="Z11" s="12" t="inlineStr">
        <is>
          <t>USER03</t>
        </is>
      </c>
      <c r="AA11" s="12" t="n">
        <v>867.8099999999999</v>
      </c>
      <c r="AB11" s="12" t="inlineStr">
        <is>
          <t>AA4</t>
        </is>
      </c>
      <c r="AC11" s="12" t="inlineStr">
        <is>
          <t>GG-PREV</t>
        </is>
      </c>
      <c r="AD11" s="12" t="inlineStr">
        <is>
          <t>3</t>
        </is>
      </c>
      <c r="AE11" s="12" t="inlineStr">
        <is>
          <t>Code site</t>
        </is>
      </c>
      <c r="AF11" s="12" t="n"/>
      <c r="AG11" s="12" t="n">
        <v>1</v>
      </c>
      <c r="AH11" s="12" t="n"/>
      <c r="AI11" s="12" t="n">
        <v>7</v>
      </c>
      <c r="AJ11" s="12" t="n"/>
      <c r="AK11" s="12" t="inlineStr">
        <is>
          <t>DEMO_GMAO.xlsx</t>
        </is>
      </c>
      <c r="AL11" s="24" t="n">
        <v>46309.625</v>
      </c>
    </row>
    <row r="12">
      <c r="A12" s="12" t="inlineStr">
        <is>
          <t>910000007</t>
        </is>
      </c>
      <c r="B12" s="12" t="n"/>
      <c r="C12" s="12" t="inlineStr">
        <is>
          <t>SET</t>
        </is>
      </c>
      <c r="D12" s="12" t="inlineStr">
        <is>
          <t>AA4</t>
        </is>
      </c>
      <c r="E12" s="12" t="inlineStr">
        <is>
          <t>G-I-CCC03</t>
        </is>
      </c>
      <c r="F12" s="12" t="inlineStr">
        <is>
          <t>G-I-CCC03</t>
        </is>
      </c>
      <c r="G12" s="12" t="inlineStr">
        <is>
          <t>G-I-CCC03-FILT01</t>
        </is>
      </c>
      <c r="H12" s="12" t="inlineStr">
        <is>
          <t>Équipement fictif G-I-CCC03-FILT01</t>
        </is>
      </c>
      <c r="I12" s="12" t="inlineStr">
        <is>
          <t>Maintenance préventive fictive PIS - poste G-I-CCC03</t>
        </is>
      </c>
      <c r="J12" s="23" t="n">
        <v>46642</v>
      </c>
      <c r="K12" s="12" t="n">
        <v>2027</v>
      </c>
      <c r="L12" s="12" t="inlineStr">
        <is>
          <t>PIS</t>
        </is>
      </c>
      <c r="M12" s="12" t="inlineStr">
        <is>
          <t>PIS</t>
        </is>
      </c>
      <c r="N12" s="12" t="inlineStr">
        <is>
          <t>PIQUAGE</t>
        </is>
      </c>
      <c r="O12" s="12" t="inlineStr">
        <is>
          <t>TERM</t>
        </is>
      </c>
      <c r="P12" s="12" t="inlineStr">
        <is>
          <t>STAT_SYS_A</t>
        </is>
      </c>
      <c r="Q12" s="12" t="inlineStr">
        <is>
          <t>EQ-CCC03-04</t>
        </is>
      </c>
      <c r="R12" s="23" t="n">
        <v>46574</v>
      </c>
      <c r="S12" s="23" t="n">
        <v>46635</v>
      </c>
      <c r="T12" s="12" t="inlineStr">
        <is>
          <t>Poste fictif Gamma</t>
        </is>
      </c>
      <c r="U12" s="12" t="inlineStr">
        <is>
          <t>SET</t>
        </is>
      </c>
      <c r="V12" s="12" t="inlineStr">
        <is>
          <t>AA4</t>
        </is>
      </c>
      <c r="W12" s="12" t="inlineStr">
        <is>
          <t>ZPR2</t>
        </is>
      </c>
      <c r="X12" s="12" t="inlineStr">
        <is>
          <t>PRE</t>
        </is>
      </c>
      <c r="Y12" s="12" t="n"/>
      <c r="Z12" s="12" t="inlineStr">
        <is>
          <t>USER01</t>
        </is>
      </c>
      <c r="AA12" s="12" t="n">
        <v>1349.42</v>
      </c>
      <c r="AB12" s="12" t="inlineStr">
        <is>
          <t>AA4</t>
        </is>
      </c>
      <c r="AC12" s="12" t="inlineStr">
        <is>
          <t>GG-PREV</t>
        </is>
      </c>
      <c r="AD12" s="12" t="inlineStr">
        <is>
          <t>2</t>
        </is>
      </c>
      <c r="AE12" s="12" t="inlineStr">
        <is>
          <t>Code site</t>
        </is>
      </c>
      <c r="AF12" s="12" t="n"/>
      <c r="AG12" s="12" t="n">
        <v>1</v>
      </c>
      <c r="AH12" s="12" t="n"/>
      <c r="AI12" s="12" t="n">
        <v>8</v>
      </c>
      <c r="AJ12" s="12" t="n"/>
      <c r="AK12" s="12" t="inlineStr">
        <is>
          <t>DEMO_GMAO.xlsx</t>
        </is>
      </c>
      <c r="AL12" s="24" t="n">
        <v>46309.625</v>
      </c>
    </row>
    <row r="13">
      <c r="A13" s="12" t="inlineStr">
        <is>
          <t>910000008</t>
        </is>
      </c>
      <c r="B13" s="12" t="n"/>
      <c r="C13" s="12" t="inlineStr">
        <is>
          <t>SPS</t>
        </is>
      </c>
      <c r="D13" s="12" t="inlineStr">
        <is>
          <t>AA1</t>
        </is>
      </c>
      <c r="E13" s="12" t="inlineStr">
        <is>
          <t>G-I-DDD04</t>
        </is>
      </c>
      <c r="F13" s="12" t="inlineStr">
        <is>
          <t>G-I-DDD04</t>
        </is>
      </c>
      <c r="G13" s="12" t="inlineStr">
        <is>
          <t>G-I-DDD04-SEC01</t>
        </is>
      </c>
      <c r="H13" s="12" t="inlineStr">
        <is>
          <t>Équipement fictif G-I-DDD04-SEC01</t>
        </is>
      </c>
      <c r="I13" s="12" t="inlineStr">
        <is>
          <t>Maintenance préventive fictive PIS - poste G-I-DDD04</t>
        </is>
      </c>
      <c r="J13" s="23" t="n">
        <v>46459</v>
      </c>
      <c r="K13" s="12" t="n">
        <v>2027</v>
      </c>
      <c r="L13" s="12" t="inlineStr">
        <is>
          <t>PIS</t>
        </is>
      </c>
      <c r="M13" s="12" t="inlineStr">
        <is>
          <t>PIS</t>
        </is>
      </c>
      <c r="N13" s="12" t="inlineStr">
        <is>
          <t>LIVRAISON</t>
        </is>
      </c>
      <c r="O13" s="12" t="inlineStr">
        <is>
          <t>ACTI</t>
        </is>
      </c>
      <c r="P13" s="12" t="inlineStr">
        <is>
          <t>STAT_SYS_A</t>
        </is>
      </c>
      <c r="Q13" s="12" t="inlineStr">
        <is>
          <t>EQ-DDD04-05</t>
        </is>
      </c>
      <c r="R13" s="23" t="n">
        <v>46380</v>
      </c>
      <c r="S13" s="23" t="n">
        <v>46441</v>
      </c>
      <c r="T13" s="12" t="inlineStr">
        <is>
          <t>Poste fictif Delta</t>
        </is>
      </c>
      <c r="U13" s="12" t="inlineStr">
        <is>
          <t>SPS</t>
        </is>
      </c>
      <c r="V13" s="12" t="inlineStr">
        <is>
          <t>AA1</t>
        </is>
      </c>
      <c r="W13" s="12" t="inlineStr">
        <is>
          <t>ZPR2</t>
        </is>
      </c>
      <c r="X13" s="12" t="inlineStr">
        <is>
          <t>PRE</t>
        </is>
      </c>
      <c r="Y13" s="12" t="n"/>
      <c r="Z13" s="12" t="inlineStr">
        <is>
          <t>USER02</t>
        </is>
      </c>
      <c r="AA13" s="12" t="n">
        <v>454.55</v>
      </c>
      <c r="AB13" s="12" t="inlineStr">
        <is>
          <t>AA1</t>
        </is>
      </c>
      <c r="AC13" s="12" t="inlineStr">
        <is>
          <t>GG-PREV</t>
        </is>
      </c>
      <c r="AD13" s="12" t="inlineStr">
        <is>
          <t>3</t>
        </is>
      </c>
      <c r="AE13" s="12" t="inlineStr">
        <is>
          <t>Code site</t>
        </is>
      </c>
      <c r="AF13" s="12" t="n"/>
      <c r="AG13" s="12" t="n">
        <v>1</v>
      </c>
      <c r="AH13" s="12" t="n"/>
      <c r="AI13" s="12" t="n">
        <v>9</v>
      </c>
      <c r="AJ13" s="12" t="n"/>
      <c r="AK13" s="12" t="inlineStr">
        <is>
          <t>DEMO_GMAO.xlsx</t>
        </is>
      </c>
      <c r="AL13" s="24" t="n">
        <v>46309.625</v>
      </c>
    </row>
    <row r="14">
      <c r="A14" s="12" t="inlineStr">
        <is>
          <t>910000009</t>
        </is>
      </c>
      <c r="B14" s="12" t="n"/>
      <c r="C14" s="12" t="inlineStr">
        <is>
          <t>SPS</t>
        </is>
      </c>
      <c r="D14" s="12" t="inlineStr">
        <is>
          <t>AA1</t>
        </is>
      </c>
      <c r="E14" s="12" t="inlineStr">
        <is>
          <t>G-I-DDD04</t>
        </is>
      </c>
      <c r="F14" s="12" t="inlineStr">
        <is>
          <t>G-I-DDD04</t>
        </is>
      </c>
      <c r="G14" s="12" t="inlineStr">
        <is>
          <t>G-I-DDD04-SEC01</t>
        </is>
      </c>
      <c r="H14" s="12" t="inlineStr">
        <is>
          <t>Équipement fictif G-I-DDD04-SEC01</t>
        </is>
      </c>
      <c r="I14" s="12" t="inlineStr">
        <is>
          <t>Maintenance préventive fictive PIS - poste G-I-DDD04</t>
        </is>
      </c>
      <c r="J14" s="23" t="n">
        <v>46634</v>
      </c>
      <c r="K14" s="12" t="n">
        <v>2027</v>
      </c>
      <c r="L14" s="12" t="inlineStr">
        <is>
          <t>PIS</t>
        </is>
      </c>
      <c r="M14" s="12" t="inlineStr">
        <is>
          <t>PIS</t>
        </is>
      </c>
      <c r="N14" s="12" t="inlineStr">
        <is>
          <t>LIVRAISON</t>
        </is>
      </c>
      <c r="O14" s="12" t="inlineStr">
        <is>
          <t>TERM</t>
        </is>
      </c>
      <c r="P14" s="12" t="inlineStr">
        <is>
          <t>STAT_SYS_A</t>
        </is>
      </c>
      <c r="Q14" s="12" t="inlineStr">
        <is>
          <t>EQ-DDD04-07</t>
        </is>
      </c>
      <c r="R14" s="23" t="n">
        <v>46546</v>
      </c>
      <c r="S14" s="23" t="n">
        <v>46619</v>
      </c>
      <c r="T14" s="12" t="inlineStr">
        <is>
          <t>Poste fictif Delta</t>
        </is>
      </c>
      <c r="U14" s="12" t="inlineStr">
        <is>
          <t>SPS</t>
        </is>
      </c>
      <c r="V14" s="12" t="inlineStr">
        <is>
          <t>AA1</t>
        </is>
      </c>
      <c r="W14" s="12" t="inlineStr">
        <is>
          <t>ZPR2</t>
        </is>
      </c>
      <c r="X14" s="12" t="inlineStr">
        <is>
          <t>PRE</t>
        </is>
      </c>
      <c r="Y14" s="12" t="n"/>
      <c r="Z14" s="12" t="inlineStr">
        <is>
          <t>USER02</t>
        </is>
      </c>
      <c r="AA14" s="12" t="n">
        <v>158.05</v>
      </c>
      <c r="AB14" s="12" t="inlineStr">
        <is>
          <t>AA1</t>
        </is>
      </c>
      <c r="AC14" s="12" t="inlineStr">
        <is>
          <t>GG-PREV</t>
        </is>
      </c>
      <c r="AD14" s="12" t="inlineStr">
        <is>
          <t>1</t>
        </is>
      </c>
      <c r="AE14" s="12" t="inlineStr">
        <is>
          <t>Code site</t>
        </is>
      </c>
      <c r="AF14" s="12" t="n"/>
      <c r="AG14" s="12" t="n">
        <v>1</v>
      </c>
      <c r="AH14" s="12" t="n"/>
      <c r="AI14" s="12" t="n">
        <v>10</v>
      </c>
      <c r="AJ14" s="12" t="n"/>
      <c r="AK14" s="12" t="inlineStr">
        <is>
          <t>DEMO_GMAO.xlsx</t>
        </is>
      </c>
      <c r="AL14" s="24" t="n">
        <v>46309.625</v>
      </c>
    </row>
    <row r="15">
      <c r="A15" s="12" t="inlineStr">
        <is>
          <t>910000010</t>
        </is>
      </c>
      <c r="B15" s="12" t="n"/>
      <c r="C15" s="12" t="inlineStr">
        <is>
          <t>SPS</t>
        </is>
      </c>
      <c r="D15" s="12" t="inlineStr">
        <is>
          <t>AA3</t>
        </is>
      </c>
      <c r="E15" s="12" t="inlineStr">
        <is>
          <t>G-I-EEE05</t>
        </is>
      </c>
      <c r="F15" s="12" t="inlineStr">
        <is>
          <t>G-I-EEE05</t>
        </is>
      </c>
      <c r="G15" s="12" t="inlineStr">
        <is>
          <t>G-I-EEE05-REG01</t>
        </is>
      </c>
      <c r="H15" s="12" t="inlineStr">
        <is>
          <t>Équipement fictif G-I-EEE05-REG01</t>
        </is>
      </c>
      <c r="I15" s="12" t="inlineStr">
        <is>
          <t>Maintenance préventive fictive REV - poste G-I-EEE05</t>
        </is>
      </c>
      <c r="J15" s="23" t="n">
        <v>46113</v>
      </c>
      <c r="K15" s="12" t="n">
        <v>2026</v>
      </c>
      <c r="L15" s="12" t="inlineStr">
        <is>
          <t>REV</t>
        </is>
      </c>
      <c r="M15" s="12" t="inlineStr">
        <is>
          <t>REV</t>
        </is>
      </c>
      <c r="N15" s="12" t="inlineStr">
        <is>
          <t>COUPURE</t>
        </is>
      </c>
      <c r="O15" s="12" t="inlineStr">
        <is>
          <t>ACTI</t>
        </is>
      </c>
      <c r="P15" s="12" t="inlineStr">
        <is>
          <t>STAT_SYS_A</t>
        </is>
      </c>
      <c r="Q15" s="12" t="inlineStr">
        <is>
          <t>EQ-EEE05-05</t>
        </is>
      </c>
      <c r="R15" s="23" t="n">
        <v>46046</v>
      </c>
      <c r="S15" s="23" t="n">
        <v>46087</v>
      </c>
      <c r="T15" s="12" t="inlineStr">
        <is>
          <t>Poste fictif Epsilon</t>
        </is>
      </c>
      <c r="U15" s="12" t="inlineStr">
        <is>
          <t>SPS</t>
        </is>
      </c>
      <c r="V15" s="12" t="inlineStr">
        <is>
          <t>AA3</t>
        </is>
      </c>
      <c r="W15" s="12" t="inlineStr">
        <is>
          <t>ZPR2</t>
        </is>
      </c>
      <c r="X15" s="12" t="inlineStr">
        <is>
          <t>PRE</t>
        </is>
      </c>
      <c r="Y15" s="12" t="n"/>
      <c r="Z15" s="12" t="inlineStr">
        <is>
          <t>USER03</t>
        </is>
      </c>
      <c r="AA15" s="12" t="n">
        <v>1096.42</v>
      </c>
      <c r="AB15" s="12" t="inlineStr">
        <is>
          <t>AA3</t>
        </is>
      </c>
      <c r="AC15" s="12" t="inlineStr">
        <is>
          <t>GG-PREV</t>
        </is>
      </c>
      <c r="AD15" s="12" t="inlineStr">
        <is>
          <t>1</t>
        </is>
      </c>
      <c r="AE15" s="12" t="inlineStr">
        <is>
          <t>Code site</t>
        </is>
      </c>
      <c r="AF15" s="12" t="n"/>
      <c r="AG15" s="12" t="n">
        <v>1</v>
      </c>
      <c r="AH15" s="12" t="n"/>
      <c r="AI15" s="12" t="n">
        <v>11</v>
      </c>
      <c r="AJ15" s="12" t="n"/>
      <c r="AK15" s="12" t="inlineStr">
        <is>
          <t>DEMO_GMAO.xlsx</t>
        </is>
      </c>
      <c r="AL15" s="24" t="n">
        <v>46309.625</v>
      </c>
    </row>
    <row r="16">
      <c r="A16" s="12" t="inlineStr">
        <is>
          <t>910000011</t>
        </is>
      </c>
      <c r="B16" s="12" t="n"/>
      <c r="C16" s="12" t="inlineStr">
        <is>
          <t>SPS</t>
        </is>
      </c>
      <c r="D16" s="12" t="inlineStr">
        <is>
          <t>AA3</t>
        </is>
      </c>
      <c r="E16" s="12" t="inlineStr">
        <is>
          <t>G-I-EEE05</t>
        </is>
      </c>
      <c r="F16" s="12" t="inlineStr">
        <is>
          <t>G-I-EEE05</t>
        </is>
      </c>
      <c r="G16" s="12" t="inlineStr">
        <is>
          <t>G-I-EEE05-REG01</t>
        </is>
      </c>
      <c r="H16" s="12" t="inlineStr">
        <is>
          <t>Équipement fictif G-I-EEE05-REG01</t>
        </is>
      </c>
      <c r="I16" s="12" t="inlineStr">
        <is>
          <t>Maintenance préventive fictive PIS - poste G-I-EEE05</t>
        </is>
      </c>
      <c r="J16" s="23" t="n">
        <v>46688</v>
      </c>
      <c r="K16" s="12" t="n">
        <v>2027</v>
      </c>
      <c r="L16" s="12" t="inlineStr">
        <is>
          <t>PIS</t>
        </is>
      </c>
      <c r="M16" s="12" t="inlineStr">
        <is>
          <t>PIS</t>
        </is>
      </c>
      <c r="N16" s="12" t="inlineStr">
        <is>
          <t>COUPURE</t>
        </is>
      </c>
      <c r="O16" s="12" t="inlineStr">
        <is>
          <t>ACTI</t>
        </is>
      </c>
      <c r="P16" s="12" t="inlineStr">
        <is>
          <t>STAT_SYS_A</t>
        </is>
      </c>
      <c r="Q16" s="12" t="inlineStr">
        <is>
          <t>EQ-EEE05-09</t>
        </is>
      </c>
      <c r="R16" s="23" t="n">
        <v>46637</v>
      </c>
      <c r="S16" s="23" t="n">
        <v>46665</v>
      </c>
      <c r="T16" s="12" t="inlineStr">
        <is>
          <t>Poste fictif Epsilon</t>
        </is>
      </c>
      <c r="U16" s="12" t="inlineStr">
        <is>
          <t>SPS</t>
        </is>
      </c>
      <c r="V16" s="12" t="inlineStr">
        <is>
          <t>AA3</t>
        </is>
      </c>
      <c r="W16" s="12" t="inlineStr">
        <is>
          <t>ZPR2</t>
        </is>
      </c>
      <c r="X16" s="12" t="inlineStr">
        <is>
          <t>PRE</t>
        </is>
      </c>
      <c r="Y16" s="12" t="n"/>
      <c r="Z16" s="12" t="inlineStr">
        <is>
          <t>USER02</t>
        </is>
      </c>
      <c r="AA16" s="12" t="n">
        <v>987.6900000000001</v>
      </c>
      <c r="AB16" s="12" t="inlineStr">
        <is>
          <t>AA3</t>
        </is>
      </c>
      <c r="AC16" s="12" t="inlineStr">
        <is>
          <t>GG-PREV</t>
        </is>
      </c>
      <c r="AD16" s="12" t="inlineStr">
        <is>
          <t>2</t>
        </is>
      </c>
      <c r="AE16" s="12" t="inlineStr">
        <is>
          <t>Code site</t>
        </is>
      </c>
      <c r="AF16" s="12" t="n"/>
      <c r="AG16" s="12" t="n">
        <v>1</v>
      </c>
      <c r="AH16" s="12" t="n"/>
      <c r="AI16" s="12" t="n">
        <v>12</v>
      </c>
      <c r="AJ16" s="12" t="n"/>
      <c r="AK16" s="12" t="inlineStr">
        <is>
          <t>DEMO_GMAO.xlsx</t>
        </is>
      </c>
      <c r="AL16" s="24" t="n">
        <v>46309.625</v>
      </c>
    </row>
    <row r="17">
      <c r="A17" s="12" t="inlineStr">
        <is>
          <t>910000012</t>
        </is>
      </c>
      <c r="B17" s="12" t="n"/>
      <c r="C17" s="12" t="inlineStr">
        <is>
          <t>SPS</t>
        </is>
      </c>
      <c r="D17" s="12" t="inlineStr">
        <is>
          <t>AA4</t>
        </is>
      </c>
      <c r="E17" s="12" t="inlineStr">
        <is>
          <t>G-I-FFF06</t>
        </is>
      </c>
      <c r="F17" s="12" t="inlineStr">
        <is>
          <t>G-I-FFF06</t>
        </is>
      </c>
      <c r="G17" s="12" t="inlineStr">
        <is>
          <t>G-I-FFF06-VAN01</t>
        </is>
      </c>
      <c r="H17" s="12" t="inlineStr">
        <is>
          <t>Équipement fictif G-I-FFF06-VAN01</t>
        </is>
      </c>
      <c r="I17" s="12" t="inlineStr">
        <is>
          <t>Maintenance préventive fictive PIS - poste G-I-FFF06</t>
        </is>
      </c>
      <c r="J17" s="23" t="n">
        <v>46338</v>
      </c>
      <c r="K17" s="12" t="n">
        <v>2026</v>
      </c>
      <c r="L17" s="12" t="inlineStr">
        <is>
          <t>PIS</t>
        </is>
      </c>
      <c r="M17" s="12" t="inlineStr">
        <is>
          <t>PIS</t>
        </is>
      </c>
      <c r="N17" s="12" t="inlineStr">
        <is>
          <t>SECTIONNEMENT</t>
        </is>
      </c>
      <c r="O17" s="12" t="inlineStr">
        <is>
          <t>TERM</t>
        </is>
      </c>
      <c r="P17" s="12" t="inlineStr">
        <is>
          <t>STAT_SYS_A</t>
        </is>
      </c>
      <c r="Q17" s="12" t="inlineStr">
        <is>
          <t>EQ-FFF06-01</t>
        </is>
      </c>
      <c r="R17" s="23" t="n">
        <v>46293</v>
      </c>
      <c r="S17" s="23" t="n">
        <v>46318</v>
      </c>
      <c r="T17" s="12" t="inlineStr">
        <is>
          <t>Poste fictif Zeta</t>
        </is>
      </c>
      <c r="U17" s="12" t="inlineStr">
        <is>
          <t>SPS</t>
        </is>
      </c>
      <c r="V17" s="12" t="inlineStr">
        <is>
          <t>AA4</t>
        </is>
      </c>
      <c r="W17" s="12" t="inlineStr">
        <is>
          <t>ZPR2</t>
        </is>
      </c>
      <c r="X17" s="12" t="inlineStr">
        <is>
          <t>PRE</t>
        </is>
      </c>
      <c r="Y17" s="12" t="n"/>
      <c r="Z17" s="12" t="inlineStr">
        <is>
          <t>USER03</t>
        </is>
      </c>
      <c r="AA17" s="12" t="n">
        <v>474.12</v>
      </c>
      <c r="AB17" s="12" t="inlineStr">
        <is>
          <t>AA4</t>
        </is>
      </c>
      <c r="AC17" s="12" t="inlineStr">
        <is>
          <t>GG-PREV</t>
        </is>
      </c>
      <c r="AD17" s="12" t="inlineStr">
        <is>
          <t>3</t>
        </is>
      </c>
      <c r="AE17" s="12" t="inlineStr">
        <is>
          <t>Code site</t>
        </is>
      </c>
      <c r="AF17" s="12" t="n"/>
      <c r="AG17" s="12" t="n">
        <v>1</v>
      </c>
      <c r="AH17" s="12" t="n"/>
      <c r="AI17" s="12" t="n">
        <v>13</v>
      </c>
      <c r="AJ17" s="12" t="n"/>
      <c r="AK17" s="12" t="inlineStr">
        <is>
          <t>DEMO_GMAO.xlsx</t>
        </is>
      </c>
      <c r="AL17" s="24" t="n">
        <v>46309.625</v>
      </c>
    </row>
    <row r="18">
      <c r="A18" s="12" t="inlineStr">
        <is>
          <t>910000013</t>
        </is>
      </c>
      <c r="B18" s="12" t="n"/>
      <c r="C18" s="12" t="inlineStr">
        <is>
          <t>SPS</t>
        </is>
      </c>
      <c r="D18" s="12" t="inlineStr">
        <is>
          <t>AA4</t>
        </is>
      </c>
      <c r="E18" s="12" t="inlineStr">
        <is>
          <t>G-I-FFF06</t>
        </is>
      </c>
      <c r="F18" s="12" t="inlineStr">
        <is>
          <t>G-I-FFF06</t>
        </is>
      </c>
      <c r="G18" s="12" t="inlineStr">
        <is>
          <t>G-I-FFF06-VAN01</t>
        </is>
      </c>
      <c r="H18" s="12" t="inlineStr">
        <is>
          <t>Équipement fictif G-I-FFF06-VAN01</t>
        </is>
      </c>
      <c r="I18" s="12" t="inlineStr">
        <is>
          <t>Maintenance préventive fictive REV - poste G-I-FFF06</t>
        </is>
      </c>
      <c r="J18" s="23" t="n">
        <v>46553</v>
      </c>
      <c r="K18" s="12" t="n">
        <v>2027</v>
      </c>
      <c r="L18" s="12" t="inlineStr">
        <is>
          <t>REV</t>
        </is>
      </c>
      <c r="M18" s="12" t="inlineStr">
        <is>
          <t>REV</t>
        </is>
      </c>
      <c r="N18" s="12" t="inlineStr">
        <is>
          <t>SECTIONNEMENT</t>
        </is>
      </c>
      <c r="O18" s="12" t="inlineStr">
        <is>
          <t>ACTI</t>
        </is>
      </c>
      <c r="P18" s="12" t="inlineStr">
        <is>
          <t>STAT_SYS_A</t>
        </is>
      </c>
      <c r="Q18" s="12" t="inlineStr">
        <is>
          <t>EQ-FFF06-07</t>
        </is>
      </c>
      <c r="R18" s="23" t="n">
        <v>46507</v>
      </c>
      <c r="S18" s="23" t="n">
        <v>46538</v>
      </c>
      <c r="T18" s="12" t="inlineStr">
        <is>
          <t>Poste fictif Zeta</t>
        </is>
      </c>
      <c r="U18" s="12" t="inlineStr">
        <is>
          <t>SPS</t>
        </is>
      </c>
      <c r="V18" s="12" t="inlineStr">
        <is>
          <t>AA4</t>
        </is>
      </c>
      <c r="W18" s="12" t="inlineStr">
        <is>
          <t>ZPR2</t>
        </is>
      </c>
      <c r="X18" s="12" t="inlineStr">
        <is>
          <t>PRE</t>
        </is>
      </c>
      <c r="Y18" s="12" t="n"/>
      <c r="Z18" s="12" t="inlineStr">
        <is>
          <t>USER03</t>
        </is>
      </c>
      <c r="AA18" s="12" t="n">
        <v>863.74</v>
      </c>
      <c r="AB18" s="12" t="inlineStr">
        <is>
          <t>AA4</t>
        </is>
      </c>
      <c r="AC18" s="12" t="inlineStr">
        <is>
          <t>GG-PREV</t>
        </is>
      </c>
      <c r="AD18" s="12" t="inlineStr">
        <is>
          <t>1</t>
        </is>
      </c>
      <c r="AE18" s="12" t="inlineStr">
        <is>
          <t>Code site</t>
        </is>
      </c>
      <c r="AF18" s="12" t="n"/>
      <c r="AG18" s="12" t="n">
        <v>1</v>
      </c>
      <c r="AH18" s="12" t="n"/>
      <c r="AI18" s="12" t="n">
        <v>14</v>
      </c>
      <c r="AJ18" s="12" t="n"/>
      <c r="AK18" s="12" t="inlineStr">
        <is>
          <t>DEMO_GMAO.xlsx</t>
        </is>
      </c>
      <c r="AL18" s="24" t="n">
        <v>46309.625</v>
      </c>
    </row>
    <row r="19">
      <c r="A19" s="12" t="inlineStr">
        <is>
          <t>910000014</t>
        </is>
      </c>
      <c r="B19" s="12" t="n"/>
      <c r="C19" s="12" t="inlineStr">
        <is>
          <t>RNA</t>
        </is>
      </c>
      <c r="D19" s="12" t="inlineStr">
        <is>
          <t>AA1</t>
        </is>
      </c>
      <c r="E19" s="12" t="inlineStr">
        <is>
          <t>G-I-GGG07</t>
        </is>
      </c>
      <c r="F19" s="12" t="inlineStr">
        <is>
          <t>G-I-GGG07</t>
        </is>
      </c>
      <c r="G19" s="12" t="inlineStr">
        <is>
          <t>G-I-GGG07-FILT01</t>
        </is>
      </c>
      <c r="H19" s="12" t="inlineStr">
        <is>
          <t>Équipement fictif G-I-GGG07-FILT01</t>
        </is>
      </c>
      <c r="I19" s="12" t="inlineStr">
        <is>
          <t>Maintenance préventive fictive REV - poste G-I-GGG07</t>
        </is>
      </c>
      <c r="J19" s="23" t="n">
        <v>46334</v>
      </c>
      <c r="K19" s="12" t="n">
        <v>2026</v>
      </c>
      <c r="L19" s="12" t="inlineStr">
        <is>
          <t>REV</t>
        </is>
      </c>
      <c r="M19" s="12" t="inlineStr">
        <is>
          <t>REV</t>
        </is>
      </c>
      <c r="N19" s="12" t="inlineStr">
        <is>
          <t>DETENTE</t>
        </is>
      </c>
      <c r="O19" s="12" t="inlineStr">
        <is>
          <t>ACTI</t>
        </is>
      </c>
      <c r="P19" s="12" t="inlineStr">
        <is>
          <t>STAT_SYS_A</t>
        </is>
      </c>
      <c r="Q19" s="12" t="inlineStr">
        <is>
          <t>EQ-GGG07-07</t>
        </is>
      </c>
      <c r="R19" s="23" t="n">
        <v>46274</v>
      </c>
      <c r="S19" s="23" t="n">
        <v>46314</v>
      </c>
      <c r="T19" s="12" t="inlineStr">
        <is>
          <t>Poste fictif Eta</t>
        </is>
      </c>
      <c r="U19" s="12" t="inlineStr">
        <is>
          <t>RNA</t>
        </is>
      </c>
      <c r="V19" s="12" t="inlineStr">
        <is>
          <t>AA1</t>
        </is>
      </c>
      <c r="W19" s="12" t="inlineStr">
        <is>
          <t>ZPR2</t>
        </is>
      </c>
      <c r="X19" s="12" t="inlineStr">
        <is>
          <t>PRE</t>
        </is>
      </c>
      <c r="Y19" s="12" t="n"/>
      <c r="Z19" s="12" t="inlineStr">
        <is>
          <t>USER02</t>
        </is>
      </c>
      <c r="AA19" s="12" t="n">
        <v>1480.15</v>
      </c>
      <c r="AB19" s="12" t="inlineStr">
        <is>
          <t>AA1</t>
        </is>
      </c>
      <c r="AC19" s="12" t="inlineStr">
        <is>
          <t>GG-PREV</t>
        </is>
      </c>
      <c r="AD19" s="12" t="inlineStr">
        <is>
          <t>2</t>
        </is>
      </c>
      <c r="AE19" s="12" t="inlineStr">
        <is>
          <t>Code site</t>
        </is>
      </c>
      <c r="AF19" s="12" t="n"/>
      <c r="AG19" s="12" t="n">
        <v>1</v>
      </c>
      <c r="AH19" s="12" t="n"/>
      <c r="AI19" s="12" t="n">
        <v>15</v>
      </c>
      <c r="AJ19" s="12" t="n"/>
      <c r="AK19" s="12" t="inlineStr">
        <is>
          <t>DEMO_GMAO.xlsx</t>
        </is>
      </c>
      <c r="AL19" s="24" t="n">
        <v>46309.625</v>
      </c>
    </row>
    <row r="20">
      <c r="A20" s="12" t="inlineStr">
        <is>
          <t>910000015</t>
        </is>
      </c>
      <c r="B20" s="12" t="n"/>
      <c r="C20" s="12" t="inlineStr">
        <is>
          <t>RNA</t>
        </is>
      </c>
      <c r="D20" s="12" t="inlineStr">
        <is>
          <t>AA1</t>
        </is>
      </c>
      <c r="E20" s="12" t="inlineStr">
        <is>
          <t>G-I-GGG07</t>
        </is>
      </c>
      <c r="F20" s="12" t="inlineStr">
        <is>
          <t>G-I-GGG07</t>
        </is>
      </c>
      <c r="G20" s="12" t="inlineStr">
        <is>
          <t>G-I-GGG07-FILT01</t>
        </is>
      </c>
      <c r="H20" s="12" t="inlineStr">
        <is>
          <t>Équipement fictif G-I-GGG07-FILT01</t>
        </is>
      </c>
      <c r="I20" s="12" t="inlineStr">
        <is>
          <t>Maintenance préventive fictive EC+PIS+PILOTAGE+FILTRE - poste G-I-GGG07</t>
        </is>
      </c>
      <c r="J20" s="23" t="n">
        <v>46702</v>
      </c>
      <c r="K20" s="12" t="n">
        <v>2027</v>
      </c>
      <c r="L20" s="12" t="inlineStr">
        <is>
          <t>EC+PIS+PILOTAGE+FILTRE</t>
        </is>
      </c>
      <c r="M20" s="12" t="inlineStr">
        <is>
          <t>EC</t>
        </is>
      </c>
      <c r="N20" s="12" t="inlineStr">
        <is>
          <t>DETENTE</t>
        </is>
      </c>
      <c r="O20" s="12" t="inlineStr">
        <is>
          <t>ACTI</t>
        </is>
      </c>
      <c r="P20" s="12" t="inlineStr">
        <is>
          <t>STAT_SYS_A</t>
        </is>
      </c>
      <c r="Q20" s="12" t="inlineStr">
        <is>
          <t>EQ-GGG07-06</t>
        </is>
      </c>
      <c r="R20" s="23" t="n">
        <v>46645</v>
      </c>
      <c r="S20" s="23" t="n">
        <v>46682</v>
      </c>
      <c r="T20" s="12" t="inlineStr">
        <is>
          <t>Poste fictif Eta</t>
        </is>
      </c>
      <c r="U20" s="12" t="inlineStr">
        <is>
          <t>RNA</t>
        </is>
      </c>
      <c r="V20" s="12" t="inlineStr">
        <is>
          <t>AA1</t>
        </is>
      </c>
      <c r="W20" s="12" t="inlineStr">
        <is>
          <t>ZPR2</t>
        </is>
      </c>
      <c r="X20" s="12" t="inlineStr">
        <is>
          <t>PRE</t>
        </is>
      </c>
      <c r="Y20" s="12" t="n"/>
      <c r="Z20" s="12" t="inlineStr">
        <is>
          <t>USER03</t>
        </is>
      </c>
      <c r="AA20" s="12" t="n">
        <v>319.34</v>
      </c>
      <c r="AB20" s="12" t="inlineStr">
        <is>
          <t>AA1</t>
        </is>
      </c>
      <c r="AC20" s="12" t="inlineStr">
        <is>
          <t>GG-PREV</t>
        </is>
      </c>
      <c r="AD20" s="12" t="inlineStr">
        <is>
          <t>1</t>
        </is>
      </c>
      <c r="AE20" s="12" t="inlineStr">
        <is>
          <t>Code site</t>
        </is>
      </c>
      <c r="AF20" s="12" t="n"/>
      <c r="AG20" s="12" t="n">
        <v>1</v>
      </c>
      <c r="AH20" s="12" t="n"/>
      <c r="AI20" s="12" t="n">
        <v>16</v>
      </c>
      <c r="AJ20" s="12" t="n"/>
      <c r="AK20" s="12" t="inlineStr">
        <is>
          <t>DEMO_GMAO.xlsx</t>
        </is>
      </c>
      <c r="AL20" s="24" t="n">
        <v>46309.625</v>
      </c>
    </row>
    <row r="21">
      <c r="A21" s="12" t="inlineStr">
        <is>
          <t>910000015</t>
        </is>
      </c>
      <c r="B21" s="12" t="n"/>
      <c r="C21" s="12" t="inlineStr">
        <is>
          <t>RNA</t>
        </is>
      </c>
      <c r="D21" s="12" t="inlineStr">
        <is>
          <t>AA1</t>
        </is>
      </c>
      <c r="E21" s="12" t="inlineStr">
        <is>
          <t>G-I-GGG07</t>
        </is>
      </c>
      <c r="F21" s="12" t="inlineStr">
        <is>
          <t>G-I-GGG07</t>
        </is>
      </c>
      <c r="G21" s="12" t="inlineStr">
        <is>
          <t>G-I-GGG07-FILT01</t>
        </is>
      </c>
      <c r="H21" s="12" t="inlineStr">
        <is>
          <t>Équipement fictif G-I-GGG07-FILT01</t>
        </is>
      </c>
      <c r="I21" s="12" t="inlineStr">
        <is>
          <t>Maintenance préventive fictive EC+PIS+PILOTAGE+FILTRE - poste G-I-GGG07</t>
        </is>
      </c>
      <c r="J21" s="23" t="n">
        <v>46702</v>
      </c>
      <c r="K21" s="12" t="n">
        <v>2027</v>
      </c>
      <c r="L21" s="12" t="inlineStr">
        <is>
          <t>EC+PIS+PILOTAGE+FILTRE</t>
        </is>
      </c>
      <c r="M21" s="12" t="inlineStr">
        <is>
          <t>PIS</t>
        </is>
      </c>
      <c r="N21" s="12" t="inlineStr">
        <is>
          <t>DETENTE</t>
        </is>
      </c>
      <c r="O21" s="12" t="inlineStr">
        <is>
          <t>ACTI</t>
        </is>
      </c>
      <c r="P21" s="12" t="inlineStr">
        <is>
          <t>STAT_SYS_A</t>
        </is>
      </c>
      <c r="Q21" s="12" t="inlineStr">
        <is>
          <t>EQ-GGG07-06</t>
        </is>
      </c>
      <c r="R21" s="23" t="n">
        <v>46645</v>
      </c>
      <c r="S21" s="23" t="n">
        <v>46682</v>
      </c>
      <c r="T21" s="12" t="inlineStr">
        <is>
          <t>Poste fictif Eta</t>
        </is>
      </c>
      <c r="U21" s="12" t="inlineStr">
        <is>
          <t>RNA</t>
        </is>
      </c>
      <c r="V21" s="12" t="inlineStr">
        <is>
          <t>AA1</t>
        </is>
      </c>
      <c r="W21" s="12" t="inlineStr">
        <is>
          <t>ZPR2</t>
        </is>
      </c>
      <c r="X21" s="12" t="inlineStr">
        <is>
          <t>PRE</t>
        </is>
      </c>
      <c r="Y21" s="12" t="n"/>
      <c r="Z21" s="12" t="inlineStr">
        <is>
          <t>USER03</t>
        </is>
      </c>
      <c r="AA21" s="12" t="n">
        <v>319.34</v>
      </c>
      <c r="AB21" s="12" t="inlineStr">
        <is>
          <t>AA1</t>
        </is>
      </c>
      <c r="AC21" s="12" t="inlineStr">
        <is>
          <t>GG-PREV</t>
        </is>
      </c>
      <c r="AD21" s="12" t="inlineStr">
        <is>
          <t>1</t>
        </is>
      </c>
      <c r="AE21" s="12" t="inlineStr">
        <is>
          <t>Code site</t>
        </is>
      </c>
      <c r="AF21" s="12" t="n"/>
      <c r="AG21" s="12" t="n">
        <v>0</v>
      </c>
      <c r="AH21" s="12" t="n"/>
      <c r="AI21" s="12" t="n">
        <v>16</v>
      </c>
      <c r="AJ21" s="12" t="n"/>
      <c r="AK21" s="12" t="inlineStr">
        <is>
          <t>DEMO_GMAO.xlsx</t>
        </is>
      </c>
      <c r="AL21" s="24" t="n">
        <v>46309.625</v>
      </c>
    </row>
    <row r="22">
      <c r="A22" s="12" t="inlineStr">
        <is>
          <t>910000015</t>
        </is>
      </c>
      <c r="B22" s="12" t="n"/>
      <c r="C22" s="12" t="inlineStr">
        <is>
          <t>RNA</t>
        </is>
      </c>
      <c r="D22" s="12" t="inlineStr">
        <is>
          <t>AA1</t>
        </is>
      </c>
      <c r="E22" s="12" t="inlineStr">
        <is>
          <t>G-I-GGG07</t>
        </is>
      </c>
      <c r="F22" s="12" t="inlineStr">
        <is>
          <t>G-I-GGG07</t>
        </is>
      </c>
      <c r="G22" s="12" t="inlineStr">
        <is>
          <t>G-I-GGG07-FILT01</t>
        </is>
      </c>
      <c r="H22" s="12" t="inlineStr">
        <is>
          <t>Équipement fictif G-I-GGG07-FILT01</t>
        </is>
      </c>
      <c r="I22" s="12" t="inlineStr">
        <is>
          <t>Maintenance préventive fictive EC+PIS+PILOTAGE+FILTRE - poste G-I-GGG07</t>
        </is>
      </c>
      <c r="J22" s="23" t="n">
        <v>46702</v>
      </c>
      <c r="K22" s="12" t="n">
        <v>2027</v>
      </c>
      <c r="L22" s="12" t="inlineStr">
        <is>
          <t>EC+PIS+PILOTAGE+FILTRE</t>
        </is>
      </c>
      <c r="M22" s="12" t="inlineStr">
        <is>
          <t>PILOTAGE</t>
        </is>
      </c>
      <c r="N22" s="12" t="inlineStr">
        <is>
          <t>DETENTE</t>
        </is>
      </c>
      <c r="O22" s="12" t="inlineStr">
        <is>
          <t>ACTI</t>
        </is>
      </c>
      <c r="P22" s="12" t="inlineStr">
        <is>
          <t>STAT_SYS_A</t>
        </is>
      </c>
      <c r="Q22" s="12" t="inlineStr">
        <is>
          <t>EQ-GGG07-06</t>
        </is>
      </c>
      <c r="R22" s="23" t="n">
        <v>46645</v>
      </c>
      <c r="S22" s="23" t="n">
        <v>46682</v>
      </c>
      <c r="T22" s="12" t="inlineStr">
        <is>
          <t>Poste fictif Eta</t>
        </is>
      </c>
      <c r="U22" s="12" t="inlineStr">
        <is>
          <t>RNA</t>
        </is>
      </c>
      <c r="V22" s="12" t="inlineStr">
        <is>
          <t>AA1</t>
        </is>
      </c>
      <c r="W22" s="12" t="inlineStr">
        <is>
          <t>ZPR2</t>
        </is>
      </c>
      <c r="X22" s="12" t="inlineStr">
        <is>
          <t>PRE</t>
        </is>
      </c>
      <c r="Y22" s="12" t="n"/>
      <c r="Z22" s="12" t="inlineStr">
        <is>
          <t>USER03</t>
        </is>
      </c>
      <c r="AA22" s="12" t="n">
        <v>319.34</v>
      </c>
      <c r="AB22" s="12" t="inlineStr">
        <is>
          <t>AA1</t>
        </is>
      </c>
      <c r="AC22" s="12" t="inlineStr">
        <is>
          <t>GG-PREV</t>
        </is>
      </c>
      <c r="AD22" s="12" t="inlineStr">
        <is>
          <t>1</t>
        </is>
      </c>
      <c r="AE22" s="12" t="inlineStr">
        <is>
          <t>Code site</t>
        </is>
      </c>
      <c r="AF22" s="12" t="n"/>
      <c r="AG22" s="12" t="n">
        <v>0</v>
      </c>
      <c r="AH22" s="12" t="n"/>
      <c r="AI22" s="12" t="n">
        <v>16</v>
      </c>
      <c r="AJ22" s="12" t="n"/>
      <c r="AK22" s="12" t="inlineStr">
        <is>
          <t>DEMO_GMAO.xlsx</t>
        </is>
      </c>
      <c r="AL22" s="24" t="n">
        <v>46309.625</v>
      </c>
    </row>
    <row r="23">
      <c r="A23" s="12" t="inlineStr">
        <is>
          <t>910000015</t>
        </is>
      </c>
      <c r="B23" s="12" t="n"/>
      <c r="C23" s="12" t="inlineStr">
        <is>
          <t>RNA</t>
        </is>
      </c>
      <c r="D23" s="12" t="inlineStr">
        <is>
          <t>AA1</t>
        </is>
      </c>
      <c r="E23" s="12" t="inlineStr">
        <is>
          <t>G-I-GGG07</t>
        </is>
      </c>
      <c r="F23" s="12" t="inlineStr">
        <is>
          <t>G-I-GGG07</t>
        </is>
      </c>
      <c r="G23" s="12" t="inlineStr">
        <is>
          <t>G-I-GGG07-FILT01</t>
        </is>
      </c>
      <c r="H23" s="12" t="inlineStr">
        <is>
          <t>Équipement fictif G-I-GGG07-FILT01</t>
        </is>
      </c>
      <c r="I23" s="12" t="inlineStr">
        <is>
          <t>Maintenance préventive fictive EC+PIS+PILOTAGE+FILTRE - poste G-I-GGG07</t>
        </is>
      </c>
      <c r="J23" s="23" t="n">
        <v>46702</v>
      </c>
      <c r="K23" s="12" t="n">
        <v>2027</v>
      </c>
      <c r="L23" s="12" t="inlineStr">
        <is>
          <t>EC+PIS+PILOTAGE+FILTRE</t>
        </is>
      </c>
      <c r="M23" s="12" t="inlineStr">
        <is>
          <t>FILTRE</t>
        </is>
      </c>
      <c r="N23" s="12" t="inlineStr">
        <is>
          <t>DETENTE</t>
        </is>
      </c>
      <c r="O23" s="12" t="inlineStr">
        <is>
          <t>ACTI</t>
        </is>
      </c>
      <c r="P23" s="12" t="inlineStr">
        <is>
          <t>STAT_SYS_A</t>
        </is>
      </c>
      <c r="Q23" s="12" t="inlineStr">
        <is>
          <t>EQ-GGG07-06</t>
        </is>
      </c>
      <c r="R23" s="23" t="n">
        <v>46645</v>
      </c>
      <c r="S23" s="23" t="n">
        <v>46682</v>
      </c>
      <c r="T23" s="12" t="inlineStr">
        <is>
          <t>Poste fictif Eta</t>
        </is>
      </c>
      <c r="U23" s="12" t="inlineStr">
        <is>
          <t>RNA</t>
        </is>
      </c>
      <c r="V23" s="12" t="inlineStr">
        <is>
          <t>AA1</t>
        </is>
      </c>
      <c r="W23" s="12" t="inlineStr">
        <is>
          <t>ZPR2</t>
        </is>
      </c>
      <c r="X23" s="12" t="inlineStr">
        <is>
          <t>PRE</t>
        </is>
      </c>
      <c r="Y23" s="12" t="n"/>
      <c r="Z23" s="12" t="inlineStr">
        <is>
          <t>USER03</t>
        </is>
      </c>
      <c r="AA23" s="12" t="n">
        <v>319.34</v>
      </c>
      <c r="AB23" s="12" t="inlineStr">
        <is>
          <t>AA1</t>
        </is>
      </c>
      <c r="AC23" s="12" t="inlineStr">
        <is>
          <t>GG-PREV</t>
        </is>
      </c>
      <c r="AD23" s="12" t="inlineStr">
        <is>
          <t>1</t>
        </is>
      </c>
      <c r="AE23" s="12" t="inlineStr">
        <is>
          <t>Code site</t>
        </is>
      </c>
      <c r="AF23" s="12" t="n"/>
      <c r="AG23" s="12" t="n">
        <v>0</v>
      </c>
      <c r="AH23" s="12" t="n"/>
      <c r="AI23" s="12" t="n">
        <v>16</v>
      </c>
      <c r="AJ23" s="12" t="n"/>
      <c r="AK23" s="12" t="inlineStr">
        <is>
          <t>DEMO_GMAO.xlsx</t>
        </is>
      </c>
      <c r="AL23" s="24" t="n">
        <v>46309.625</v>
      </c>
    </row>
    <row r="24">
      <c r="A24" s="12" t="inlineStr">
        <is>
          <t>910000016</t>
        </is>
      </c>
      <c r="B24" s="12" t="n"/>
      <c r="C24" s="12" t="inlineStr">
        <is>
          <t>RNA</t>
        </is>
      </c>
      <c r="D24" s="12" t="inlineStr">
        <is>
          <t>AA3</t>
        </is>
      </c>
      <c r="E24" s="12" t="inlineStr">
        <is>
          <t>G-I-HHH08</t>
        </is>
      </c>
      <c r="F24" s="12" t="inlineStr">
        <is>
          <t>G-I-HHH08</t>
        </is>
      </c>
      <c r="G24" s="12" t="inlineStr">
        <is>
          <t>G-I-HHH08-SEC01</t>
        </is>
      </c>
      <c r="H24" s="12" t="inlineStr">
        <is>
          <t>Équipement fictif G-I-HHH08-SEC01</t>
        </is>
      </c>
      <c r="I24" s="12" t="inlineStr">
        <is>
          <t>Maintenance préventive fictive EC+PIS - poste G-I-HHH08</t>
        </is>
      </c>
      <c r="J24" s="23" t="n">
        <v>46292</v>
      </c>
      <c r="K24" s="12" t="n">
        <v>2026</v>
      </c>
      <c r="L24" s="12" t="inlineStr">
        <is>
          <t>EC+PIS</t>
        </is>
      </c>
      <c r="M24" s="12" t="inlineStr">
        <is>
          <t>EC</t>
        </is>
      </c>
      <c r="N24" s="12" t="inlineStr">
        <is>
          <t>COMPTAGE</t>
        </is>
      </c>
      <c r="O24" s="12" t="inlineStr">
        <is>
          <t>TERM</t>
        </is>
      </c>
      <c r="P24" s="12" t="inlineStr">
        <is>
          <t>STAT_SYS_A</t>
        </is>
      </c>
      <c r="Q24" s="12" t="inlineStr">
        <is>
          <t>EQ-HHH08-01</t>
        </is>
      </c>
      <c r="R24" s="23" t="n">
        <v>46210</v>
      </c>
      <c r="S24" s="23" t="n">
        <v>46284</v>
      </c>
      <c r="T24" s="12" t="inlineStr">
        <is>
          <t>Poste fictif Theta</t>
        </is>
      </c>
      <c r="U24" s="12" t="inlineStr">
        <is>
          <t>RNA</t>
        </is>
      </c>
      <c r="V24" s="12" t="inlineStr">
        <is>
          <t>AA3</t>
        </is>
      </c>
      <c r="W24" s="12" t="inlineStr">
        <is>
          <t>ZPR2</t>
        </is>
      </c>
      <c r="X24" s="12" t="inlineStr">
        <is>
          <t>PRE</t>
        </is>
      </c>
      <c r="Y24" s="12" t="n"/>
      <c r="Z24" s="12" t="inlineStr">
        <is>
          <t>USER03</t>
        </is>
      </c>
      <c r="AA24" s="12" t="n">
        <v>622.67</v>
      </c>
      <c r="AB24" s="12" t="inlineStr">
        <is>
          <t>AA3</t>
        </is>
      </c>
      <c r="AC24" s="12" t="inlineStr">
        <is>
          <t>GG-PREV</t>
        </is>
      </c>
      <c r="AD24" s="12" t="inlineStr">
        <is>
          <t>2</t>
        </is>
      </c>
      <c r="AE24" s="12" t="inlineStr">
        <is>
          <t>Code site</t>
        </is>
      </c>
      <c r="AF24" s="12" t="n"/>
      <c r="AG24" s="12" t="n">
        <v>1</v>
      </c>
      <c r="AH24" s="12" t="n"/>
      <c r="AI24" s="12" t="n">
        <v>17</v>
      </c>
      <c r="AJ24" s="12" t="n"/>
      <c r="AK24" s="12" t="inlineStr">
        <is>
          <t>DEMO_GMAO.xlsx</t>
        </is>
      </c>
      <c r="AL24" s="24" t="n">
        <v>46309.625</v>
      </c>
    </row>
    <row r="25">
      <c r="A25" s="12" t="inlineStr">
        <is>
          <t>910000016</t>
        </is>
      </c>
      <c r="B25" s="12" t="n"/>
      <c r="C25" s="12" t="inlineStr">
        <is>
          <t>RNA</t>
        </is>
      </c>
      <c r="D25" s="12" t="inlineStr">
        <is>
          <t>AA3</t>
        </is>
      </c>
      <c r="E25" s="12" t="inlineStr">
        <is>
          <t>G-I-HHH08</t>
        </is>
      </c>
      <c r="F25" s="12" t="inlineStr">
        <is>
          <t>G-I-HHH08</t>
        </is>
      </c>
      <c r="G25" s="12" t="inlineStr">
        <is>
          <t>G-I-HHH08-SEC01</t>
        </is>
      </c>
      <c r="H25" s="12" t="inlineStr">
        <is>
          <t>Équipement fictif G-I-HHH08-SEC01</t>
        </is>
      </c>
      <c r="I25" s="12" t="inlineStr">
        <is>
          <t>Maintenance préventive fictive EC+PIS - poste G-I-HHH08</t>
        </is>
      </c>
      <c r="J25" s="23" t="n">
        <v>46292</v>
      </c>
      <c r="K25" s="12" t="n">
        <v>2026</v>
      </c>
      <c r="L25" s="12" t="inlineStr">
        <is>
          <t>EC+PIS</t>
        </is>
      </c>
      <c r="M25" s="12" t="inlineStr">
        <is>
          <t>PIS</t>
        </is>
      </c>
      <c r="N25" s="12" t="inlineStr">
        <is>
          <t>COMPTAGE</t>
        </is>
      </c>
      <c r="O25" s="12" t="inlineStr">
        <is>
          <t>TERM</t>
        </is>
      </c>
      <c r="P25" s="12" t="inlineStr">
        <is>
          <t>STAT_SYS_A</t>
        </is>
      </c>
      <c r="Q25" s="12" t="inlineStr">
        <is>
          <t>EQ-HHH08-01</t>
        </is>
      </c>
      <c r="R25" s="23" t="n">
        <v>46210</v>
      </c>
      <c r="S25" s="23" t="n">
        <v>46284</v>
      </c>
      <c r="T25" s="12" t="inlineStr">
        <is>
          <t>Poste fictif Theta</t>
        </is>
      </c>
      <c r="U25" s="12" t="inlineStr">
        <is>
          <t>RNA</t>
        </is>
      </c>
      <c r="V25" s="12" t="inlineStr">
        <is>
          <t>AA3</t>
        </is>
      </c>
      <c r="W25" s="12" t="inlineStr">
        <is>
          <t>ZPR2</t>
        </is>
      </c>
      <c r="X25" s="12" t="inlineStr">
        <is>
          <t>PRE</t>
        </is>
      </c>
      <c r="Y25" s="12" t="n"/>
      <c r="Z25" s="12" t="inlineStr">
        <is>
          <t>USER03</t>
        </is>
      </c>
      <c r="AA25" s="12" t="n">
        <v>622.67</v>
      </c>
      <c r="AB25" s="12" t="inlineStr">
        <is>
          <t>AA3</t>
        </is>
      </c>
      <c r="AC25" s="12" t="inlineStr">
        <is>
          <t>GG-PREV</t>
        </is>
      </c>
      <c r="AD25" s="12" t="inlineStr">
        <is>
          <t>2</t>
        </is>
      </c>
      <c r="AE25" s="12" t="inlineStr">
        <is>
          <t>Code site</t>
        </is>
      </c>
      <c r="AF25" s="12" t="n"/>
      <c r="AG25" s="12" t="n">
        <v>0</v>
      </c>
      <c r="AH25" s="12" t="n"/>
      <c r="AI25" s="12" t="n">
        <v>17</v>
      </c>
      <c r="AJ25" s="12" t="n"/>
      <c r="AK25" s="12" t="inlineStr">
        <is>
          <t>DEMO_GMAO.xlsx</t>
        </is>
      </c>
      <c r="AL25" s="24" t="n">
        <v>46309.625</v>
      </c>
    </row>
    <row r="26">
      <c r="A26" s="12" t="inlineStr">
        <is>
          <t>910000017</t>
        </is>
      </c>
      <c r="B26" s="12" t="n"/>
      <c r="C26" s="12" t="inlineStr">
        <is>
          <t>RNA</t>
        </is>
      </c>
      <c r="D26" s="12" t="inlineStr">
        <is>
          <t>AA3</t>
        </is>
      </c>
      <c r="E26" s="12" t="inlineStr">
        <is>
          <t>G-I-HHH08</t>
        </is>
      </c>
      <c r="F26" s="12" t="inlineStr">
        <is>
          <t>G-I-HHH08</t>
        </is>
      </c>
      <c r="G26" s="12" t="inlineStr">
        <is>
          <t>G-I-HHH08-SEC01</t>
        </is>
      </c>
      <c r="H26" s="12" t="inlineStr">
        <is>
          <t>Équipement fictif G-I-HHH08-SEC01</t>
        </is>
      </c>
      <c r="I26" s="12" t="inlineStr">
        <is>
          <t>Maintenance préventive fictive PIS - poste G-I-HHH08</t>
        </is>
      </c>
      <c r="J26" s="23" t="n">
        <v>46662</v>
      </c>
      <c r="K26" s="12" t="n">
        <v>2027</v>
      </c>
      <c r="L26" s="12" t="inlineStr">
        <is>
          <t>PIS</t>
        </is>
      </c>
      <c r="M26" s="12" t="inlineStr">
        <is>
          <t>PIS</t>
        </is>
      </c>
      <c r="N26" s="12" t="inlineStr">
        <is>
          <t>COMPTAGE</t>
        </is>
      </c>
      <c r="O26" s="12" t="inlineStr">
        <is>
          <t>ACTI</t>
        </is>
      </c>
      <c r="P26" s="12" t="inlineStr">
        <is>
          <t>STAT_SYS_A</t>
        </is>
      </c>
      <c r="Q26" s="12" t="inlineStr">
        <is>
          <t>EQ-HHH08-06</t>
        </is>
      </c>
      <c r="R26" s="23" t="n">
        <v>46588</v>
      </c>
      <c r="S26" s="23" t="n">
        <v>46645</v>
      </c>
      <c r="T26" s="12" t="inlineStr">
        <is>
          <t>Poste fictif Theta</t>
        </is>
      </c>
      <c r="U26" s="12" t="inlineStr">
        <is>
          <t>RNA</t>
        </is>
      </c>
      <c r="V26" s="12" t="inlineStr">
        <is>
          <t>AA3</t>
        </is>
      </c>
      <c r="W26" s="12" t="inlineStr">
        <is>
          <t>ZPR2</t>
        </is>
      </c>
      <c r="X26" s="12" t="inlineStr">
        <is>
          <t>PRE</t>
        </is>
      </c>
      <c r="Y26" s="12" t="n"/>
      <c r="Z26" s="12" t="inlineStr">
        <is>
          <t>USER01</t>
        </is>
      </c>
      <c r="AA26" s="12" t="n">
        <v>1166.79</v>
      </c>
      <c r="AB26" s="12" t="inlineStr">
        <is>
          <t>AA3</t>
        </is>
      </c>
      <c r="AC26" s="12" t="inlineStr">
        <is>
          <t>GG-PREV</t>
        </is>
      </c>
      <c r="AD26" s="12" t="inlineStr">
        <is>
          <t>1</t>
        </is>
      </c>
      <c r="AE26" s="12" t="inlineStr">
        <is>
          <t>Code site</t>
        </is>
      </c>
      <c r="AF26" s="12" t="n"/>
      <c r="AG26" s="12" t="n">
        <v>1</v>
      </c>
      <c r="AH26" s="12" t="n"/>
      <c r="AI26" s="12" t="n">
        <v>18</v>
      </c>
      <c r="AJ26" s="12" t="n"/>
      <c r="AK26" s="12" t="inlineStr">
        <is>
          <t>DEMO_GMAO.xlsx</t>
        </is>
      </c>
      <c r="AL26" s="24" t="n">
        <v>46309.625</v>
      </c>
    </row>
    <row r="27">
      <c r="A27" s="12" t="inlineStr">
        <is>
          <t>910000018</t>
        </is>
      </c>
      <c r="B27" s="12" t="n"/>
      <c r="C27" s="12" t="inlineStr">
        <is>
          <t>RNA</t>
        </is>
      </c>
      <c r="D27" s="12" t="inlineStr">
        <is>
          <t>AA4</t>
        </is>
      </c>
      <c r="E27" s="12" t="inlineStr">
        <is>
          <t>G-I-III09</t>
        </is>
      </c>
      <c r="F27" s="12" t="inlineStr">
        <is>
          <t>G-I-III09</t>
        </is>
      </c>
      <c r="G27" s="12" t="inlineStr">
        <is>
          <t>G-I-III09-REG01</t>
        </is>
      </c>
      <c r="H27" s="12" t="inlineStr">
        <is>
          <t>Équipement fictif G-I-III09-REG01</t>
        </is>
      </c>
      <c r="I27" s="12" t="inlineStr">
        <is>
          <t>Maintenance préventive fictive EC+PIS - poste G-I-III09</t>
        </is>
      </c>
      <c r="J27" s="23" t="n">
        <v>46035</v>
      </c>
      <c r="K27" s="12" t="n">
        <v>2026</v>
      </c>
      <c r="L27" s="12" t="inlineStr">
        <is>
          <t>EC+PIS</t>
        </is>
      </c>
      <c r="M27" s="12" t="inlineStr">
        <is>
          <t>EC</t>
        </is>
      </c>
      <c r="N27" s="12" t="inlineStr">
        <is>
          <t>COUPURE</t>
        </is>
      </c>
      <c r="O27" s="12" t="inlineStr">
        <is>
          <t>TERM</t>
        </is>
      </c>
      <c r="P27" s="12" t="inlineStr">
        <is>
          <t>STAT_SYS_A</t>
        </is>
      </c>
      <c r="Q27" s="12" t="inlineStr">
        <is>
          <t>EQ-III09-09</t>
        </is>
      </c>
      <c r="R27" s="23" t="n">
        <v>45995</v>
      </c>
      <c r="S27" s="23" t="n">
        <v>46013</v>
      </c>
      <c r="T27" s="12" t="inlineStr">
        <is>
          <t>Poste fictif Iota</t>
        </is>
      </c>
      <c r="U27" s="12" t="inlineStr">
        <is>
          <t>RNA</t>
        </is>
      </c>
      <c r="V27" s="12" t="inlineStr">
        <is>
          <t>AA4</t>
        </is>
      </c>
      <c r="W27" s="12" t="inlineStr">
        <is>
          <t>ZPR2</t>
        </is>
      </c>
      <c r="X27" s="12" t="inlineStr">
        <is>
          <t>PRE</t>
        </is>
      </c>
      <c r="Y27" s="12" t="n"/>
      <c r="Z27" s="12" t="inlineStr">
        <is>
          <t>USER03</t>
        </is>
      </c>
      <c r="AA27" s="12" t="n">
        <v>1433.38</v>
      </c>
      <c r="AB27" s="12" t="inlineStr">
        <is>
          <t>AA4</t>
        </is>
      </c>
      <c r="AC27" s="12" t="inlineStr">
        <is>
          <t>GG-PREV</t>
        </is>
      </c>
      <c r="AD27" s="12" t="inlineStr">
        <is>
          <t>2</t>
        </is>
      </c>
      <c r="AE27" s="12" t="inlineStr">
        <is>
          <t>Code site</t>
        </is>
      </c>
      <c r="AF27" s="12" t="n"/>
      <c r="AG27" s="12" t="n">
        <v>1</v>
      </c>
      <c r="AH27" s="12" t="n"/>
      <c r="AI27" s="12" t="n">
        <v>19</v>
      </c>
      <c r="AJ27" s="12" t="n"/>
      <c r="AK27" s="12" t="inlineStr">
        <is>
          <t>DEMO_GMAO.xlsx</t>
        </is>
      </c>
      <c r="AL27" s="24" t="n">
        <v>46309.625</v>
      </c>
    </row>
    <row r="28">
      <c r="A28" s="12" t="inlineStr">
        <is>
          <t>910000018</t>
        </is>
      </c>
      <c r="B28" s="12" t="n"/>
      <c r="C28" s="12" t="inlineStr">
        <is>
          <t>RNA</t>
        </is>
      </c>
      <c r="D28" s="12" t="inlineStr">
        <is>
          <t>AA4</t>
        </is>
      </c>
      <c r="E28" s="12" t="inlineStr">
        <is>
          <t>G-I-III09</t>
        </is>
      </c>
      <c r="F28" s="12" t="inlineStr">
        <is>
          <t>G-I-III09</t>
        </is>
      </c>
      <c r="G28" s="12" t="inlineStr">
        <is>
          <t>G-I-III09-REG01</t>
        </is>
      </c>
      <c r="H28" s="12" t="inlineStr">
        <is>
          <t>Équipement fictif G-I-III09-REG01</t>
        </is>
      </c>
      <c r="I28" s="12" t="inlineStr">
        <is>
          <t>Maintenance préventive fictive EC+PIS - poste G-I-III09</t>
        </is>
      </c>
      <c r="J28" s="23" t="n">
        <v>46035</v>
      </c>
      <c r="K28" s="12" t="n">
        <v>2026</v>
      </c>
      <c r="L28" s="12" t="inlineStr">
        <is>
          <t>EC+PIS</t>
        </is>
      </c>
      <c r="M28" s="12" t="inlineStr">
        <is>
          <t>PIS</t>
        </is>
      </c>
      <c r="N28" s="12" t="inlineStr">
        <is>
          <t>COUPURE</t>
        </is>
      </c>
      <c r="O28" s="12" t="inlineStr">
        <is>
          <t>TERM</t>
        </is>
      </c>
      <c r="P28" s="12" t="inlineStr">
        <is>
          <t>STAT_SYS_A</t>
        </is>
      </c>
      <c r="Q28" s="12" t="inlineStr">
        <is>
          <t>EQ-III09-09</t>
        </is>
      </c>
      <c r="R28" s="23" t="n">
        <v>45995</v>
      </c>
      <c r="S28" s="23" t="n">
        <v>46013</v>
      </c>
      <c r="T28" s="12" t="inlineStr">
        <is>
          <t>Poste fictif Iota</t>
        </is>
      </c>
      <c r="U28" s="12" t="inlineStr">
        <is>
          <t>RNA</t>
        </is>
      </c>
      <c r="V28" s="12" t="inlineStr">
        <is>
          <t>AA4</t>
        </is>
      </c>
      <c r="W28" s="12" t="inlineStr">
        <is>
          <t>ZPR2</t>
        </is>
      </c>
      <c r="X28" s="12" t="inlineStr">
        <is>
          <t>PRE</t>
        </is>
      </c>
      <c r="Y28" s="12" t="n"/>
      <c r="Z28" s="12" t="inlineStr">
        <is>
          <t>USER03</t>
        </is>
      </c>
      <c r="AA28" s="12" t="n">
        <v>1433.38</v>
      </c>
      <c r="AB28" s="12" t="inlineStr">
        <is>
          <t>AA4</t>
        </is>
      </c>
      <c r="AC28" s="12" t="inlineStr">
        <is>
          <t>GG-PREV</t>
        </is>
      </c>
      <c r="AD28" s="12" t="inlineStr">
        <is>
          <t>2</t>
        </is>
      </c>
      <c r="AE28" s="12" t="inlineStr">
        <is>
          <t>Code site</t>
        </is>
      </c>
      <c r="AF28" s="12" t="n"/>
      <c r="AG28" s="12" t="n">
        <v>0</v>
      </c>
      <c r="AH28" s="12" t="n"/>
      <c r="AI28" s="12" t="n">
        <v>19</v>
      </c>
      <c r="AJ28" s="12" t="n"/>
      <c r="AK28" s="12" t="inlineStr">
        <is>
          <t>DEMO_GMAO.xlsx</t>
        </is>
      </c>
      <c r="AL28" s="24" t="n">
        <v>46309.625</v>
      </c>
    </row>
    <row r="29">
      <c r="A29" s="12" t="inlineStr">
        <is>
          <t>910000019</t>
        </is>
      </c>
      <c r="B29" s="12" t="n"/>
      <c r="C29" s="12" t="inlineStr">
        <is>
          <t>VRS</t>
        </is>
      </c>
      <c r="D29" s="12" t="inlineStr">
        <is>
          <t>AA1</t>
        </is>
      </c>
      <c r="E29" s="12" t="inlineStr">
        <is>
          <t>G-I-JJJ10</t>
        </is>
      </c>
      <c r="F29" s="12" t="inlineStr">
        <is>
          <t>G-I-JJJ10</t>
        </is>
      </c>
      <c r="G29" s="12" t="inlineStr">
        <is>
          <t>G-I-JJJ10-VAN01</t>
        </is>
      </c>
      <c r="H29" s="12" t="inlineStr">
        <is>
          <t>Équipement fictif G-I-JJJ10-VAN01</t>
        </is>
      </c>
      <c r="I29" s="12" t="inlineStr">
        <is>
          <t>Maintenance préventive fictive EC+PIS - poste G-I-JJJ10</t>
        </is>
      </c>
      <c r="J29" s="23" t="n">
        <v>46046</v>
      </c>
      <c r="K29" s="12" t="n">
        <v>2026</v>
      </c>
      <c r="L29" s="12" t="inlineStr">
        <is>
          <t>EC+PIS</t>
        </is>
      </c>
      <c r="M29" s="12" t="inlineStr">
        <is>
          <t>EC</t>
        </is>
      </c>
      <c r="N29" s="12" t="inlineStr">
        <is>
          <t>COMPTAGE</t>
        </is>
      </c>
      <c r="O29" s="12" t="inlineStr">
        <is>
          <t>ACTI</t>
        </is>
      </c>
      <c r="P29" s="12" t="inlineStr">
        <is>
          <t>STAT_SYS_A</t>
        </is>
      </c>
      <c r="Q29" s="12" t="inlineStr">
        <is>
          <t>EQ-JJJ10-01</t>
        </is>
      </c>
      <c r="R29" s="23" t="n">
        <v>46001</v>
      </c>
      <c r="S29" s="23" t="n">
        <v>46021</v>
      </c>
      <c r="T29" s="12" t="inlineStr">
        <is>
          <t>Poste fictif Kappa</t>
        </is>
      </c>
      <c r="U29" s="12" t="inlineStr">
        <is>
          <t>VRS</t>
        </is>
      </c>
      <c r="V29" s="12" t="inlineStr">
        <is>
          <t>AA1</t>
        </is>
      </c>
      <c r="W29" s="12" t="inlineStr">
        <is>
          <t>ZPR2</t>
        </is>
      </c>
      <c r="X29" s="12" t="inlineStr">
        <is>
          <t>PRE</t>
        </is>
      </c>
      <c r="Y29" s="12" t="n"/>
      <c r="Z29" s="12" t="inlineStr">
        <is>
          <t>USER02</t>
        </is>
      </c>
      <c r="AA29" s="12" t="n">
        <v>1269.5</v>
      </c>
      <c r="AB29" s="12" t="inlineStr">
        <is>
          <t>AA1</t>
        </is>
      </c>
      <c r="AC29" s="12" t="inlineStr">
        <is>
          <t>GG-PREV</t>
        </is>
      </c>
      <c r="AD29" s="12" t="inlineStr">
        <is>
          <t>2</t>
        </is>
      </c>
      <c r="AE29" s="12" t="inlineStr">
        <is>
          <t>Code site</t>
        </is>
      </c>
      <c r="AF29" s="12" t="n"/>
      <c r="AG29" s="12" t="n">
        <v>1</v>
      </c>
      <c r="AH29" s="12" t="n"/>
      <c r="AI29" s="12" t="n">
        <v>20</v>
      </c>
      <c r="AJ29" s="12" t="n"/>
      <c r="AK29" s="12" t="inlineStr">
        <is>
          <t>DEMO_GMAO.xlsx</t>
        </is>
      </c>
      <c r="AL29" s="24" t="n">
        <v>46309.625</v>
      </c>
    </row>
    <row r="30">
      <c r="A30" s="12" t="inlineStr">
        <is>
          <t>910000019</t>
        </is>
      </c>
      <c r="B30" s="12" t="n"/>
      <c r="C30" s="12" t="inlineStr">
        <is>
          <t>VRS</t>
        </is>
      </c>
      <c r="D30" s="12" t="inlineStr">
        <is>
          <t>AA1</t>
        </is>
      </c>
      <c r="E30" s="12" t="inlineStr">
        <is>
          <t>G-I-JJJ10</t>
        </is>
      </c>
      <c r="F30" s="12" t="inlineStr">
        <is>
          <t>G-I-JJJ10</t>
        </is>
      </c>
      <c r="G30" s="12" t="inlineStr">
        <is>
          <t>G-I-JJJ10-VAN01</t>
        </is>
      </c>
      <c r="H30" s="12" t="inlineStr">
        <is>
          <t>Équipement fictif G-I-JJJ10-VAN01</t>
        </is>
      </c>
      <c r="I30" s="12" t="inlineStr">
        <is>
          <t>Maintenance préventive fictive EC+PIS - poste G-I-JJJ10</t>
        </is>
      </c>
      <c r="J30" s="23" t="n">
        <v>46046</v>
      </c>
      <c r="K30" s="12" t="n">
        <v>2026</v>
      </c>
      <c r="L30" s="12" t="inlineStr">
        <is>
          <t>EC+PIS</t>
        </is>
      </c>
      <c r="M30" s="12" t="inlineStr">
        <is>
          <t>PIS</t>
        </is>
      </c>
      <c r="N30" s="12" t="inlineStr">
        <is>
          <t>COMPTAGE</t>
        </is>
      </c>
      <c r="O30" s="12" t="inlineStr">
        <is>
          <t>ACTI</t>
        </is>
      </c>
      <c r="P30" s="12" t="inlineStr">
        <is>
          <t>STAT_SYS_A</t>
        </is>
      </c>
      <c r="Q30" s="12" t="inlineStr">
        <is>
          <t>EQ-JJJ10-01</t>
        </is>
      </c>
      <c r="R30" s="23" t="n">
        <v>46001</v>
      </c>
      <c r="S30" s="23" t="n">
        <v>46021</v>
      </c>
      <c r="T30" s="12" t="inlineStr">
        <is>
          <t>Poste fictif Kappa</t>
        </is>
      </c>
      <c r="U30" s="12" t="inlineStr">
        <is>
          <t>VRS</t>
        </is>
      </c>
      <c r="V30" s="12" t="inlineStr">
        <is>
          <t>AA1</t>
        </is>
      </c>
      <c r="W30" s="12" t="inlineStr">
        <is>
          <t>ZPR2</t>
        </is>
      </c>
      <c r="X30" s="12" t="inlineStr">
        <is>
          <t>PRE</t>
        </is>
      </c>
      <c r="Y30" s="12" t="n"/>
      <c r="Z30" s="12" t="inlineStr">
        <is>
          <t>USER02</t>
        </is>
      </c>
      <c r="AA30" s="12" t="n">
        <v>1269.5</v>
      </c>
      <c r="AB30" s="12" t="inlineStr">
        <is>
          <t>AA1</t>
        </is>
      </c>
      <c r="AC30" s="12" t="inlineStr">
        <is>
          <t>GG-PREV</t>
        </is>
      </c>
      <c r="AD30" s="12" t="inlineStr">
        <is>
          <t>2</t>
        </is>
      </c>
      <c r="AE30" s="12" t="inlineStr">
        <is>
          <t>Code site</t>
        </is>
      </c>
      <c r="AF30" s="12" t="n"/>
      <c r="AG30" s="12" t="n">
        <v>0</v>
      </c>
      <c r="AH30" s="12" t="n"/>
      <c r="AI30" s="12" t="n">
        <v>20</v>
      </c>
      <c r="AJ30" s="12" t="n"/>
      <c r="AK30" s="12" t="inlineStr">
        <is>
          <t>DEMO_GMAO.xlsx</t>
        </is>
      </c>
      <c r="AL30" s="24" t="n">
        <v>46309.625</v>
      </c>
    </row>
    <row r="31">
      <c r="A31" s="12" t="inlineStr">
        <is>
          <t>910000020</t>
        </is>
      </c>
      <c r="B31" s="12" t="n"/>
      <c r="C31" s="12" t="inlineStr">
        <is>
          <t>VRS</t>
        </is>
      </c>
      <c r="D31" s="12" t="inlineStr">
        <is>
          <t>AA1</t>
        </is>
      </c>
      <c r="E31" s="12" t="inlineStr">
        <is>
          <t>G-I-JJJ10</t>
        </is>
      </c>
      <c r="F31" s="12" t="inlineStr">
        <is>
          <t>G-I-JJJ10</t>
        </is>
      </c>
      <c r="G31" s="12" t="inlineStr">
        <is>
          <t>G-I-JJJ10-VAN01</t>
        </is>
      </c>
      <c r="H31" s="12" t="inlineStr">
        <is>
          <t>Équipement fictif G-I-JJJ10-VAN01</t>
        </is>
      </c>
      <c r="I31" s="12" t="inlineStr">
        <is>
          <t>Maintenance préventive fictive PIS - poste G-I-JJJ10</t>
        </is>
      </c>
      <c r="J31" s="23" t="n">
        <v>46641</v>
      </c>
      <c r="K31" s="12" t="n">
        <v>2027</v>
      </c>
      <c r="L31" s="12" t="inlineStr">
        <is>
          <t>PIS</t>
        </is>
      </c>
      <c r="M31" s="12" t="inlineStr">
        <is>
          <t>PIS</t>
        </is>
      </c>
      <c r="N31" s="12" t="inlineStr">
        <is>
          <t>COMPTAGE</t>
        </is>
      </c>
      <c r="O31" s="12" t="inlineStr">
        <is>
          <t>ACTI</t>
        </is>
      </c>
      <c r="P31" s="12" t="inlineStr">
        <is>
          <t>STAT_SYS_A</t>
        </is>
      </c>
      <c r="Q31" s="12" t="inlineStr">
        <is>
          <t>EQ-JJJ10-02</t>
        </is>
      </c>
      <c r="R31" s="23" t="n">
        <v>46583</v>
      </c>
      <c r="S31" s="23" t="n">
        <v>46630</v>
      </c>
      <c r="T31" s="12" t="inlineStr">
        <is>
          <t>Poste fictif Kappa</t>
        </is>
      </c>
      <c r="U31" s="12" t="inlineStr">
        <is>
          <t>VRS</t>
        </is>
      </c>
      <c r="V31" s="12" t="inlineStr">
        <is>
          <t>AA1</t>
        </is>
      </c>
      <c r="W31" s="12" t="inlineStr">
        <is>
          <t>ZPR2</t>
        </is>
      </c>
      <c r="X31" s="12" t="inlineStr">
        <is>
          <t>PRE</t>
        </is>
      </c>
      <c r="Y31" s="12" t="n"/>
      <c r="Z31" s="12" t="inlineStr">
        <is>
          <t>USER01</t>
        </is>
      </c>
      <c r="AA31" s="12" t="n">
        <v>643.41</v>
      </c>
      <c r="AB31" s="12" t="inlineStr">
        <is>
          <t>AA1</t>
        </is>
      </c>
      <c r="AC31" s="12" t="inlineStr">
        <is>
          <t>GG-PREV</t>
        </is>
      </c>
      <c r="AD31" s="12" t="inlineStr">
        <is>
          <t>3</t>
        </is>
      </c>
      <c r="AE31" s="12" t="inlineStr">
        <is>
          <t>Code site</t>
        </is>
      </c>
      <c r="AF31" s="12" t="n"/>
      <c r="AG31" s="12" t="n">
        <v>1</v>
      </c>
      <c r="AH31" s="12" t="n"/>
      <c r="AI31" s="12" t="n">
        <v>21</v>
      </c>
      <c r="AJ31" s="12" t="n"/>
      <c r="AK31" s="12" t="inlineStr">
        <is>
          <t>DEMO_GMAO.xlsx</t>
        </is>
      </c>
      <c r="AL31" s="24" t="n">
        <v>46309.625</v>
      </c>
    </row>
    <row r="32">
      <c r="A32" s="12" t="inlineStr">
        <is>
          <t>910000021</t>
        </is>
      </c>
      <c r="B32" s="12" t="n"/>
      <c r="C32" s="12" t="inlineStr">
        <is>
          <t>VRS</t>
        </is>
      </c>
      <c r="D32" s="12" t="inlineStr">
        <is>
          <t>AA3</t>
        </is>
      </c>
      <c r="E32" s="12" t="inlineStr">
        <is>
          <t>G-I-KKK11</t>
        </is>
      </c>
      <c r="F32" s="12" t="inlineStr">
        <is>
          <t>G-I-KKK11</t>
        </is>
      </c>
      <c r="G32" s="12" t="inlineStr">
        <is>
          <t>G-I-KKK11-FILT01</t>
        </is>
      </c>
      <c r="H32" s="12" t="inlineStr">
        <is>
          <t>Équipement fictif G-I-KKK11-FILT01</t>
        </is>
      </c>
      <c r="I32" s="12" t="inlineStr">
        <is>
          <t>Maintenance préventive fictive PIS - poste G-I-KKK11</t>
        </is>
      </c>
      <c r="J32" s="23" t="n">
        <v>46272</v>
      </c>
      <c r="K32" s="12" t="n">
        <v>2026</v>
      </c>
      <c r="L32" s="12" t="inlineStr">
        <is>
          <t>PIS</t>
        </is>
      </c>
      <c r="M32" s="12" t="inlineStr">
        <is>
          <t>PIS</t>
        </is>
      </c>
      <c r="N32" s="12" t="inlineStr">
        <is>
          <t>COUPURE</t>
        </is>
      </c>
      <c r="O32" s="12" t="inlineStr">
        <is>
          <t>TERM</t>
        </is>
      </c>
      <c r="P32" s="12" t="inlineStr">
        <is>
          <t>STAT_SYS_A</t>
        </is>
      </c>
      <c r="Q32" s="12" t="inlineStr">
        <is>
          <t>EQ-KKK11-03</t>
        </is>
      </c>
      <c r="R32" s="23" t="n">
        <v>46197</v>
      </c>
      <c r="S32" s="23" t="n">
        <v>46248</v>
      </c>
      <c r="T32" s="12" t="inlineStr">
        <is>
          <t>Poste fictif Lambda</t>
        </is>
      </c>
      <c r="U32" s="12" t="inlineStr">
        <is>
          <t>VRS</t>
        </is>
      </c>
      <c r="V32" s="12" t="inlineStr">
        <is>
          <t>AA3</t>
        </is>
      </c>
      <c r="W32" s="12" t="inlineStr">
        <is>
          <t>ZPR2</t>
        </is>
      </c>
      <c r="X32" s="12" t="inlineStr">
        <is>
          <t>PRE</t>
        </is>
      </c>
      <c r="Y32" s="12" t="n"/>
      <c r="Z32" s="12" t="inlineStr">
        <is>
          <t>USER02</t>
        </is>
      </c>
      <c r="AA32" s="12" t="n">
        <v>1092.48</v>
      </c>
      <c r="AB32" s="12" t="inlineStr">
        <is>
          <t>AA3</t>
        </is>
      </c>
      <c r="AC32" s="12" t="inlineStr">
        <is>
          <t>GG-PREV</t>
        </is>
      </c>
      <c r="AD32" s="12" t="inlineStr">
        <is>
          <t>3</t>
        </is>
      </c>
      <c r="AE32" s="12" t="inlineStr">
        <is>
          <t>Code site</t>
        </is>
      </c>
      <c r="AF32" s="12" t="n"/>
      <c r="AG32" s="12" t="n">
        <v>1</v>
      </c>
      <c r="AH32" s="12" t="n"/>
      <c r="AI32" s="12" t="n">
        <v>22</v>
      </c>
      <c r="AJ32" s="12" t="n"/>
      <c r="AK32" s="12" t="inlineStr">
        <is>
          <t>DEMO_GMAO.xlsx</t>
        </is>
      </c>
      <c r="AL32" s="24" t="n">
        <v>46309.625</v>
      </c>
    </row>
    <row r="33">
      <c r="A33" s="12" t="inlineStr">
        <is>
          <t>910000022</t>
        </is>
      </c>
      <c r="B33" s="12" t="n"/>
      <c r="C33" s="12" t="inlineStr">
        <is>
          <t>VRS</t>
        </is>
      </c>
      <c r="D33" s="12" t="inlineStr">
        <is>
          <t>AA3</t>
        </is>
      </c>
      <c r="E33" s="12" t="inlineStr">
        <is>
          <t>G-I-KKK11</t>
        </is>
      </c>
      <c r="F33" s="12" t="inlineStr">
        <is>
          <t>G-I-KKK11</t>
        </is>
      </c>
      <c r="G33" s="12" t="inlineStr">
        <is>
          <t>G-I-KKK11-FILT01</t>
        </is>
      </c>
      <c r="H33" s="12" t="inlineStr">
        <is>
          <t>Équipement fictif G-I-KKK11-FILT01</t>
        </is>
      </c>
      <c r="I33" s="12" t="inlineStr">
        <is>
          <t>Maintenance préventive fictive PIS - poste G-I-KKK11</t>
        </is>
      </c>
      <c r="J33" s="23" t="n">
        <v>46458</v>
      </c>
      <c r="K33" s="12" t="n">
        <v>2027</v>
      </c>
      <c r="L33" s="12" t="inlineStr">
        <is>
          <t>PIS</t>
        </is>
      </c>
      <c r="M33" s="12" t="inlineStr">
        <is>
          <t>PIS</t>
        </is>
      </c>
      <c r="N33" s="12" t="inlineStr">
        <is>
          <t>COUPURE</t>
        </is>
      </c>
      <c r="O33" s="12" t="inlineStr">
        <is>
          <t>ACTI</t>
        </is>
      </c>
      <c r="P33" s="12" t="inlineStr">
        <is>
          <t>STAT_SYS_A</t>
        </is>
      </c>
      <c r="Q33" s="12" t="inlineStr">
        <is>
          <t>EQ-KKK11-06</t>
        </is>
      </c>
      <c r="R33" s="23" t="n">
        <v>46407</v>
      </c>
      <c r="S33" s="23" t="n">
        <v>46428</v>
      </c>
      <c r="T33" s="12" t="inlineStr">
        <is>
          <t>Poste fictif Lambda</t>
        </is>
      </c>
      <c r="U33" s="12" t="inlineStr">
        <is>
          <t>VRS</t>
        </is>
      </c>
      <c r="V33" s="12" t="inlineStr">
        <is>
          <t>AA3</t>
        </is>
      </c>
      <c r="W33" s="12" t="inlineStr">
        <is>
          <t>ZPR2</t>
        </is>
      </c>
      <c r="X33" s="12" t="inlineStr">
        <is>
          <t>PRE</t>
        </is>
      </c>
      <c r="Y33" s="12" t="n"/>
      <c r="Z33" s="12" t="inlineStr">
        <is>
          <t>USER03</t>
        </is>
      </c>
      <c r="AA33" s="12" t="n">
        <v>1355.67</v>
      </c>
      <c r="AB33" s="12" t="inlineStr">
        <is>
          <t>AA3</t>
        </is>
      </c>
      <c r="AC33" s="12" t="inlineStr">
        <is>
          <t>GG-PREV</t>
        </is>
      </c>
      <c r="AD33" s="12" t="inlineStr">
        <is>
          <t>1</t>
        </is>
      </c>
      <c r="AE33" s="12" t="inlineStr">
        <is>
          <t>Code site</t>
        </is>
      </c>
      <c r="AF33" s="12" t="n"/>
      <c r="AG33" s="12" t="n">
        <v>1</v>
      </c>
      <c r="AH33" s="12" t="n"/>
      <c r="AI33" s="12" t="n">
        <v>23</v>
      </c>
      <c r="AJ33" s="12" t="n"/>
      <c r="AK33" s="12" t="inlineStr">
        <is>
          <t>DEMO_GMAO.xlsx</t>
        </is>
      </c>
      <c r="AL33" s="24" t="n">
        <v>46309.625</v>
      </c>
    </row>
    <row r="34">
      <c r="A34" s="12" t="inlineStr">
        <is>
          <t>910000023</t>
        </is>
      </c>
      <c r="B34" s="12" t="n"/>
      <c r="C34" s="12" t="inlineStr">
        <is>
          <t>VRS</t>
        </is>
      </c>
      <c r="D34" s="12" t="inlineStr">
        <is>
          <t>AA4</t>
        </is>
      </c>
      <c r="E34" s="12" t="inlineStr">
        <is>
          <t>G-I-LLL12</t>
        </is>
      </c>
      <c r="F34" s="12" t="inlineStr">
        <is>
          <t>G-I-LLL12</t>
        </is>
      </c>
      <c r="G34" s="12" t="inlineStr">
        <is>
          <t>G-I-LLL12-SEC01</t>
        </is>
      </c>
      <c r="H34" s="12" t="inlineStr">
        <is>
          <t>Équipement fictif G-I-LLL12-SEC01</t>
        </is>
      </c>
      <c r="I34" s="12" t="inlineStr">
        <is>
          <t>Maintenance préventive fictive EC+PIS - poste G-I-LLL12</t>
        </is>
      </c>
      <c r="J34" s="23" t="n">
        <v>46151</v>
      </c>
      <c r="K34" s="12" t="n">
        <v>2026</v>
      </c>
      <c r="L34" s="12" t="inlineStr">
        <is>
          <t>EC+PIS</t>
        </is>
      </c>
      <c r="M34" s="12" t="inlineStr">
        <is>
          <t>EC</t>
        </is>
      </c>
      <c r="N34" s="12" t="inlineStr">
        <is>
          <t>COMPTAGE</t>
        </is>
      </c>
      <c r="O34" s="12" t="inlineStr">
        <is>
          <t>ACTI</t>
        </is>
      </c>
      <c r="P34" s="12" t="inlineStr">
        <is>
          <t>STAT_SYS_A</t>
        </is>
      </c>
      <c r="Q34" s="12" t="inlineStr">
        <is>
          <t>EQ-LLL12-05</t>
        </is>
      </c>
      <c r="R34" s="23" t="n">
        <v>46077</v>
      </c>
      <c r="S34" s="23" t="n">
        <v>46126</v>
      </c>
      <c r="T34" s="12" t="inlineStr">
        <is>
          <t>Poste fictif Mu</t>
        </is>
      </c>
      <c r="U34" s="12" t="inlineStr">
        <is>
          <t>VRS</t>
        </is>
      </c>
      <c r="V34" s="12" t="inlineStr">
        <is>
          <t>AA4</t>
        </is>
      </c>
      <c r="W34" s="12" t="inlineStr">
        <is>
          <t>ZPR2</t>
        </is>
      </c>
      <c r="X34" s="12" t="inlineStr">
        <is>
          <t>PRE</t>
        </is>
      </c>
      <c r="Y34" s="12" t="n"/>
      <c r="Z34" s="12" t="inlineStr">
        <is>
          <t>USER02</t>
        </is>
      </c>
      <c r="AA34" s="12" t="n">
        <v>919.38</v>
      </c>
      <c r="AB34" s="12" t="inlineStr">
        <is>
          <t>AA4</t>
        </is>
      </c>
      <c r="AC34" s="12" t="inlineStr">
        <is>
          <t>GG-PREV</t>
        </is>
      </c>
      <c r="AD34" s="12" t="inlineStr">
        <is>
          <t>1</t>
        </is>
      </c>
      <c r="AE34" s="12" t="inlineStr">
        <is>
          <t>Code site</t>
        </is>
      </c>
      <c r="AF34" s="12" t="n"/>
      <c r="AG34" s="12" t="n">
        <v>1</v>
      </c>
      <c r="AH34" s="12" t="n"/>
      <c r="AI34" s="12" t="n">
        <v>24</v>
      </c>
      <c r="AJ34" s="12" t="n"/>
      <c r="AK34" s="12" t="inlineStr">
        <is>
          <t>DEMO_GMAO.xlsx</t>
        </is>
      </c>
      <c r="AL34" s="24" t="n">
        <v>46309.625</v>
      </c>
    </row>
    <row r="35">
      <c r="A35" s="12" t="inlineStr">
        <is>
          <t>910000023</t>
        </is>
      </c>
      <c r="B35" s="12" t="n"/>
      <c r="C35" s="12" t="inlineStr">
        <is>
          <t>VRS</t>
        </is>
      </c>
      <c r="D35" s="12" t="inlineStr">
        <is>
          <t>AA4</t>
        </is>
      </c>
      <c r="E35" s="12" t="inlineStr">
        <is>
          <t>G-I-LLL12</t>
        </is>
      </c>
      <c r="F35" s="12" t="inlineStr">
        <is>
          <t>G-I-LLL12</t>
        </is>
      </c>
      <c r="G35" s="12" t="inlineStr">
        <is>
          <t>G-I-LLL12-SEC01</t>
        </is>
      </c>
      <c r="H35" s="12" t="inlineStr">
        <is>
          <t>Équipement fictif G-I-LLL12-SEC01</t>
        </is>
      </c>
      <c r="I35" s="12" t="inlineStr">
        <is>
          <t>Maintenance préventive fictive EC+PIS - poste G-I-LLL12</t>
        </is>
      </c>
      <c r="J35" s="23" t="n">
        <v>46151</v>
      </c>
      <c r="K35" s="12" t="n">
        <v>2026</v>
      </c>
      <c r="L35" s="12" t="inlineStr">
        <is>
          <t>EC+PIS</t>
        </is>
      </c>
      <c r="M35" s="12" t="inlineStr">
        <is>
          <t>PIS</t>
        </is>
      </c>
      <c r="N35" s="12" t="inlineStr">
        <is>
          <t>COMPTAGE</t>
        </is>
      </c>
      <c r="O35" s="12" t="inlineStr">
        <is>
          <t>ACTI</t>
        </is>
      </c>
      <c r="P35" s="12" t="inlineStr">
        <is>
          <t>STAT_SYS_A</t>
        </is>
      </c>
      <c r="Q35" s="12" t="inlineStr">
        <is>
          <t>EQ-LLL12-05</t>
        </is>
      </c>
      <c r="R35" s="23" t="n">
        <v>46077</v>
      </c>
      <c r="S35" s="23" t="n">
        <v>46126</v>
      </c>
      <c r="T35" s="12" t="inlineStr">
        <is>
          <t>Poste fictif Mu</t>
        </is>
      </c>
      <c r="U35" s="12" t="inlineStr">
        <is>
          <t>VRS</t>
        </is>
      </c>
      <c r="V35" s="12" t="inlineStr">
        <is>
          <t>AA4</t>
        </is>
      </c>
      <c r="W35" s="12" t="inlineStr">
        <is>
          <t>ZPR2</t>
        </is>
      </c>
      <c r="X35" s="12" t="inlineStr">
        <is>
          <t>PRE</t>
        </is>
      </c>
      <c r="Y35" s="12" t="n"/>
      <c r="Z35" s="12" t="inlineStr">
        <is>
          <t>USER02</t>
        </is>
      </c>
      <c r="AA35" s="12" t="n">
        <v>919.38</v>
      </c>
      <c r="AB35" s="12" t="inlineStr">
        <is>
          <t>AA4</t>
        </is>
      </c>
      <c r="AC35" s="12" t="inlineStr">
        <is>
          <t>GG-PREV</t>
        </is>
      </c>
      <c r="AD35" s="12" t="inlineStr">
        <is>
          <t>1</t>
        </is>
      </c>
      <c r="AE35" s="12" t="inlineStr">
        <is>
          <t>Code site</t>
        </is>
      </c>
      <c r="AF35" s="12" t="n"/>
      <c r="AG35" s="12" t="n">
        <v>0</v>
      </c>
      <c r="AH35" s="12" t="n"/>
      <c r="AI35" s="12" t="n">
        <v>24</v>
      </c>
      <c r="AJ35" s="12" t="n"/>
      <c r="AK35" s="12" t="inlineStr">
        <is>
          <t>DEMO_GMAO.xlsx</t>
        </is>
      </c>
      <c r="AL35" s="24" t="n">
        <v>46309.625</v>
      </c>
    </row>
    <row r="36">
      <c r="A36" s="12" t="inlineStr">
        <is>
          <t>910000024</t>
        </is>
      </c>
      <c r="B36" s="12" t="n"/>
      <c r="C36" s="12" t="inlineStr">
        <is>
          <t>VRS</t>
        </is>
      </c>
      <c r="D36" s="12" t="inlineStr">
        <is>
          <t>AA4</t>
        </is>
      </c>
      <c r="E36" s="12" t="inlineStr">
        <is>
          <t>G-I-LLL12</t>
        </is>
      </c>
      <c r="F36" s="12" t="inlineStr">
        <is>
          <t>G-I-LLL12</t>
        </is>
      </c>
      <c r="G36" s="12" t="inlineStr">
        <is>
          <t>G-I-LLL12-SEC01</t>
        </is>
      </c>
      <c r="H36" s="12" t="inlineStr">
        <is>
          <t>Équipement fictif G-I-LLL12-SEC01</t>
        </is>
      </c>
      <c r="I36" s="12" t="inlineStr">
        <is>
          <t>Maintenance préventive fictive PIS - poste G-I-LLL12</t>
        </is>
      </c>
      <c r="J36" s="23" t="n">
        <v>46625</v>
      </c>
      <c r="K36" s="12" t="n">
        <v>2027</v>
      </c>
      <c r="L36" s="12" t="inlineStr">
        <is>
          <t>PIS</t>
        </is>
      </c>
      <c r="M36" s="12" t="inlineStr">
        <is>
          <t>PIS</t>
        </is>
      </c>
      <c r="N36" s="12" t="inlineStr">
        <is>
          <t>COMPTAGE</t>
        </is>
      </c>
      <c r="O36" s="12" t="inlineStr">
        <is>
          <t>TERM</t>
        </is>
      </c>
      <c r="P36" s="12" t="inlineStr">
        <is>
          <t>STAT_SYS_A</t>
        </is>
      </c>
      <c r="Q36" s="12" t="inlineStr">
        <is>
          <t>EQ-LLL12-06</t>
        </is>
      </c>
      <c r="R36" s="23" t="n">
        <v>46574</v>
      </c>
      <c r="S36" s="23" t="n">
        <v>46610</v>
      </c>
      <c r="T36" s="12" t="inlineStr">
        <is>
          <t>Poste fictif Mu</t>
        </is>
      </c>
      <c r="U36" s="12" t="inlineStr">
        <is>
          <t>VRS</t>
        </is>
      </c>
      <c r="V36" s="12" t="inlineStr">
        <is>
          <t>AA4</t>
        </is>
      </c>
      <c r="W36" s="12" t="inlineStr">
        <is>
          <t>ZPR2</t>
        </is>
      </c>
      <c r="X36" s="12" t="inlineStr">
        <is>
          <t>PRE</t>
        </is>
      </c>
      <c r="Y36" s="12" t="n"/>
      <c r="Z36" s="12" t="inlineStr">
        <is>
          <t>USER03</t>
        </is>
      </c>
      <c r="AA36" s="12" t="n">
        <v>1392.55</v>
      </c>
      <c r="AB36" s="12" t="inlineStr">
        <is>
          <t>AA4</t>
        </is>
      </c>
      <c r="AC36" s="12" t="inlineStr">
        <is>
          <t>GG-PREV</t>
        </is>
      </c>
      <c r="AD36" s="12" t="inlineStr">
        <is>
          <t>1</t>
        </is>
      </c>
      <c r="AE36" s="12" t="inlineStr">
        <is>
          <t>Code site</t>
        </is>
      </c>
      <c r="AF36" s="12" t="n"/>
      <c r="AG36" s="12" t="n">
        <v>1</v>
      </c>
      <c r="AH36" s="12" t="n"/>
      <c r="AI36" s="12" t="n">
        <v>25</v>
      </c>
      <c r="AJ36" s="12" t="n"/>
      <c r="AK36" s="12" t="inlineStr">
        <is>
          <t>DEMO_GMAO.xlsx</t>
        </is>
      </c>
      <c r="AL36" s="24" t="n">
        <v>46309.625</v>
      </c>
    </row>
    <row r="37">
      <c r="A37" s="12" t="inlineStr">
        <is>
          <t>910000025</t>
        </is>
      </c>
      <c r="B37" s="12" t="n"/>
      <c r="C37" s="12" t="inlineStr">
        <is>
          <t>LRO</t>
        </is>
      </c>
      <c r="D37" s="12" t="inlineStr">
        <is>
          <t>AA1</t>
        </is>
      </c>
      <c r="E37" s="12" t="inlineStr">
        <is>
          <t>G-I-MMN13</t>
        </is>
      </c>
      <c r="F37" s="12" t="inlineStr">
        <is>
          <t>G-I-MMN13</t>
        </is>
      </c>
      <c r="G37" s="12" t="inlineStr">
        <is>
          <t>G-I-MMN13-REG01</t>
        </is>
      </c>
      <c r="H37" s="12" t="inlineStr">
        <is>
          <t>Équipement fictif G-I-MMN13-REG01</t>
        </is>
      </c>
      <c r="I37" s="12" t="inlineStr">
        <is>
          <t>Maintenance préventive fictive PIS - poste G-I-MMN13</t>
        </is>
      </c>
      <c r="J37" s="23" t="n">
        <v>46073</v>
      </c>
      <c r="K37" s="12" t="n">
        <v>2026</v>
      </c>
      <c r="L37" s="12" t="inlineStr">
        <is>
          <t>PIS</t>
        </is>
      </c>
      <c r="M37" s="12" t="inlineStr">
        <is>
          <t>PIS</t>
        </is>
      </c>
      <c r="N37" s="12" t="inlineStr">
        <is>
          <t>LIVRAISON</t>
        </is>
      </c>
      <c r="O37" s="12" t="inlineStr">
        <is>
          <t>TERM</t>
        </is>
      </c>
      <c r="P37" s="12" t="inlineStr">
        <is>
          <t>STAT_SYS_A</t>
        </is>
      </c>
      <c r="Q37" s="12" t="inlineStr">
        <is>
          <t>EQ-MMN13-08</t>
        </is>
      </c>
      <c r="R37" s="23" t="n">
        <v>46033</v>
      </c>
      <c r="S37" s="23" t="n">
        <v>46063</v>
      </c>
      <c r="T37" s="12" t="inlineStr">
        <is>
          <t>Poste fictif Nu</t>
        </is>
      </c>
      <c r="U37" s="12" t="inlineStr">
        <is>
          <t>LRO</t>
        </is>
      </c>
      <c r="V37" s="12" t="inlineStr">
        <is>
          <t>AA1</t>
        </is>
      </c>
      <c r="W37" s="12" t="inlineStr">
        <is>
          <t>ZPR2</t>
        </is>
      </c>
      <c r="X37" s="12" t="inlineStr">
        <is>
          <t>PRE</t>
        </is>
      </c>
      <c r="Y37" s="12" t="n"/>
      <c r="Z37" s="12" t="inlineStr">
        <is>
          <t>USER01</t>
        </is>
      </c>
      <c r="AA37" s="12" t="n">
        <v>930.74</v>
      </c>
      <c r="AB37" s="12" t="inlineStr">
        <is>
          <t>AA1</t>
        </is>
      </c>
      <c r="AC37" s="12" t="inlineStr">
        <is>
          <t>GG-PREV</t>
        </is>
      </c>
      <c r="AD37" s="12" t="inlineStr">
        <is>
          <t>1</t>
        </is>
      </c>
      <c r="AE37" s="12" t="inlineStr">
        <is>
          <t>Code site</t>
        </is>
      </c>
      <c r="AF37" s="12" t="n"/>
      <c r="AG37" s="12" t="n">
        <v>1</v>
      </c>
      <c r="AH37" s="12" t="n"/>
      <c r="AI37" s="12" t="n">
        <v>26</v>
      </c>
      <c r="AJ37" s="12" t="n"/>
      <c r="AK37" s="12" t="inlineStr">
        <is>
          <t>DEMO_GMAO.xlsx</t>
        </is>
      </c>
      <c r="AL37" s="24" t="n">
        <v>46309.625</v>
      </c>
    </row>
    <row r="38">
      <c r="A38" s="12" t="inlineStr">
        <is>
          <t>910000026</t>
        </is>
      </c>
      <c r="B38" s="12" t="n"/>
      <c r="C38" s="12" t="inlineStr">
        <is>
          <t>LRO</t>
        </is>
      </c>
      <c r="D38" s="12" t="inlineStr">
        <is>
          <t>AA1</t>
        </is>
      </c>
      <c r="E38" s="12" t="inlineStr">
        <is>
          <t>G-I-MMN13</t>
        </is>
      </c>
      <c r="F38" s="12" t="inlineStr">
        <is>
          <t>G-I-MMN13</t>
        </is>
      </c>
      <c r="G38" s="12" t="inlineStr">
        <is>
          <t>G-I-MMN13-REG01</t>
        </is>
      </c>
      <c r="H38" s="12" t="inlineStr">
        <is>
          <t>Équipement fictif G-I-MMN13-REG01</t>
        </is>
      </c>
      <c r="I38" s="12" t="inlineStr">
        <is>
          <t>Maintenance préventive fictive PIS - poste G-I-MMN13</t>
        </is>
      </c>
      <c r="J38" s="23" t="n">
        <v>46427</v>
      </c>
      <c r="K38" s="12" t="n">
        <v>2027</v>
      </c>
      <c r="L38" s="12" t="inlineStr">
        <is>
          <t>PIS</t>
        </is>
      </c>
      <c r="M38" s="12" t="inlineStr">
        <is>
          <t>PIS</t>
        </is>
      </c>
      <c r="N38" s="12" t="inlineStr">
        <is>
          <t>LIVRAISON</t>
        </is>
      </c>
      <c r="O38" s="12" t="inlineStr">
        <is>
          <t>TERM</t>
        </is>
      </c>
      <c r="P38" s="12" t="inlineStr">
        <is>
          <t>STAT_SYS_A</t>
        </is>
      </c>
      <c r="Q38" s="12" t="inlineStr">
        <is>
          <t>EQ-MMN13-02</t>
        </is>
      </c>
      <c r="R38" s="23" t="n">
        <v>46353</v>
      </c>
      <c r="S38" s="23" t="n">
        <v>46422</v>
      </c>
      <c r="T38" s="12" t="inlineStr">
        <is>
          <t>Poste fictif Nu</t>
        </is>
      </c>
      <c r="U38" s="12" t="inlineStr">
        <is>
          <t>LRO</t>
        </is>
      </c>
      <c r="V38" s="12" t="inlineStr">
        <is>
          <t>AA1</t>
        </is>
      </c>
      <c r="W38" s="12" t="inlineStr">
        <is>
          <t>ZPR2</t>
        </is>
      </c>
      <c r="X38" s="12" t="inlineStr">
        <is>
          <t>PRE</t>
        </is>
      </c>
      <c r="Y38" s="12" t="n"/>
      <c r="Z38" s="12" t="inlineStr">
        <is>
          <t>USER02</t>
        </is>
      </c>
      <c r="AA38" s="12" t="n">
        <v>711.6900000000001</v>
      </c>
      <c r="AB38" s="12" t="inlineStr">
        <is>
          <t>AA1</t>
        </is>
      </c>
      <c r="AC38" s="12" t="inlineStr">
        <is>
          <t>GG-PREV</t>
        </is>
      </c>
      <c r="AD38" s="12" t="inlineStr">
        <is>
          <t>3</t>
        </is>
      </c>
      <c r="AE38" s="12" t="inlineStr">
        <is>
          <t>Code site</t>
        </is>
      </c>
      <c r="AF38" s="12" t="n"/>
      <c r="AG38" s="12" t="n">
        <v>1</v>
      </c>
      <c r="AH38" s="12" t="n"/>
      <c r="AI38" s="12" t="n">
        <v>27</v>
      </c>
      <c r="AJ38" s="12" t="n"/>
      <c r="AK38" s="12" t="inlineStr">
        <is>
          <t>DEMO_GMAO.xlsx</t>
        </is>
      </c>
      <c r="AL38" s="24" t="n">
        <v>46309.625</v>
      </c>
    </row>
    <row r="39">
      <c r="A39" s="12" t="inlineStr">
        <is>
          <t>910000027</t>
        </is>
      </c>
      <c r="B39" s="12" t="n"/>
      <c r="C39" s="12" t="inlineStr">
        <is>
          <t>LRO</t>
        </is>
      </c>
      <c r="D39" s="12" t="inlineStr">
        <is>
          <t>AA1</t>
        </is>
      </c>
      <c r="E39" s="12" t="inlineStr">
        <is>
          <t>G-I-MMN13</t>
        </is>
      </c>
      <c r="F39" s="12" t="inlineStr">
        <is>
          <t>G-I-MMN13</t>
        </is>
      </c>
      <c r="G39" s="12" t="inlineStr">
        <is>
          <t>G-I-MMN13-REG01</t>
        </is>
      </c>
      <c r="H39" s="12" t="inlineStr">
        <is>
          <t>Équipement fictif G-I-MMN13-REG01</t>
        </is>
      </c>
      <c r="I39" s="12" t="inlineStr">
        <is>
          <t>Maintenance préventive fictive EC - poste G-I-MMN13</t>
        </is>
      </c>
      <c r="J39" s="23" t="n">
        <v>46685</v>
      </c>
      <c r="K39" s="12" t="n">
        <v>2027</v>
      </c>
      <c r="L39" s="12" t="inlineStr">
        <is>
          <t>EC</t>
        </is>
      </c>
      <c r="M39" s="12" t="inlineStr">
        <is>
          <t>EC</t>
        </is>
      </c>
      <c r="N39" s="12" t="inlineStr">
        <is>
          <t>LIVRAISON</t>
        </is>
      </c>
      <c r="O39" s="12" t="inlineStr">
        <is>
          <t>TERM</t>
        </is>
      </c>
      <c r="P39" s="12" t="inlineStr">
        <is>
          <t>STAT_SYS_A</t>
        </is>
      </c>
      <c r="Q39" s="12" t="inlineStr">
        <is>
          <t>EQ-MMN13-05</t>
        </is>
      </c>
      <c r="R39" s="23" t="n">
        <v>46630</v>
      </c>
      <c r="S39" s="23" t="n">
        <v>46663</v>
      </c>
      <c r="T39" s="12" t="inlineStr">
        <is>
          <t>Poste fictif Nu</t>
        </is>
      </c>
      <c r="U39" s="12" t="inlineStr">
        <is>
          <t>LRO</t>
        </is>
      </c>
      <c r="V39" s="12" t="inlineStr">
        <is>
          <t>AA1</t>
        </is>
      </c>
      <c r="W39" s="12" t="inlineStr">
        <is>
          <t>ZPR2</t>
        </is>
      </c>
      <c r="X39" s="12" t="inlineStr">
        <is>
          <t>PRE</t>
        </is>
      </c>
      <c r="Y39" s="12" t="n"/>
      <c r="Z39" s="12" t="inlineStr">
        <is>
          <t>USER03</t>
        </is>
      </c>
      <c r="AA39" s="12" t="n">
        <v>1185.62</v>
      </c>
      <c r="AB39" s="12" t="inlineStr">
        <is>
          <t>AA1</t>
        </is>
      </c>
      <c r="AC39" s="12" t="inlineStr">
        <is>
          <t>GG-PREV</t>
        </is>
      </c>
      <c r="AD39" s="12" t="inlineStr">
        <is>
          <t>2</t>
        </is>
      </c>
      <c r="AE39" s="12" t="inlineStr">
        <is>
          <t>Code site</t>
        </is>
      </c>
      <c r="AF39" s="12" t="n"/>
      <c r="AG39" s="12" t="n">
        <v>1</v>
      </c>
      <c r="AH39" s="12" t="n"/>
      <c r="AI39" s="12" t="n">
        <v>28</v>
      </c>
      <c r="AJ39" s="12" t="n"/>
      <c r="AK39" s="12" t="inlineStr">
        <is>
          <t>DEMO_GMAO.xlsx</t>
        </is>
      </c>
      <c r="AL39" s="24" t="n">
        <v>46309.625</v>
      </c>
    </row>
    <row r="40">
      <c r="A40" s="12" t="inlineStr">
        <is>
          <t>910000028</t>
        </is>
      </c>
      <c r="B40" s="12" t="n"/>
      <c r="C40" s="12" t="inlineStr">
        <is>
          <t>LRO</t>
        </is>
      </c>
      <c r="D40" s="12" t="inlineStr">
        <is>
          <t>AA3</t>
        </is>
      </c>
      <c r="E40" s="12" t="inlineStr">
        <is>
          <t>G-I-NNN14</t>
        </is>
      </c>
      <c r="F40" s="12" t="inlineStr">
        <is>
          <t>G-I-NNN14</t>
        </is>
      </c>
      <c r="G40" s="12" t="inlineStr">
        <is>
          <t>G-I-NNN14-VAN01</t>
        </is>
      </c>
      <c r="H40" s="12" t="inlineStr">
        <is>
          <t>Équipement fictif G-I-NNN14-VAN01</t>
        </is>
      </c>
      <c r="I40" s="12" t="inlineStr">
        <is>
          <t>Maintenance préventive fictive EC+PIS - poste G-I-NNN14</t>
        </is>
      </c>
      <c r="J40" s="23" t="n">
        <v>46280</v>
      </c>
      <c r="K40" s="12" t="n">
        <v>2026</v>
      </c>
      <c r="L40" s="12" t="inlineStr">
        <is>
          <t>EC+PIS</t>
        </is>
      </c>
      <c r="M40" s="12" t="inlineStr">
        <is>
          <t>EC</t>
        </is>
      </c>
      <c r="N40" s="12" t="inlineStr">
        <is>
          <t>SECTIONNEMENT</t>
        </is>
      </c>
      <c r="O40" s="12" t="inlineStr">
        <is>
          <t>ACTI</t>
        </is>
      </c>
      <c r="P40" s="12" t="inlineStr">
        <is>
          <t>STAT_SYS_A</t>
        </is>
      </c>
      <c r="Q40" s="12" t="inlineStr">
        <is>
          <t>EQ-NNN14-06</t>
        </is>
      </c>
      <c r="R40" s="23" t="n">
        <v>46224</v>
      </c>
      <c r="S40" s="23" t="n">
        <v>46271</v>
      </c>
      <c r="T40" s="12" t="inlineStr">
        <is>
          <t>Poste fictif Xi</t>
        </is>
      </c>
      <c r="U40" s="12" t="inlineStr">
        <is>
          <t>LRO</t>
        </is>
      </c>
      <c r="V40" s="12" t="inlineStr">
        <is>
          <t>AA3</t>
        </is>
      </c>
      <c r="W40" s="12" t="inlineStr">
        <is>
          <t>ZPR2</t>
        </is>
      </c>
      <c r="X40" s="12" t="inlineStr">
        <is>
          <t>PRE</t>
        </is>
      </c>
      <c r="Y40" s="12" t="n"/>
      <c r="Z40" s="12" t="inlineStr">
        <is>
          <t>USER01</t>
        </is>
      </c>
      <c r="AA40" s="12" t="n">
        <v>218.54</v>
      </c>
      <c r="AB40" s="12" t="inlineStr">
        <is>
          <t>AA3</t>
        </is>
      </c>
      <c r="AC40" s="12" t="inlineStr">
        <is>
          <t>GG-PREV</t>
        </is>
      </c>
      <c r="AD40" s="12" t="inlineStr">
        <is>
          <t>1</t>
        </is>
      </c>
      <c r="AE40" s="12" t="inlineStr">
        <is>
          <t>Code site</t>
        </is>
      </c>
      <c r="AF40" s="12" t="n"/>
      <c r="AG40" s="12" t="n">
        <v>1</v>
      </c>
      <c r="AH40" s="12" t="n"/>
      <c r="AI40" s="12" t="n">
        <v>29</v>
      </c>
      <c r="AJ40" s="12" t="n"/>
      <c r="AK40" s="12" t="inlineStr">
        <is>
          <t>DEMO_GMAO.xlsx</t>
        </is>
      </c>
      <c r="AL40" s="24" t="n">
        <v>46309.625</v>
      </c>
    </row>
    <row r="41">
      <c r="A41" s="12" t="inlineStr">
        <is>
          <t>910000028</t>
        </is>
      </c>
      <c r="B41" s="12" t="n"/>
      <c r="C41" s="12" t="inlineStr">
        <is>
          <t>LRO</t>
        </is>
      </c>
      <c r="D41" s="12" t="inlineStr">
        <is>
          <t>AA3</t>
        </is>
      </c>
      <c r="E41" s="12" t="inlineStr">
        <is>
          <t>G-I-NNN14</t>
        </is>
      </c>
      <c r="F41" s="12" t="inlineStr">
        <is>
          <t>G-I-NNN14</t>
        </is>
      </c>
      <c r="G41" s="12" t="inlineStr">
        <is>
          <t>G-I-NNN14-VAN01</t>
        </is>
      </c>
      <c r="H41" s="12" t="inlineStr">
        <is>
          <t>Équipement fictif G-I-NNN14-VAN01</t>
        </is>
      </c>
      <c r="I41" s="12" t="inlineStr">
        <is>
          <t>Maintenance préventive fictive EC+PIS - poste G-I-NNN14</t>
        </is>
      </c>
      <c r="J41" s="23" t="n">
        <v>46280</v>
      </c>
      <c r="K41" s="12" t="n">
        <v>2026</v>
      </c>
      <c r="L41" s="12" t="inlineStr">
        <is>
          <t>EC+PIS</t>
        </is>
      </c>
      <c r="M41" s="12" t="inlineStr">
        <is>
          <t>PIS</t>
        </is>
      </c>
      <c r="N41" s="12" t="inlineStr">
        <is>
          <t>SECTIONNEMENT</t>
        </is>
      </c>
      <c r="O41" s="12" t="inlineStr">
        <is>
          <t>ACTI</t>
        </is>
      </c>
      <c r="P41" s="12" t="inlineStr">
        <is>
          <t>STAT_SYS_A</t>
        </is>
      </c>
      <c r="Q41" s="12" t="inlineStr">
        <is>
          <t>EQ-NNN14-06</t>
        </is>
      </c>
      <c r="R41" s="23" t="n">
        <v>46224</v>
      </c>
      <c r="S41" s="23" t="n">
        <v>46271</v>
      </c>
      <c r="T41" s="12" t="inlineStr">
        <is>
          <t>Poste fictif Xi</t>
        </is>
      </c>
      <c r="U41" s="12" t="inlineStr">
        <is>
          <t>LRO</t>
        </is>
      </c>
      <c r="V41" s="12" t="inlineStr">
        <is>
          <t>AA3</t>
        </is>
      </c>
      <c r="W41" s="12" t="inlineStr">
        <is>
          <t>ZPR2</t>
        </is>
      </c>
      <c r="X41" s="12" t="inlineStr">
        <is>
          <t>PRE</t>
        </is>
      </c>
      <c r="Y41" s="12" t="n"/>
      <c r="Z41" s="12" t="inlineStr">
        <is>
          <t>USER01</t>
        </is>
      </c>
      <c r="AA41" s="12" t="n">
        <v>218.54</v>
      </c>
      <c r="AB41" s="12" t="inlineStr">
        <is>
          <t>AA3</t>
        </is>
      </c>
      <c r="AC41" s="12" t="inlineStr">
        <is>
          <t>GG-PREV</t>
        </is>
      </c>
      <c r="AD41" s="12" t="inlineStr">
        <is>
          <t>1</t>
        </is>
      </c>
      <c r="AE41" s="12" t="inlineStr">
        <is>
          <t>Code site</t>
        </is>
      </c>
      <c r="AF41" s="12" t="n"/>
      <c r="AG41" s="12" t="n">
        <v>0</v>
      </c>
      <c r="AH41" s="12" t="n"/>
      <c r="AI41" s="12" t="n">
        <v>29</v>
      </c>
      <c r="AJ41" s="12" t="n"/>
      <c r="AK41" s="12" t="inlineStr">
        <is>
          <t>DEMO_GMAO.xlsx</t>
        </is>
      </c>
      <c r="AL41" s="24" t="n">
        <v>46309.625</v>
      </c>
    </row>
    <row r="42">
      <c r="A42" s="12" t="inlineStr">
        <is>
          <t>910000029</t>
        </is>
      </c>
      <c r="B42" s="12" t="n"/>
      <c r="C42" s="12" t="inlineStr">
        <is>
          <t>LRO</t>
        </is>
      </c>
      <c r="D42" s="12" t="inlineStr">
        <is>
          <t>AA3</t>
        </is>
      </c>
      <c r="E42" s="12" t="inlineStr">
        <is>
          <t>G-I-NNN14</t>
        </is>
      </c>
      <c r="F42" s="12" t="inlineStr">
        <is>
          <t>G-I-NNN14</t>
        </is>
      </c>
      <c r="G42" s="12" t="inlineStr">
        <is>
          <t>G-I-NNN14-VAN01</t>
        </is>
      </c>
      <c r="H42" s="12" t="inlineStr">
        <is>
          <t>Équipement fictif G-I-NNN14-VAN01</t>
        </is>
      </c>
      <c r="I42" s="12" t="inlineStr">
        <is>
          <t>Maintenance préventive fictive PIS+REV - poste G-I-NNN14</t>
        </is>
      </c>
      <c r="J42" s="23" t="n">
        <v>46503</v>
      </c>
      <c r="K42" s="12" t="n">
        <v>2027</v>
      </c>
      <c r="L42" s="12" t="inlineStr">
        <is>
          <t>PIS+REV</t>
        </is>
      </c>
      <c r="M42" s="12" t="inlineStr">
        <is>
          <t>PIS</t>
        </is>
      </c>
      <c r="N42" s="12" t="inlineStr">
        <is>
          <t>SECTIONNEMENT</t>
        </is>
      </c>
      <c r="O42" s="12" t="inlineStr">
        <is>
          <t>TERM</t>
        </is>
      </c>
      <c r="P42" s="12" t="inlineStr">
        <is>
          <t>STAT_SYS_A</t>
        </is>
      </c>
      <c r="Q42" s="12" t="inlineStr">
        <is>
          <t>EQ-NNN14-04</t>
        </is>
      </c>
      <c r="R42" s="23" t="n">
        <v>46446</v>
      </c>
      <c r="S42" s="23" t="n">
        <v>46476</v>
      </c>
      <c r="T42" s="12" t="inlineStr">
        <is>
          <t>Poste fictif Xi</t>
        </is>
      </c>
      <c r="U42" s="12" t="inlineStr">
        <is>
          <t>LRO</t>
        </is>
      </c>
      <c r="V42" s="12" t="inlineStr">
        <is>
          <t>AA3</t>
        </is>
      </c>
      <c r="W42" s="12" t="inlineStr">
        <is>
          <t>ZPR2</t>
        </is>
      </c>
      <c r="X42" s="12" t="inlineStr">
        <is>
          <t>PRE</t>
        </is>
      </c>
      <c r="Y42" s="12" t="n"/>
      <c r="Z42" s="12" t="inlineStr">
        <is>
          <t>USER01</t>
        </is>
      </c>
      <c r="AA42" s="12" t="n">
        <v>724.26</v>
      </c>
      <c r="AB42" s="12" t="inlineStr">
        <is>
          <t>AA3</t>
        </is>
      </c>
      <c r="AC42" s="12" t="inlineStr">
        <is>
          <t>GG-PREV</t>
        </is>
      </c>
      <c r="AD42" s="12" t="inlineStr">
        <is>
          <t>1</t>
        </is>
      </c>
      <c r="AE42" s="12" t="inlineStr">
        <is>
          <t>Code site</t>
        </is>
      </c>
      <c r="AF42" s="12" t="n"/>
      <c r="AG42" s="12" t="n">
        <v>1</v>
      </c>
      <c r="AH42" s="12" t="n"/>
      <c r="AI42" s="12" t="n">
        <v>30</v>
      </c>
      <c r="AJ42" s="12" t="n"/>
      <c r="AK42" s="12" t="inlineStr">
        <is>
          <t>DEMO_GMAO.xlsx</t>
        </is>
      </c>
      <c r="AL42" s="24" t="n">
        <v>46309.625</v>
      </c>
    </row>
    <row r="43">
      <c r="A43" s="12" t="inlineStr">
        <is>
          <t>910000029</t>
        </is>
      </c>
      <c r="B43" s="12" t="n"/>
      <c r="C43" s="12" t="inlineStr">
        <is>
          <t>LRO</t>
        </is>
      </c>
      <c r="D43" s="12" t="inlineStr">
        <is>
          <t>AA3</t>
        </is>
      </c>
      <c r="E43" s="12" t="inlineStr">
        <is>
          <t>G-I-NNN14</t>
        </is>
      </c>
      <c r="F43" s="12" t="inlineStr">
        <is>
          <t>G-I-NNN14</t>
        </is>
      </c>
      <c r="G43" s="12" t="inlineStr">
        <is>
          <t>G-I-NNN14-VAN01</t>
        </is>
      </c>
      <c r="H43" s="12" t="inlineStr">
        <is>
          <t>Équipement fictif G-I-NNN14-VAN01</t>
        </is>
      </c>
      <c r="I43" s="12" t="inlineStr">
        <is>
          <t>Maintenance préventive fictive PIS+REV - poste G-I-NNN14</t>
        </is>
      </c>
      <c r="J43" s="23" t="n">
        <v>46503</v>
      </c>
      <c r="K43" s="12" t="n">
        <v>2027</v>
      </c>
      <c r="L43" s="12" t="inlineStr">
        <is>
          <t>PIS+REV</t>
        </is>
      </c>
      <c r="M43" s="12" t="inlineStr">
        <is>
          <t>REV</t>
        </is>
      </c>
      <c r="N43" s="12" t="inlineStr">
        <is>
          <t>SECTIONNEMENT</t>
        </is>
      </c>
      <c r="O43" s="12" t="inlineStr">
        <is>
          <t>TERM</t>
        </is>
      </c>
      <c r="P43" s="12" t="inlineStr">
        <is>
          <t>STAT_SYS_A</t>
        </is>
      </c>
      <c r="Q43" s="12" t="inlineStr">
        <is>
          <t>EQ-NNN14-04</t>
        </is>
      </c>
      <c r="R43" s="23" t="n">
        <v>46446</v>
      </c>
      <c r="S43" s="23" t="n">
        <v>46476</v>
      </c>
      <c r="T43" s="12" t="inlineStr">
        <is>
          <t>Poste fictif Xi</t>
        </is>
      </c>
      <c r="U43" s="12" t="inlineStr">
        <is>
          <t>LRO</t>
        </is>
      </c>
      <c r="V43" s="12" t="inlineStr">
        <is>
          <t>AA3</t>
        </is>
      </c>
      <c r="W43" s="12" t="inlineStr">
        <is>
          <t>ZPR2</t>
        </is>
      </c>
      <c r="X43" s="12" t="inlineStr">
        <is>
          <t>PRE</t>
        </is>
      </c>
      <c r="Y43" s="12" t="n"/>
      <c r="Z43" s="12" t="inlineStr">
        <is>
          <t>USER01</t>
        </is>
      </c>
      <c r="AA43" s="12" t="n">
        <v>724.26</v>
      </c>
      <c r="AB43" s="12" t="inlineStr">
        <is>
          <t>AA3</t>
        </is>
      </c>
      <c r="AC43" s="12" t="inlineStr">
        <is>
          <t>GG-PREV</t>
        </is>
      </c>
      <c r="AD43" s="12" t="inlineStr">
        <is>
          <t>1</t>
        </is>
      </c>
      <c r="AE43" s="12" t="inlineStr">
        <is>
          <t>Code site</t>
        </is>
      </c>
      <c r="AF43" s="12" t="n"/>
      <c r="AG43" s="12" t="n">
        <v>0</v>
      </c>
      <c r="AH43" s="12" t="n"/>
      <c r="AI43" s="12" t="n">
        <v>30</v>
      </c>
      <c r="AJ43" s="12" t="n"/>
      <c r="AK43" s="12" t="inlineStr">
        <is>
          <t>DEMO_GMAO.xlsx</t>
        </is>
      </c>
      <c r="AL43" s="24" t="n">
        <v>46309.625</v>
      </c>
    </row>
    <row r="44">
      <c r="A44" s="12" t="inlineStr">
        <is>
          <t>910000030</t>
        </is>
      </c>
      <c r="B44" s="12" t="n"/>
      <c r="C44" s="12" t="inlineStr">
        <is>
          <t>LRO</t>
        </is>
      </c>
      <c r="D44" s="12" t="inlineStr">
        <is>
          <t>AA4</t>
        </is>
      </c>
      <c r="E44" s="12" t="inlineStr">
        <is>
          <t>G-I-OOO15</t>
        </is>
      </c>
      <c r="F44" s="12" t="inlineStr">
        <is>
          <t>G-I-OOO15</t>
        </is>
      </c>
      <c r="G44" s="12" t="inlineStr">
        <is>
          <t>G-I-OOO15-FILT01</t>
        </is>
      </c>
      <c r="H44" s="12" t="inlineStr">
        <is>
          <t>Équipement fictif G-I-OOO15-FILT01</t>
        </is>
      </c>
      <c r="I44" s="12" t="inlineStr">
        <is>
          <t>Maintenance préventive fictive PIS - poste G-I-OOO15</t>
        </is>
      </c>
      <c r="J44" s="23" t="n">
        <v>46031</v>
      </c>
      <c r="K44" s="12" t="n">
        <v>2026</v>
      </c>
      <c r="L44" s="12" t="inlineStr">
        <is>
          <t>PIS</t>
        </is>
      </c>
      <c r="M44" s="12" t="inlineStr">
        <is>
          <t>PIS</t>
        </is>
      </c>
      <c r="N44" s="12" t="inlineStr">
        <is>
          <t>SECTIONNEMENT</t>
        </is>
      </c>
      <c r="O44" s="12" t="inlineStr">
        <is>
          <t>ACTI</t>
        </is>
      </c>
      <c r="P44" s="12" t="inlineStr">
        <is>
          <t>STAT_SYS_A</t>
        </is>
      </c>
      <c r="Q44" s="12" t="inlineStr">
        <is>
          <t>EQ-OOO15-01</t>
        </is>
      </c>
      <c r="R44" s="23" t="n">
        <v>45981</v>
      </c>
      <c r="S44" s="23" t="n">
        <v>46020</v>
      </c>
      <c r="T44" s="12" t="inlineStr">
        <is>
          <t>Poste fictif Omicron</t>
        </is>
      </c>
      <c r="U44" s="12" t="inlineStr">
        <is>
          <t>LRO</t>
        </is>
      </c>
      <c r="V44" s="12" t="inlineStr">
        <is>
          <t>AA4</t>
        </is>
      </c>
      <c r="W44" s="12" t="inlineStr">
        <is>
          <t>ZPR2</t>
        </is>
      </c>
      <c r="X44" s="12" t="inlineStr">
        <is>
          <t>PRE</t>
        </is>
      </c>
      <c r="Y44" s="12" t="n"/>
      <c r="Z44" s="12" t="inlineStr">
        <is>
          <t>USER02</t>
        </is>
      </c>
      <c r="AA44" s="12" t="n">
        <v>445.89</v>
      </c>
      <c r="AB44" s="12" t="inlineStr">
        <is>
          <t>AA4</t>
        </is>
      </c>
      <c r="AC44" s="12" t="inlineStr">
        <is>
          <t>GG-PREV</t>
        </is>
      </c>
      <c r="AD44" s="12" t="inlineStr">
        <is>
          <t>1</t>
        </is>
      </c>
      <c r="AE44" s="12" t="inlineStr">
        <is>
          <t>Code site</t>
        </is>
      </c>
      <c r="AF44" s="12" t="n"/>
      <c r="AG44" s="12" t="n">
        <v>1</v>
      </c>
      <c r="AH44" s="12" t="n"/>
      <c r="AI44" s="12" t="n">
        <v>31</v>
      </c>
      <c r="AJ44" s="12" t="n"/>
      <c r="AK44" s="12" t="inlineStr">
        <is>
          <t>DEMO_GMAO.xlsx</t>
        </is>
      </c>
      <c r="AL44" s="24" t="n">
        <v>46309.625</v>
      </c>
    </row>
    <row r="45">
      <c r="A45" s="12" t="inlineStr">
        <is>
          <t>910000031</t>
        </is>
      </c>
      <c r="B45" s="12" t="n"/>
      <c r="C45" s="12" t="inlineStr">
        <is>
          <t>ALZ</t>
        </is>
      </c>
      <c r="D45" s="12" t="inlineStr">
        <is>
          <t>AA1</t>
        </is>
      </c>
      <c r="E45" s="12" t="inlineStr">
        <is>
          <t>G-I-PPP16</t>
        </is>
      </c>
      <c r="F45" s="12" t="inlineStr">
        <is>
          <t>G-I-PPP16</t>
        </is>
      </c>
      <c r="G45" s="12" t="inlineStr">
        <is>
          <t>G-I-PPP16-SEC01</t>
        </is>
      </c>
      <c r="H45" s="12" t="inlineStr">
        <is>
          <t>Équipement fictif G-I-PPP16-SEC01</t>
        </is>
      </c>
      <c r="I45" s="12" t="inlineStr">
        <is>
          <t>Maintenance préventive fictive PIS - poste G-I-PPP16</t>
        </is>
      </c>
      <c r="J45" s="23" t="n">
        <v>46245</v>
      </c>
      <c r="K45" s="12" t="n">
        <v>2026</v>
      </c>
      <c r="L45" s="12" t="inlineStr">
        <is>
          <t>PIS</t>
        </is>
      </c>
      <c r="M45" s="12" t="inlineStr">
        <is>
          <t>PIS</t>
        </is>
      </c>
      <c r="N45" s="12" t="inlineStr">
        <is>
          <t>COMPTAGE</t>
        </is>
      </c>
      <c r="O45" s="12" t="inlineStr">
        <is>
          <t>TERM</t>
        </is>
      </c>
      <c r="P45" s="12" t="inlineStr">
        <is>
          <t>STAT_SYS_A</t>
        </is>
      </c>
      <c r="Q45" s="12" t="inlineStr">
        <is>
          <t>EQ-PPP16-05</t>
        </is>
      </c>
      <c r="R45" s="23" t="n">
        <v>46174</v>
      </c>
      <c r="S45" s="23" t="n">
        <v>46239</v>
      </c>
      <c r="T45" s="12" t="inlineStr">
        <is>
          <t>Poste fictif Pi</t>
        </is>
      </c>
      <c r="U45" s="12" t="inlineStr">
        <is>
          <t>ALZ</t>
        </is>
      </c>
      <c r="V45" s="12" t="inlineStr">
        <is>
          <t>AA1</t>
        </is>
      </c>
      <c r="W45" s="12" t="inlineStr">
        <is>
          <t>ZPR2</t>
        </is>
      </c>
      <c r="X45" s="12" t="inlineStr">
        <is>
          <t>PRE</t>
        </is>
      </c>
      <c r="Y45" s="12" t="n"/>
      <c r="Z45" s="12" t="inlineStr">
        <is>
          <t>USER01</t>
        </is>
      </c>
      <c r="AA45" s="12" t="n">
        <v>1327.54</v>
      </c>
      <c r="AB45" s="12" t="inlineStr">
        <is>
          <t>AA1</t>
        </is>
      </c>
      <c r="AC45" s="12" t="inlineStr">
        <is>
          <t>GG-PREV</t>
        </is>
      </c>
      <c r="AD45" s="12" t="inlineStr">
        <is>
          <t>2</t>
        </is>
      </c>
      <c r="AE45" s="12" t="inlineStr">
        <is>
          <t>Code site</t>
        </is>
      </c>
      <c r="AF45" s="12" t="n"/>
      <c r="AG45" s="12" t="n">
        <v>1</v>
      </c>
      <c r="AH45" s="12" t="n"/>
      <c r="AI45" s="12" t="n">
        <v>32</v>
      </c>
      <c r="AJ45" s="12" t="n"/>
      <c r="AK45" s="12" t="inlineStr">
        <is>
          <t>DEMO_GMAO.xlsx</t>
        </is>
      </c>
      <c r="AL45" s="24" t="n">
        <v>46309.625</v>
      </c>
    </row>
    <row r="46">
      <c r="A46" s="12" t="inlineStr">
        <is>
          <t>910000032</t>
        </is>
      </c>
      <c r="B46" s="12" t="n"/>
      <c r="C46" s="12" t="inlineStr">
        <is>
          <t>ALZ</t>
        </is>
      </c>
      <c r="D46" s="12" t="inlineStr">
        <is>
          <t>AA1</t>
        </is>
      </c>
      <c r="E46" s="12" t="inlineStr">
        <is>
          <t>G-I-PPP16</t>
        </is>
      </c>
      <c r="F46" s="12" t="inlineStr">
        <is>
          <t>G-I-PPP16</t>
        </is>
      </c>
      <c r="G46" s="12" t="inlineStr">
        <is>
          <t>G-I-PPP16-SEC01</t>
        </is>
      </c>
      <c r="H46" s="12" t="inlineStr">
        <is>
          <t>Équipement fictif G-I-PPP16-SEC01</t>
        </is>
      </c>
      <c r="I46" s="12" t="inlineStr">
        <is>
          <t>Maintenance préventive fictive PIS - poste G-I-PPP16</t>
        </is>
      </c>
      <c r="J46" s="23" t="n">
        <v>46470</v>
      </c>
      <c r="K46" s="12" t="n">
        <v>2027</v>
      </c>
      <c r="L46" s="12" t="inlineStr">
        <is>
          <t>PIS</t>
        </is>
      </c>
      <c r="M46" s="12" t="inlineStr">
        <is>
          <t>PIS</t>
        </is>
      </c>
      <c r="N46" s="12" t="inlineStr">
        <is>
          <t>COMPTAGE</t>
        </is>
      </c>
      <c r="O46" s="12" t="inlineStr">
        <is>
          <t>TERM</t>
        </is>
      </c>
      <c r="P46" s="12" t="inlineStr">
        <is>
          <t>STAT_SYS_A</t>
        </is>
      </c>
      <c r="Q46" s="12" t="inlineStr">
        <is>
          <t>EQ-PPP16-09</t>
        </is>
      </c>
      <c r="R46" s="23" t="n">
        <v>46388</v>
      </c>
      <c r="S46" s="23" t="n">
        <v>46463</v>
      </c>
      <c r="T46" s="12" t="inlineStr">
        <is>
          <t>Poste fictif Pi</t>
        </is>
      </c>
      <c r="U46" s="12" t="inlineStr">
        <is>
          <t>ALZ</t>
        </is>
      </c>
      <c r="V46" s="12" t="inlineStr">
        <is>
          <t>AA1</t>
        </is>
      </c>
      <c r="W46" s="12" t="inlineStr">
        <is>
          <t>ZPR2</t>
        </is>
      </c>
      <c r="X46" s="12" t="inlineStr">
        <is>
          <t>PRE</t>
        </is>
      </c>
      <c r="Y46" s="12" t="n"/>
      <c r="Z46" s="12" t="inlineStr">
        <is>
          <t>USER03</t>
        </is>
      </c>
      <c r="AA46" s="12" t="n">
        <v>181.75</v>
      </c>
      <c r="AB46" s="12" t="inlineStr">
        <is>
          <t>AA1</t>
        </is>
      </c>
      <c r="AC46" s="12" t="inlineStr">
        <is>
          <t>GG-PREV</t>
        </is>
      </c>
      <c r="AD46" s="12" t="inlineStr">
        <is>
          <t>2</t>
        </is>
      </c>
      <c r="AE46" s="12" t="inlineStr">
        <is>
          <t>Code site</t>
        </is>
      </c>
      <c r="AF46" s="12" t="n"/>
      <c r="AG46" s="12" t="n">
        <v>1</v>
      </c>
      <c r="AH46" s="12" t="n"/>
      <c r="AI46" s="12" t="n">
        <v>33</v>
      </c>
      <c r="AJ46" s="12" t="n"/>
      <c r="AK46" s="12" t="inlineStr">
        <is>
          <t>DEMO_GMAO.xlsx</t>
        </is>
      </c>
      <c r="AL46" s="24" t="n">
        <v>46309.625</v>
      </c>
    </row>
    <row r="47">
      <c r="A47" s="12" t="inlineStr">
        <is>
          <t>910000033</t>
        </is>
      </c>
      <c r="B47" s="12" t="n"/>
      <c r="C47" s="12" t="inlineStr">
        <is>
          <t>ALZ</t>
        </is>
      </c>
      <c r="D47" s="12" t="inlineStr">
        <is>
          <t>AA1</t>
        </is>
      </c>
      <c r="E47" s="12" t="inlineStr">
        <is>
          <t>G-I-PPP16</t>
        </is>
      </c>
      <c r="F47" s="12" t="inlineStr">
        <is>
          <t>G-I-PPP16</t>
        </is>
      </c>
      <c r="G47" s="12" t="inlineStr">
        <is>
          <t>G-I-PPP16-SEC01</t>
        </is>
      </c>
      <c r="H47" s="12" t="inlineStr">
        <is>
          <t>Équipement fictif G-I-PPP16-SEC01</t>
        </is>
      </c>
      <c r="I47" s="12" t="inlineStr">
        <is>
          <t>Maintenance préventive fictive PIS - poste G-I-PPP16</t>
        </is>
      </c>
      <c r="J47" s="23" t="n">
        <v>46637</v>
      </c>
      <c r="K47" s="12" t="n">
        <v>2027</v>
      </c>
      <c r="L47" s="12" t="inlineStr">
        <is>
          <t>PIS</t>
        </is>
      </c>
      <c r="M47" s="12" t="inlineStr">
        <is>
          <t>PIS</t>
        </is>
      </c>
      <c r="N47" s="12" t="inlineStr">
        <is>
          <t>COMPTAGE</t>
        </is>
      </c>
      <c r="O47" s="12" t="inlineStr">
        <is>
          <t>TERM</t>
        </is>
      </c>
      <c r="P47" s="12" t="inlineStr">
        <is>
          <t>STAT_SYS_A</t>
        </is>
      </c>
      <c r="Q47" s="12" t="inlineStr">
        <is>
          <t>EQ-PPP16-06</t>
        </is>
      </c>
      <c r="R47" s="23" t="n">
        <v>46553</v>
      </c>
      <c r="S47" s="23" t="n">
        <v>46616</v>
      </c>
      <c r="T47" s="12" t="inlineStr">
        <is>
          <t>Poste fictif Pi</t>
        </is>
      </c>
      <c r="U47" s="12" t="inlineStr">
        <is>
          <t>ALZ</t>
        </is>
      </c>
      <c r="V47" s="12" t="inlineStr">
        <is>
          <t>AA1</t>
        </is>
      </c>
      <c r="W47" s="12" t="inlineStr">
        <is>
          <t>ZPR2</t>
        </is>
      </c>
      <c r="X47" s="12" t="inlineStr">
        <is>
          <t>PRE</t>
        </is>
      </c>
      <c r="Y47" s="12" t="n"/>
      <c r="Z47" s="12" t="inlineStr">
        <is>
          <t>USER01</t>
        </is>
      </c>
      <c r="AA47" s="12" t="n">
        <v>1176.37</v>
      </c>
      <c r="AB47" s="12" t="inlineStr">
        <is>
          <t>AA1</t>
        </is>
      </c>
      <c r="AC47" s="12" t="inlineStr">
        <is>
          <t>GG-PREV</t>
        </is>
      </c>
      <c r="AD47" s="12" t="inlineStr">
        <is>
          <t>1</t>
        </is>
      </c>
      <c r="AE47" s="12" t="inlineStr">
        <is>
          <t>Code site</t>
        </is>
      </c>
      <c r="AF47" s="12" t="n"/>
      <c r="AG47" s="12" t="n">
        <v>1</v>
      </c>
      <c r="AH47" s="12" t="n"/>
      <c r="AI47" s="12" t="n">
        <v>34</v>
      </c>
      <c r="AJ47" s="12" t="n"/>
      <c r="AK47" s="12" t="inlineStr">
        <is>
          <t>DEMO_GMAO.xlsx</t>
        </is>
      </c>
      <c r="AL47" s="24" t="n">
        <v>46309.625</v>
      </c>
    </row>
    <row r="48">
      <c r="A48" s="12" t="inlineStr">
        <is>
          <t>910000034</t>
        </is>
      </c>
      <c r="B48" s="12" t="n"/>
      <c r="C48" s="12" t="inlineStr">
        <is>
          <t>ALZ</t>
        </is>
      </c>
      <c r="D48" s="12" t="inlineStr">
        <is>
          <t>AA3</t>
        </is>
      </c>
      <c r="E48" s="12" t="inlineStr">
        <is>
          <t>G-I-QQQ17</t>
        </is>
      </c>
      <c r="F48" s="12" t="inlineStr">
        <is>
          <t>G-I-QQQ17</t>
        </is>
      </c>
      <c r="G48" s="12" t="inlineStr">
        <is>
          <t>G-I-QQQ17-REG01</t>
        </is>
      </c>
      <c r="H48" s="12" t="inlineStr">
        <is>
          <t>Équipement fictif G-I-QQQ17-REG01</t>
        </is>
      </c>
      <c r="I48" s="12" t="inlineStr">
        <is>
          <t>Maintenance préventive fictive PIS - poste G-I-QQQ17</t>
        </is>
      </c>
      <c r="J48" s="23" t="n">
        <v>46090</v>
      </c>
      <c r="K48" s="12" t="n">
        <v>2026</v>
      </c>
      <c r="L48" s="12" t="inlineStr">
        <is>
          <t>PIS</t>
        </is>
      </c>
      <c r="M48" s="12" t="inlineStr">
        <is>
          <t>PIS</t>
        </is>
      </c>
      <c r="N48" s="12" t="inlineStr">
        <is>
          <t>DETENTE</t>
        </is>
      </c>
      <c r="O48" s="12" t="inlineStr">
        <is>
          <t>TERM</t>
        </is>
      </c>
      <c r="P48" s="12" t="inlineStr">
        <is>
          <t>STAT_SYS_A</t>
        </is>
      </c>
      <c r="Q48" s="12" t="inlineStr">
        <is>
          <t>EQ-QQQ17-09</t>
        </is>
      </c>
      <c r="R48" s="23" t="n">
        <v>46042</v>
      </c>
      <c r="S48" s="23" t="n">
        <v>46076</v>
      </c>
      <c r="T48" s="12" t="inlineStr">
        <is>
          <t>Poste fictif Rho</t>
        </is>
      </c>
      <c r="U48" s="12" t="inlineStr">
        <is>
          <t>ALZ</t>
        </is>
      </c>
      <c r="V48" s="12" t="inlineStr">
        <is>
          <t>AA3</t>
        </is>
      </c>
      <c r="W48" s="12" t="inlineStr">
        <is>
          <t>ZPR2</t>
        </is>
      </c>
      <c r="X48" s="12" t="inlineStr">
        <is>
          <t>PRE</t>
        </is>
      </c>
      <c r="Y48" s="12" t="n"/>
      <c r="Z48" s="12" t="inlineStr">
        <is>
          <t>USER02</t>
        </is>
      </c>
      <c r="AA48" s="12" t="n">
        <v>1424.88</v>
      </c>
      <c r="AB48" s="12" t="inlineStr">
        <is>
          <t>AA3</t>
        </is>
      </c>
      <c r="AC48" s="12" t="inlineStr">
        <is>
          <t>GG-PREV</t>
        </is>
      </c>
      <c r="AD48" s="12" t="inlineStr">
        <is>
          <t>1</t>
        </is>
      </c>
      <c r="AE48" s="12" t="inlineStr">
        <is>
          <t>Code site</t>
        </is>
      </c>
      <c r="AF48" s="12" t="n"/>
      <c r="AG48" s="12" t="n">
        <v>1</v>
      </c>
      <c r="AH48" s="12" t="n"/>
      <c r="AI48" s="12" t="n">
        <v>35</v>
      </c>
      <c r="AJ48" s="12" t="n"/>
      <c r="AK48" s="12" t="inlineStr">
        <is>
          <t>DEMO_GMAO.xlsx</t>
        </is>
      </c>
      <c r="AL48" s="24" t="n">
        <v>46309.625</v>
      </c>
    </row>
    <row r="49">
      <c r="A49" s="12" t="inlineStr">
        <is>
          <t>910000035</t>
        </is>
      </c>
      <c r="B49" s="12" t="n"/>
      <c r="C49" s="12" t="inlineStr">
        <is>
          <t>ALZ</t>
        </is>
      </c>
      <c r="D49" s="12" t="inlineStr">
        <is>
          <t>AA3</t>
        </is>
      </c>
      <c r="E49" s="12" t="inlineStr">
        <is>
          <t>G-I-QQQ17</t>
        </is>
      </c>
      <c r="F49" s="12" t="inlineStr">
        <is>
          <t>G-I-QQQ17</t>
        </is>
      </c>
      <c r="G49" s="12" t="inlineStr">
        <is>
          <t>G-I-QQQ17-REG01</t>
        </is>
      </c>
      <c r="H49" s="12" t="inlineStr">
        <is>
          <t>Équipement fictif G-I-QQQ17-REG01</t>
        </is>
      </c>
      <c r="I49" s="12" t="inlineStr">
        <is>
          <t>Maintenance préventive fictive EC+REV+FILTRE - poste G-I-QQQ17</t>
        </is>
      </c>
      <c r="J49" s="23" t="n">
        <v>46067</v>
      </c>
      <c r="K49" s="12" t="n">
        <v>2026</v>
      </c>
      <c r="L49" s="12" t="inlineStr">
        <is>
          <t>EC+REV+FILTRE</t>
        </is>
      </c>
      <c r="M49" s="12" t="inlineStr">
        <is>
          <t>EC</t>
        </is>
      </c>
      <c r="N49" s="12" t="inlineStr">
        <is>
          <t>DETENTE</t>
        </is>
      </c>
      <c r="O49" s="12" t="inlineStr">
        <is>
          <t>TERM</t>
        </is>
      </c>
      <c r="P49" s="12" t="inlineStr">
        <is>
          <t>STAT_SYS_A</t>
        </is>
      </c>
      <c r="Q49" s="12" t="inlineStr">
        <is>
          <t>EQ-QQQ17-06</t>
        </is>
      </c>
      <c r="R49" s="23" t="n">
        <v>46005</v>
      </c>
      <c r="S49" s="23" t="n">
        <v>46040</v>
      </c>
      <c r="T49" s="12" t="inlineStr">
        <is>
          <t>Poste fictif Rho</t>
        </is>
      </c>
      <c r="U49" s="12" t="inlineStr">
        <is>
          <t>ALZ</t>
        </is>
      </c>
      <c r="V49" s="12" t="inlineStr">
        <is>
          <t>AA3</t>
        </is>
      </c>
      <c r="W49" s="12" t="inlineStr">
        <is>
          <t>ZPR2</t>
        </is>
      </c>
      <c r="X49" s="12" t="inlineStr">
        <is>
          <t>PRE</t>
        </is>
      </c>
      <c r="Y49" s="12" t="n"/>
      <c r="Z49" s="12" t="inlineStr">
        <is>
          <t>USER02</t>
        </is>
      </c>
      <c r="AA49" s="12" t="n">
        <v>1493.35</v>
      </c>
      <c r="AB49" s="12" t="inlineStr">
        <is>
          <t>AA3</t>
        </is>
      </c>
      <c r="AC49" s="12" t="inlineStr">
        <is>
          <t>GG-PREV</t>
        </is>
      </c>
      <c r="AD49" s="12" t="inlineStr">
        <is>
          <t>2</t>
        </is>
      </c>
      <c r="AE49" s="12" t="inlineStr">
        <is>
          <t>Code site</t>
        </is>
      </c>
      <c r="AF49" s="12" t="n"/>
      <c r="AG49" s="12" t="n">
        <v>1</v>
      </c>
      <c r="AH49" s="12" t="n"/>
      <c r="AI49" s="12" t="n">
        <v>36</v>
      </c>
      <c r="AJ49" s="12" t="n"/>
      <c r="AK49" s="12" t="inlineStr">
        <is>
          <t>DEMO_GMAO.xlsx</t>
        </is>
      </c>
      <c r="AL49" s="24" t="n">
        <v>46309.625</v>
      </c>
    </row>
    <row r="50">
      <c r="A50" s="12" t="inlineStr">
        <is>
          <t>910000035</t>
        </is>
      </c>
      <c r="B50" s="12" t="n"/>
      <c r="C50" s="12" t="inlineStr">
        <is>
          <t>ALZ</t>
        </is>
      </c>
      <c r="D50" s="12" t="inlineStr">
        <is>
          <t>AA3</t>
        </is>
      </c>
      <c r="E50" s="12" t="inlineStr">
        <is>
          <t>G-I-QQQ17</t>
        </is>
      </c>
      <c r="F50" s="12" t="inlineStr">
        <is>
          <t>G-I-QQQ17</t>
        </is>
      </c>
      <c r="G50" s="12" t="inlineStr">
        <is>
          <t>G-I-QQQ17-REG01</t>
        </is>
      </c>
      <c r="H50" s="12" t="inlineStr">
        <is>
          <t>Équipement fictif G-I-QQQ17-REG01</t>
        </is>
      </c>
      <c r="I50" s="12" t="inlineStr">
        <is>
          <t>Maintenance préventive fictive EC+REV+FILTRE - poste G-I-QQQ17</t>
        </is>
      </c>
      <c r="J50" s="23" t="n">
        <v>46067</v>
      </c>
      <c r="K50" s="12" t="n">
        <v>2026</v>
      </c>
      <c r="L50" s="12" t="inlineStr">
        <is>
          <t>EC+REV+FILTRE</t>
        </is>
      </c>
      <c r="M50" s="12" t="inlineStr">
        <is>
          <t>REV</t>
        </is>
      </c>
      <c r="N50" s="12" t="inlineStr">
        <is>
          <t>DETENTE</t>
        </is>
      </c>
      <c r="O50" s="12" t="inlineStr">
        <is>
          <t>TERM</t>
        </is>
      </c>
      <c r="P50" s="12" t="inlineStr">
        <is>
          <t>STAT_SYS_A</t>
        </is>
      </c>
      <c r="Q50" s="12" t="inlineStr">
        <is>
          <t>EQ-QQQ17-06</t>
        </is>
      </c>
      <c r="R50" s="23" t="n">
        <v>46005</v>
      </c>
      <c r="S50" s="23" t="n">
        <v>46040</v>
      </c>
      <c r="T50" s="12" t="inlineStr">
        <is>
          <t>Poste fictif Rho</t>
        </is>
      </c>
      <c r="U50" s="12" t="inlineStr">
        <is>
          <t>ALZ</t>
        </is>
      </c>
      <c r="V50" s="12" t="inlineStr">
        <is>
          <t>AA3</t>
        </is>
      </c>
      <c r="W50" s="12" t="inlineStr">
        <is>
          <t>ZPR2</t>
        </is>
      </c>
      <c r="X50" s="12" t="inlineStr">
        <is>
          <t>PRE</t>
        </is>
      </c>
      <c r="Y50" s="12" t="n"/>
      <c r="Z50" s="12" t="inlineStr">
        <is>
          <t>USER02</t>
        </is>
      </c>
      <c r="AA50" s="12" t="n">
        <v>1493.35</v>
      </c>
      <c r="AB50" s="12" t="inlineStr">
        <is>
          <t>AA3</t>
        </is>
      </c>
      <c r="AC50" s="12" t="inlineStr">
        <is>
          <t>GG-PREV</t>
        </is>
      </c>
      <c r="AD50" s="12" t="inlineStr">
        <is>
          <t>2</t>
        </is>
      </c>
      <c r="AE50" s="12" t="inlineStr">
        <is>
          <t>Code site</t>
        </is>
      </c>
      <c r="AF50" s="12" t="n"/>
      <c r="AG50" s="12" t="n">
        <v>0</v>
      </c>
      <c r="AH50" s="12" t="n"/>
      <c r="AI50" s="12" t="n">
        <v>36</v>
      </c>
      <c r="AJ50" s="12" t="n"/>
      <c r="AK50" s="12" t="inlineStr">
        <is>
          <t>DEMO_GMAO.xlsx</t>
        </is>
      </c>
      <c r="AL50" s="24" t="n">
        <v>46309.625</v>
      </c>
    </row>
    <row r="51">
      <c r="A51" s="12" t="inlineStr">
        <is>
          <t>910000035</t>
        </is>
      </c>
      <c r="B51" s="12" t="n"/>
      <c r="C51" s="12" t="inlineStr">
        <is>
          <t>ALZ</t>
        </is>
      </c>
      <c r="D51" s="12" t="inlineStr">
        <is>
          <t>AA3</t>
        </is>
      </c>
      <c r="E51" s="12" t="inlineStr">
        <is>
          <t>G-I-QQQ17</t>
        </is>
      </c>
      <c r="F51" s="12" t="inlineStr">
        <is>
          <t>G-I-QQQ17</t>
        </is>
      </c>
      <c r="G51" s="12" t="inlineStr">
        <is>
          <t>G-I-QQQ17-REG01</t>
        </is>
      </c>
      <c r="H51" s="12" t="inlineStr">
        <is>
          <t>Équipement fictif G-I-QQQ17-REG01</t>
        </is>
      </c>
      <c r="I51" s="12" t="inlineStr">
        <is>
          <t>Maintenance préventive fictive EC+REV+FILTRE - poste G-I-QQQ17</t>
        </is>
      </c>
      <c r="J51" s="23" t="n">
        <v>46067</v>
      </c>
      <c r="K51" s="12" t="n">
        <v>2026</v>
      </c>
      <c r="L51" s="12" t="inlineStr">
        <is>
          <t>EC+REV+FILTRE</t>
        </is>
      </c>
      <c r="M51" s="12" t="inlineStr">
        <is>
          <t>FILTRE</t>
        </is>
      </c>
      <c r="N51" s="12" t="inlineStr">
        <is>
          <t>DETENTE</t>
        </is>
      </c>
      <c r="O51" s="12" t="inlineStr">
        <is>
          <t>TERM</t>
        </is>
      </c>
      <c r="P51" s="12" t="inlineStr">
        <is>
          <t>STAT_SYS_A</t>
        </is>
      </c>
      <c r="Q51" s="12" t="inlineStr">
        <is>
          <t>EQ-QQQ17-06</t>
        </is>
      </c>
      <c r="R51" s="23" t="n">
        <v>46005</v>
      </c>
      <c r="S51" s="23" t="n">
        <v>46040</v>
      </c>
      <c r="T51" s="12" t="inlineStr">
        <is>
          <t>Poste fictif Rho</t>
        </is>
      </c>
      <c r="U51" s="12" t="inlineStr">
        <is>
          <t>ALZ</t>
        </is>
      </c>
      <c r="V51" s="12" t="inlineStr">
        <is>
          <t>AA3</t>
        </is>
      </c>
      <c r="W51" s="12" t="inlineStr">
        <is>
          <t>ZPR2</t>
        </is>
      </c>
      <c r="X51" s="12" t="inlineStr">
        <is>
          <t>PRE</t>
        </is>
      </c>
      <c r="Y51" s="12" t="n"/>
      <c r="Z51" s="12" t="inlineStr">
        <is>
          <t>USER02</t>
        </is>
      </c>
      <c r="AA51" s="12" t="n">
        <v>1493.35</v>
      </c>
      <c r="AB51" s="12" t="inlineStr">
        <is>
          <t>AA3</t>
        </is>
      </c>
      <c r="AC51" s="12" t="inlineStr">
        <is>
          <t>GG-PREV</t>
        </is>
      </c>
      <c r="AD51" s="12" t="inlineStr">
        <is>
          <t>2</t>
        </is>
      </c>
      <c r="AE51" s="12" t="inlineStr">
        <is>
          <t>Code site</t>
        </is>
      </c>
      <c r="AF51" s="12" t="n"/>
      <c r="AG51" s="12" t="n">
        <v>0</v>
      </c>
      <c r="AH51" s="12" t="n"/>
      <c r="AI51" s="12" t="n">
        <v>36</v>
      </c>
      <c r="AJ51" s="12" t="n"/>
      <c r="AK51" s="12" t="inlineStr">
        <is>
          <t>DEMO_GMAO.xlsx</t>
        </is>
      </c>
      <c r="AL51" s="24" t="n">
        <v>46309.625</v>
      </c>
    </row>
    <row r="52">
      <c r="A52" s="12" t="inlineStr">
        <is>
          <t>910000036</t>
        </is>
      </c>
      <c r="B52" s="12" t="n"/>
      <c r="C52" s="12" t="inlineStr">
        <is>
          <t>ALZ</t>
        </is>
      </c>
      <c r="D52" s="12" t="inlineStr">
        <is>
          <t>AA3</t>
        </is>
      </c>
      <c r="E52" s="12" t="inlineStr">
        <is>
          <t>G-I-QQQ17</t>
        </is>
      </c>
      <c r="F52" s="12" t="inlineStr">
        <is>
          <t>G-I-QQQ17</t>
        </is>
      </c>
      <c r="G52" s="12" t="inlineStr">
        <is>
          <t>G-I-QQQ17-REG01</t>
        </is>
      </c>
      <c r="H52" s="12" t="inlineStr">
        <is>
          <t>Équipement fictif G-I-QQQ17-REG01</t>
        </is>
      </c>
      <c r="I52" s="12" t="inlineStr">
        <is>
          <t>Maintenance préventive fictive PIS - poste G-I-QQQ17</t>
        </is>
      </c>
      <c r="J52" s="23" t="n">
        <v>46651</v>
      </c>
      <c r="K52" s="12" t="n">
        <v>2027</v>
      </c>
      <c r="L52" s="12" t="inlineStr">
        <is>
          <t>PIS</t>
        </is>
      </c>
      <c r="M52" s="12" t="inlineStr">
        <is>
          <t>PIS</t>
        </is>
      </c>
      <c r="N52" s="12" t="inlineStr">
        <is>
          <t>DETENTE</t>
        </is>
      </c>
      <c r="O52" s="12" t="inlineStr">
        <is>
          <t>TERM</t>
        </is>
      </c>
      <c r="P52" s="12" t="inlineStr">
        <is>
          <t>STAT_SYS_A</t>
        </is>
      </c>
      <c r="Q52" s="12" t="inlineStr">
        <is>
          <t>EQ-QQQ17-08</t>
        </is>
      </c>
      <c r="R52" s="23" t="n">
        <v>46595</v>
      </c>
      <c r="S52" s="23" t="n">
        <v>46623</v>
      </c>
      <c r="T52" s="12" t="inlineStr">
        <is>
          <t>Poste fictif Rho</t>
        </is>
      </c>
      <c r="U52" s="12" t="inlineStr">
        <is>
          <t>ALZ</t>
        </is>
      </c>
      <c r="V52" s="12" t="inlineStr">
        <is>
          <t>AA3</t>
        </is>
      </c>
      <c r="W52" s="12" t="inlineStr">
        <is>
          <t>ZPR2</t>
        </is>
      </c>
      <c r="X52" s="12" t="inlineStr">
        <is>
          <t>PRE</t>
        </is>
      </c>
      <c r="Y52" s="12" t="n"/>
      <c r="Z52" s="12" t="inlineStr">
        <is>
          <t>USER02</t>
        </is>
      </c>
      <c r="AA52" s="12" t="n">
        <v>1416.42</v>
      </c>
      <c r="AB52" s="12" t="inlineStr">
        <is>
          <t>AA3</t>
        </is>
      </c>
      <c r="AC52" s="12" t="inlineStr">
        <is>
          <t>GG-PREV</t>
        </is>
      </c>
      <c r="AD52" s="12" t="inlineStr">
        <is>
          <t>1</t>
        </is>
      </c>
      <c r="AE52" s="12" t="inlineStr">
        <is>
          <t>Code site</t>
        </is>
      </c>
      <c r="AF52" s="12" t="n"/>
      <c r="AG52" s="12" t="n">
        <v>1</v>
      </c>
      <c r="AH52" s="12" t="n"/>
      <c r="AI52" s="12" t="n">
        <v>37</v>
      </c>
      <c r="AJ52" s="12" t="n"/>
      <c r="AK52" s="12" t="inlineStr">
        <is>
          <t>DEMO_GMAO.xlsx</t>
        </is>
      </c>
      <c r="AL52" s="24" t="n">
        <v>46309.625</v>
      </c>
    </row>
    <row r="53">
      <c r="A53" s="12" t="inlineStr">
        <is>
          <t>910000037</t>
        </is>
      </c>
      <c r="B53" s="12" t="n"/>
      <c r="C53" s="12" t="inlineStr">
        <is>
          <t>ALZ</t>
        </is>
      </c>
      <c r="D53" s="12" t="inlineStr">
        <is>
          <t>AA4</t>
        </is>
      </c>
      <c r="E53" s="12" t="inlineStr">
        <is>
          <t>G-I-RRR18</t>
        </is>
      </c>
      <c r="F53" s="12" t="inlineStr">
        <is>
          <t>G-I-RRR18</t>
        </is>
      </c>
      <c r="G53" s="12" t="inlineStr">
        <is>
          <t>G-I-RRR18-VAN01</t>
        </is>
      </c>
      <c r="H53" s="12" t="inlineStr">
        <is>
          <t>Équipement fictif G-I-RRR18-VAN01</t>
        </is>
      </c>
      <c r="I53" s="12" t="inlineStr">
        <is>
          <t>Maintenance préventive fictive PIS - poste G-I-RRR18</t>
        </is>
      </c>
      <c r="J53" s="23" t="n">
        <v>46056</v>
      </c>
      <c r="K53" s="12" t="n">
        <v>2026</v>
      </c>
      <c r="L53" s="12" t="inlineStr">
        <is>
          <t>PIS</t>
        </is>
      </c>
      <c r="M53" s="12" t="inlineStr">
        <is>
          <t>PIS</t>
        </is>
      </c>
      <c r="N53" s="12" t="inlineStr">
        <is>
          <t>LIVRAISON</t>
        </is>
      </c>
      <c r="O53" s="12" t="inlineStr">
        <is>
          <t>TERM</t>
        </is>
      </c>
      <c r="P53" s="12" t="inlineStr">
        <is>
          <t>STAT_SYS_A</t>
        </is>
      </c>
      <c r="Q53" s="12" t="inlineStr">
        <is>
          <t>EQ-RRR18-05</t>
        </is>
      </c>
      <c r="R53" s="23" t="n">
        <v>46008</v>
      </c>
      <c r="S53" s="23" t="n">
        <v>46030</v>
      </c>
      <c r="T53" s="12" t="inlineStr">
        <is>
          <t>Poste fictif Sigma</t>
        </is>
      </c>
      <c r="U53" s="12" t="inlineStr">
        <is>
          <t>ALZ</t>
        </is>
      </c>
      <c r="V53" s="12" t="inlineStr">
        <is>
          <t>AA4</t>
        </is>
      </c>
      <c r="W53" s="12" t="inlineStr">
        <is>
          <t>ZPR2</t>
        </is>
      </c>
      <c r="X53" s="12" t="inlineStr">
        <is>
          <t>PRE</t>
        </is>
      </c>
      <c r="Y53" s="12" t="n"/>
      <c r="Z53" s="12" t="inlineStr">
        <is>
          <t>USER02</t>
        </is>
      </c>
      <c r="AA53" s="12" t="n">
        <v>777.99</v>
      </c>
      <c r="AB53" s="12" t="inlineStr">
        <is>
          <t>AA4</t>
        </is>
      </c>
      <c r="AC53" s="12" t="inlineStr">
        <is>
          <t>GG-PREV</t>
        </is>
      </c>
      <c r="AD53" s="12" t="inlineStr">
        <is>
          <t>2</t>
        </is>
      </c>
      <c r="AE53" s="12" t="inlineStr">
        <is>
          <t>Code site</t>
        </is>
      </c>
      <c r="AF53" s="12" t="n"/>
      <c r="AG53" s="12" t="n">
        <v>1</v>
      </c>
      <c r="AH53" s="12" t="n"/>
      <c r="AI53" s="12" t="n">
        <v>38</v>
      </c>
      <c r="AJ53" s="12" t="n"/>
      <c r="AK53" s="12" t="inlineStr">
        <is>
          <t>DEMO_GMAO.xlsx</t>
        </is>
      </c>
      <c r="AL53" s="24" t="n">
        <v>46309.625</v>
      </c>
    </row>
    <row r="54">
      <c r="A54" s="12" t="inlineStr">
        <is>
          <t>910000038</t>
        </is>
      </c>
      <c r="B54" s="12" t="n"/>
      <c r="C54" s="12" t="inlineStr">
        <is>
          <t>ALZ</t>
        </is>
      </c>
      <c r="D54" s="12" t="inlineStr">
        <is>
          <t>AA4</t>
        </is>
      </c>
      <c r="E54" s="12" t="inlineStr">
        <is>
          <t>G-I-RRR18</t>
        </is>
      </c>
      <c r="F54" s="12" t="inlineStr">
        <is>
          <t>G-I-RRR18</t>
        </is>
      </c>
      <c r="G54" s="12" t="inlineStr">
        <is>
          <t>G-I-RRR18-VAN01</t>
        </is>
      </c>
      <c r="H54" s="12" t="inlineStr">
        <is>
          <t>Équipement fictif G-I-RRR18-VAN01</t>
        </is>
      </c>
      <c r="I54" s="12" t="inlineStr">
        <is>
          <t>Maintenance préventive fictive PIS - poste G-I-RRR18</t>
        </is>
      </c>
      <c r="J54" s="23" t="n">
        <v>46606</v>
      </c>
      <c r="K54" s="12" t="n">
        <v>2027</v>
      </c>
      <c r="L54" s="12" t="inlineStr">
        <is>
          <t>PIS</t>
        </is>
      </c>
      <c r="M54" s="12" t="inlineStr">
        <is>
          <t>PIS</t>
        </is>
      </c>
      <c r="N54" s="12" t="inlineStr">
        <is>
          <t>LIVRAISON</t>
        </is>
      </c>
      <c r="O54" s="12" t="inlineStr">
        <is>
          <t>TERM</t>
        </is>
      </c>
      <c r="P54" s="12" t="inlineStr">
        <is>
          <t>STAT_SYS_A</t>
        </is>
      </c>
      <c r="Q54" s="12" t="inlineStr">
        <is>
          <t>EQ-RRR18-09</t>
        </is>
      </c>
      <c r="R54" s="23" t="n">
        <v>46564</v>
      </c>
      <c r="S54" s="23" t="n">
        <v>46584</v>
      </c>
      <c r="T54" s="12" t="inlineStr">
        <is>
          <t>Poste fictif Sigma</t>
        </is>
      </c>
      <c r="U54" s="12" t="inlineStr">
        <is>
          <t>ALZ</t>
        </is>
      </c>
      <c r="V54" s="12" t="inlineStr">
        <is>
          <t>AA4</t>
        </is>
      </c>
      <c r="W54" s="12" t="inlineStr">
        <is>
          <t>ZPR2</t>
        </is>
      </c>
      <c r="X54" s="12" t="inlineStr">
        <is>
          <t>PRE</t>
        </is>
      </c>
      <c r="Y54" s="12" t="n"/>
      <c r="Z54" s="12" t="inlineStr">
        <is>
          <t>USER01</t>
        </is>
      </c>
      <c r="AA54" s="12" t="n">
        <v>450.84</v>
      </c>
      <c r="AB54" s="12" t="inlineStr">
        <is>
          <t>AA4</t>
        </is>
      </c>
      <c r="AC54" s="12" t="inlineStr">
        <is>
          <t>GG-PREV</t>
        </is>
      </c>
      <c r="AD54" s="12" t="inlineStr">
        <is>
          <t>1</t>
        </is>
      </c>
      <c r="AE54" s="12" t="inlineStr">
        <is>
          <t>Code site</t>
        </is>
      </c>
      <c r="AF54" s="12" t="n"/>
      <c r="AG54" s="12" t="n">
        <v>1</v>
      </c>
      <c r="AH54" s="12" t="n"/>
      <c r="AI54" s="12" t="n">
        <v>39</v>
      </c>
      <c r="AJ54" s="12" t="n"/>
      <c r="AK54" s="12" t="inlineStr">
        <is>
          <t>DEMO_GMAO.xlsx</t>
        </is>
      </c>
      <c r="AL54" s="24" t="n">
        <v>46309.625</v>
      </c>
    </row>
    <row r="55">
      <c r="A55" s="12" t="inlineStr">
        <is>
          <t>910000039</t>
        </is>
      </c>
      <c r="B55" s="12" t="n"/>
      <c r="C55" s="12" t="inlineStr">
        <is>
          <t>VDY</t>
        </is>
      </c>
      <c r="D55" s="12" t="inlineStr">
        <is>
          <t>AA1</t>
        </is>
      </c>
      <c r="E55" s="12" t="inlineStr">
        <is>
          <t>G-I-SSS19</t>
        </is>
      </c>
      <c r="F55" s="12" t="inlineStr">
        <is>
          <t>G-I-SSS19</t>
        </is>
      </c>
      <c r="G55" s="12" t="inlineStr">
        <is>
          <t>G-I-SSS19-FILT01</t>
        </is>
      </c>
      <c r="H55" s="12" t="inlineStr">
        <is>
          <t>Équipement fictif G-I-SSS19-FILT01</t>
        </is>
      </c>
      <c r="I55" s="12" t="inlineStr">
        <is>
          <t>Maintenance préventive fictive EC+PIS - poste G-I-SSS19</t>
        </is>
      </c>
      <c r="J55" s="23" t="n">
        <v>46046</v>
      </c>
      <c r="K55" s="12" t="n">
        <v>2026</v>
      </c>
      <c r="L55" s="12" t="inlineStr">
        <is>
          <t>EC+PIS</t>
        </is>
      </c>
      <c r="M55" s="12" t="inlineStr">
        <is>
          <t>EC</t>
        </is>
      </c>
      <c r="N55" s="12" t="inlineStr">
        <is>
          <t>PIQUAGE</t>
        </is>
      </c>
      <c r="O55" s="12" t="inlineStr">
        <is>
          <t>ACTI</t>
        </is>
      </c>
      <c r="P55" s="12" t="inlineStr">
        <is>
          <t>STAT_SYS_A</t>
        </is>
      </c>
      <c r="Q55" s="12" t="inlineStr">
        <is>
          <t>EQ-SSS19-09</t>
        </is>
      </c>
      <c r="R55" s="23" t="n">
        <v>45981</v>
      </c>
      <c r="S55" s="23" t="n">
        <v>46016</v>
      </c>
      <c r="T55" s="12" t="inlineStr">
        <is>
          <t>Poste fictif Tau</t>
        </is>
      </c>
      <c r="U55" s="12" t="inlineStr">
        <is>
          <t>VDY</t>
        </is>
      </c>
      <c r="V55" s="12" t="inlineStr">
        <is>
          <t>AA1</t>
        </is>
      </c>
      <c r="W55" s="12" t="inlineStr">
        <is>
          <t>ZPR2</t>
        </is>
      </c>
      <c r="X55" s="12" t="inlineStr">
        <is>
          <t>PRE</t>
        </is>
      </c>
      <c r="Y55" s="12" t="n"/>
      <c r="Z55" s="12" t="inlineStr">
        <is>
          <t>USER01</t>
        </is>
      </c>
      <c r="AA55" s="12" t="n">
        <v>1392.1</v>
      </c>
      <c r="AB55" s="12" t="inlineStr">
        <is>
          <t>AA1</t>
        </is>
      </c>
      <c r="AC55" s="12" t="inlineStr">
        <is>
          <t>GG-PREV</t>
        </is>
      </c>
      <c r="AD55" s="12" t="inlineStr">
        <is>
          <t>3</t>
        </is>
      </c>
      <c r="AE55" s="12" t="inlineStr">
        <is>
          <t>Code site</t>
        </is>
      </c>
      <c r="AF55" s="12" t="n"/>
      <c r="AG55" s="12" t="n">
        <v>1</v>
      </c>
      <c r="AH55" s="12" t="n"/>
      <c r="AI55" s="12" t="n">
        <v>40</v>
      </c>
      <c r="AJ55" s="12" t="n"/>
      <c r="AK55" s="12" t="inlineStr">
        <is>
          <t>DEMO_GMAO.xlsx</t>
        </is>
      </c>
      <c r="AL55" s="24" t="n">
        <v>46309.625</v>
      </c>
    </row>
    <row r="56">
      <c r="A56" s="12" t="inlineStr">
        <is>
          <t>910000039</t>
        </is>
      </c>
      <c r="B56" s="12" t="n"/>
      <c r="C56" s="12" t="inlineStr">
        <is>
          <t>VDY</t>
        </is>
      </c>
      <c r="D56" s="12" t="inlineStr">
        <is>
          <t>AA1</t>
        </is>
      </c>
      <c r="E56" s="12" t="inlineStr">
        <is>
          <t>G-I-SSS19</t>
        </is>
      </c>
      <c r="F56" s="12" t="inlineStr">
        <is>
          <t>G-I-SSS19</t>
        </is>
      </c>
      <c r="G56" s="12" t="inlineStr">
        <is>
          <t>G-I-SSS19-FILT01</t>
        </is>
      </c>
      <c r="H56" s="12" t="inlineStr">
        <is>
          <t>Équipement fictif G-I-SSS19-FILT01</t>
        </is>
      </c>
      <c r="I56" s="12" t="inlineStr">
        <is>
          <t>Maintenance préventive fictive EC+PIS - poste G-I-SSS19</t>
        </is>
      </c>
      <c r="J56" s="23" t="n">
        <v>46046</v>
      </c>
      <c r="K56" s="12" t="n">
        <v>2026</v>
      </c>
      <c r="L56" s="12" t="inlineStr">
        <is>
          <t>EC+PIS</t>
        </is>
      </c>
      <c r="M56" s="12" t="inlineStr">
        <is>
          <t>PIS</t>
        </is>
      </c>
      <c r="N56" s="12" t="inlineStr">
        <is>
          <t>PIQUAGE</t>
        </is>
      </c>
      <c r="O56" s="12" t="inlineStr">
        <is>
          <t>ACTI</t>
        </is>
      </c>
      <c r="P56" s="12" t="inlineStr">
        <is>
          <t>STAT_SYS_A</t>
        </is>
      </c>
      <c r="Q56" s="12" t="inlineStr">
        <is>
          <t>EQ-SSS19-09</t>
        </is>
      </c>
      <c r="R56" s="23" t="n">
        <v>45981</v>
      </c>
      <c r="S56" s="23" t="n">
        <v>46016</v>
      </c>
      <c r="T56" s="12" t="inlineStr">
        <is>
          <t>Poste fictif Tau</t>
        </is>
      </c>
      <c r="U56" s="12" t="inlineStr">
        <is>
          <t>VDY</t>
        </is>
      </c>
      <c r="V56" s="12" t="inlineStr">
        <is>
          <t>AA1</t>
        </is>
      </c>
      <c r="W56" s="12" t="inlineStr">
        <is>
          <t>ZPR2</t>
        </is>
      </c>
      <c r="X56" s="12" t="inlineStr">
        <is>
          <t>PRE</t>
        </is>
      </c>
      <c r="Y56" s="12" t="n"/>
      <c r="Z56" s="12" t="inlineStr">
        <is>
          <t>USER01</t>
        </is>
      </c>
      <c r="AA56" s="12" t="n">
        <v>1392.1</v>
      </c>
      <c r="AB56" s="12" t="inlineStr">
        <is>
          <t>AA1</t>
        </is>
      </c>
      <c r="AC56" s="12" t="inlineStr">
        <is>
          <t>GG-PREV</t>
        </is>
      </c>
      <c r="AD56" s="12" t="inlineStr">
        <is>
          <t>3</t>
        </is>
      </c>
      <c r="AE56" s="12" t="inlineStr">
        <is>
          <t>Code site</t>
        </is>
      </c>
      <c r="AF56" s="12" t="n"/>
      <c r="AG56" s="12" t="n">
        <v>0</v>
      </c>
      <c r="AH56" s="12" t="n"/>
      <c r="AI56" s="12" t="n">
        <v>40</v>
      </c>
      <c r="AJ56" s="12" t="n"/>
      <c r="AK56" s="12" t="inlineStr">
        <is>
          <t>DEMO_GMAO.xlsx</t>
        </is>
      </c>
      <c r="AL56" s="24" t="n">
        <v>46309.625</v>
      </c>
    </row>
    <row r="57">
      <c r="A57" s="12" t="inlineStr">
        <is>
          <t>910000040</t>
        </is>
      </c>
      <c r="B57" s="12" t="n"/>
      <c r="C57" s="12" t="inlineStr">
        <is>
          <t>VDY</t>
        </is>
      </c>
      <c r="D57" s="12" t="inlineStr">
        <is>
          <t>AA1</t>
        </is>
      </c>
      <c r="E57" s="12" t="inlineStr">
        <is>
          <t>G-I-SSS19</t>
        </is>
      </c>
      <c r="F57" s="12" t="inlineStr">
        <is>
          <t>G-I-SSS19</t>
        </is>
      </c>
      <c r="G57" s="12" t="inlineStr">
        <is>
          <t>G-I-SSS19-FILT01</t>
        </is>
      </c>
      <c r="H57" s="12" t="inlineStr">
        <is>
          <t>Équipement fictif G-I-SSS19-FILT01</t>
        </is>
      </c>
      <c r="I57" s="12" t="inlineStr">
        <is>
          <t>Maintenance préventive fictive PIS - poste G-I-SSS19</t>
        </is>
      </c>
      <c r="J57" s="23" t="n">
        <v>46711</v>
      </c>
      <c r="K57" s="12" t="n">
        <v>2027</v>
      </c>
      <c r="L57" s="12" t="inlineStr">
        <is>
          <t>PIS</t>
        </is>
      </c>
      <c r="M57" s="12" t="inlineStr">
        <is>
          <t>PIS</t>
        </is>
      </c>
      <c r="N57" s="12" t="inlineStr">
        <is>
          <t>PIQUAGE</t>
        </is>
      </c>
      <c r="O57" s="12" t="inlineStr">
        <is>
          <t>ACTI</t>
        </is>
      </c>
      <c r="P57" s="12" t="inlineStr">
        <is>
          <t>STAT_SYS_A</t>
        </is>
      </c>
      <c r="Q57" s="12" t="inlineStr">
        <is>
          <t>EQ-SSS19-03</t>
        </is>
      </c>
      <c r="R57" s="23" t="n">
        <v>46651</v>
      </c>
      <c r="S57" s="23" t="n">
        <v>46699</v>
      </c>
      <c r="T57" s="12" t="inlineStr">
        <is>
          <t>Poste fictif Tau</t>
        </is>
      </c>
      <c r="U57" s="12" t="inlineStr">
        <is>
          <t>VDY</t>
        </is>
      </c>
      <c r="V57" s="12" t="inlineStr">
        <is>
          <t>AA1</t>
        </is>
      </c>
      <c r="W57" s="12" t="inlineStr">
        <is>
          <t>ZPR2</t>
        </is>
      </c>
      <c r="X57" s="12" t="inlineStr">
        <is>
          <t>PRE</t>
        </is>
      </c>
      <c r="Y57" s="12" t="n"/>
      <c r="Z57" s="12" t="inlineStr">
        <is>
          <t>USER02</t>
        </is>
      </c>
      <c r="AA57" s="12" t="n">
        <v>1027.26</v>
      </c>
      <c r="AB57" s="12" t="inlineStr">
        <is>
          <t>AA1</t>
        </is>
      </c>
      <c r="AC57" s="12" t="inlineStr">
        <is>
          <t>GG-PREV</t>
        </is>
      </c>
      <c r="AD57" s="12" t="inlineStr">
        <is>
          <t>1</t>
        </is>
      </c>
      <c r="AE57" s="12" t="inlineStr">
        <is>
          <t>Code site</t>
        </is>
      </c>
      <c r="AF57" s="12" t="n"/>
      <c r="AG57" s="12" t="n">
        <v>1</v>
      </c>
      <c r="AH57" s="12" t="n"/>
      <c r="AI57" s="12" t="n">
        <v>41</v>
      </c>
      <c r="AJ57" s="12" t="n"/>
      <c r="AK57" s="12" t="inlineStr">
        <is>
          <t>DEMO_GMAO.xlsx</t>
        </is>
      </c>
      <c r="AL57" s="24" t="n">
        <v>46309.625</v>
      </c>
    </row>
    <row r="58">
      <c r="A58" s="12" t="inlineStr">
        <is>
          <t>910000041</t>
        </is>
      </c>
      <c r="B58" s="12" t="n"/>
      <c r="C58" s="12" t="inlineStr">
        <is>
          <t>VDY</t>
        </is>
      </c>
      <c r="D58" s="12" t="inlineStr">
        <is>
          <t>AA3</t>
        </is>
      </c>
      <c r="E58" s="12" t="inlineStr">
        <is>
          <t>G-I-TTT20</t>
        </is>
      </c>
      <c r="F58" s="12" t="inlineStr">
        <is>
          <t>G-I-TTT20</t>
        </is>
      </c>
      <c r="G58" s="12" t="inlineStr">
        <is>
          <t>G-I-TTT20-SEC01</t>
        </is>
      </c>
      <c r="H58" s="12" t="inlineStr">
        <is>
          <t>Équipement fictif G-I-TTT20-SEC01</t>
        </is>
      </c>
      <c r="I58" s="12" t="inlineStr">
        <is>
          <t>Maintenance préventive fictive PIS - poste G-I-TTT20</t>
        </is>
      </c>
      <c r="J58" s="23" t="n">
        <v>46034</v>
      </c>
      <c r="K58" s="12" t="n">
        <v>2026</v>
      </c>
      <c r="L58" s="12" t="inlineStr">
        <is>
          <t>PIS</t>
        </is>
      </c>
      <c r="M58" s="12" t="inlineStr">
        <is>
          <t>PIS</t>
        </is>
      </c>
      <c r="N58" s="12" t="inlineStr">
        <is>
          <t>SECTIONNEMENT</t>
        </is>
      </c>
      <c r="O58" s="12" t="inlineStr">
        <is>
          <t>TERM</t>
        </is>
      </c>
      <c r="P58" s="12" t="inlineStr">
        <is>
          <t>STAT_SYS_A</t>
        </is>
      </c>
      <c r="Q58" s="12" t="inlineStr">
        <is>
          <t>EQ-TTT20-01</t>
        </is>
      </c>
      <c r="R58" s="23" t="n">
        <v>45990</v>
      </c>
      <c r="S58" s="23" t="n">
        <v>46026</v>
      </c>
      <c r="T58" s="12" t="inlineStr">
        <is>
          <t>Poste fictif Upsilon</t>
        </is>
      </c>
      <c r="U58" s="12" t="inlineStr">
        <is>
          <t>VDY</t>
        </is>
      </c>
      <c r="V58" s="12" t="inlineStr">
        <is>
          <t>AA3</t>
        </is>
      </c>
      <c r="W58" s="12" t="inlineStr">
        <is>
          <t>ZPR2</t>
        </is>
      </c>
      <c r="X58" s="12" t="inlineStr">
        <is>
          <t>PRE</t>
        </is>
      </c>
      <c r="Y58" s="12" t="n"/>
      <c r="Z58" s="12" t="inlineStr">
        <is>
          <t>USER02</t>
        </is>
      </c>
      <c r="AA58" s="12" t="n">
        <v>1151.27</v>
      </c>
      <c r="AB58" s="12" t="inlineStr">
        <is>
          <t>AA3</t>
        </is>
      </c>
      <c r="AC58" s="12" t="inlineStr">
        <is>
          <t>GG-PREV</t>
        </is>
      </c>
      <c r="AD58" s="12" t="inlineStr">
        <is>
          <t>1</t>
        </is>
      </c>
      <c r="AE58" s="12" t="inlineStr">
        <is>
          <t>Code site</t>
        </is>
      </c>
      <c r="AF58" s="12" t="n"/>
      <c r="AG58" s="12" t="n">
        <v>1</v>
      </c>
      <c r="AH58" s="12" t="n"/>
      <c r="AI58" s="12" t="n">
        <v>42</v>
      </c>
      <c r="AJ58" s="12" t="n"/>
      <c r="AK58" s="12" t="inlineStr">
        <is>
          <t>DEMO_GMAO.xlsx</t>
        </is>
      </c>
      <c r="AL58" s="24" t="n">
        <v>46309.625</v>
      </c>
    </row>
    <row r="59">
      <c r="A59" s="12" t="inlineStr">
        <is>
          <t>910000042</t>
        </is>
      </c>
      <c r="B59" s="12" t="n"/>
      <c r="C59" s="12" t="inlineStr">
        <is>
          <t>VDY</t>
        </is>
      </c>
      <c r="D59" s="12" t="inlineStr">
        <is>
          <t>AA3</t>
        </is>
      </c>
      <c r="E59" s="12" t="inlineStr">
        <is>
          <t>G-I-TTT20</t>
        </is>
      </c>
      <c r="F59" s="12" t="inlineStr">
        <is>
          <t>G-I-TTT20</t>
        </is>
      </c>
      <c r="G59" s="12" t="inlineStr">
        <is>
          <t>G-I-TTT20-SEC01</t>
        </is>
      </c>
      <c r="H59" s="12" t="inlineStr">
        <is>
          <t>Équipement fictif G-I-TTT20-SEC01</t>
        </is>
      </c>
      <c r="I59" s="12" t="inlineStr">
        <is>
          <t>Maintenance préventive fictive EC - poste G-I-TTT20</t>
        </is>
      </c>
      <c r="J59" s="23" t="n">
        <v>46120</v>
      </c>
      <c r="K59" s="12" t="n">
        <v>2026</v>
      </c>
      <c r="L59" s="12" t="inlineStr">
        <is>
          <t>EC</t>
        </is>
      </c>
      <c r="M59" s="12" t="inlineStr">
        <is>
          <t>EC</t>
        </is>
      </c>
      <c r="N59" s="12" t="inlineStr">
        <is>
          <t>SECTIONNEMENT</t>
        </is>
      </c>
      <c r="O59" s="12" t="inlineStr">
        <is>
          <t>ACTI</t>
        </is>
      </c>
      <c r="P59" s="12" t="inlineStr">
        <is>
          <t>STAT_SYS_A</t>
        </is>
      </c>
      <c r="Q59" s="12" t="inlineStr">
        <is>
          <t>EQ-TTT20-04</t>
        </is>
      </c>
      <c r="R59" s="23" t="n">
        <v>46074</v>
      </c>
      <c r="S59" s="23" t="n">
        <v>46108</v>
      </c>
      <c r="T59" s="12" t="inlineStr">
        <is>
          <t>Poste fictif Upsilon</t>
        </is>
      </c>
      <c r="U59" s="12" t="inlineStr">
        <is>
          <t>VDY</t>
        </is>
      </c>
      <c r="V59" s="12" t="inlineStr">
        <is>
          <t>AA3</t>
        </is>
      </c>
      <c r="W59" s="12" t="inlineStr">
        <is>
          <t>ZPR2</t>
        </is>
      </c>
      <c r="X59" s="12" t="inlineStr">
        <is>
          <t>PRE</t>
        </is>
      </c>
      <c r="Y59" s="12" t="n"/>
      <c r="Z59" s="12" t="inlineStr">
        <is>
          <t>USER03</t>
        </is>
      </c>
      <c r="AA59" s="12" t="n">
        <v>956.78</v>
      </c>
      <c r="AB59" s="12" t="inlineStr">
        <is>
          <t>AA3</t>
        </is>
      </c>
      <c r="AC59" s="12" t="inlineStr">
        <is>
          <t>GG-PREV</t>
        </is>
      </c>
      <c r="AD59" s="12" t="inlineStr">
        <is>
          <t>3</t>
        </is>
      </c>
      <c r="AE59" s="12" t="inlineStr">
        <is>
          <t>Code site</t>
        </is>
      </c>
      <c r="AF59" s="12" t="n"/>
      <c r="AG59" s="12" t="n">
        <v>1</v>
      </c>
      <c r="AH59" s="12" t="n"/>
      <c r="AI59" s="12" t="n">
        <v>43</v>
      </c>
      <c r="AJ59" s="12" t="n"/>
      <c r="AK59" s="12" t="inlineStr">
        <is>
          <t>DEMO_GMAO.xlsx</t>
        </is>
      </c>
      <c r="AL59" s="24" t="n">
        <v>46309.625</v>
      </c>
    </row>
    <row r="60">
      <c r="A60" s="12" t="inlineStr">
        <is>
          <t>910000043</t>
        </is>
      </c>
      <c r="B60" s="12" t="n"/>
      <c r="C60" s="12" t="inlineStr">
        <is>
          <t>VDY</t>
        </is>
      </c>
      <c r="D60" s="12" t="inlineStr">
        <is>
          <t>AA3</t>
        </is>
      </c>
      <c r="E60" s="12" t="inlineStr">
        <is>
          <t>G-I-TTT20</t>
        </is>
      </c>
      <c r="F60" s="12" t="inlineStr">
        <is>
          <t>G-I-TTT20</t>
        </is>
      </c>
      <c r="G60" s="12" t="inlineStr">
        <is>
          <t>G-I-TTT20-SEC01</t>
        </is>
      </c>
      <c r="H60" s="12" t="inlineStr">
        <is>
          <t>Équipement fictif G-I-TTT20-SEC01</t>
        </is>
      </c>
      <c r="I60" s="12" t="inlineStr">
        <is>
          <t>Maintenance préventive fictive PIS - poste G-I-TTT20</t>
        </is>
      </c>
      <c r="J60" s="23" t="n">
        <v>46605</v>
      </c>
      <c r="K60" s="12" t="n">
        <v>2027</v>
      </c>
      <c r="L60" s="12" t="inlineStr">
        <is>
          <t>PIS</t>
        </is>
      </c>
      <c r="M60" s="12" t="inlineStr">
        <is>
          <t>PIS</t>
        </is>
      </c>
      <c r="N60" s="12" t="inlineStr">
        <is>
          <t>SECTIONNEMENT</t>
        </is>
      </c>
      <c r="O60" s="12" t="inlineStr">
        <is>
          <t>ACTI</t>
        </is>
      </c>
      <c r="P60" s="12" t="inlineStr">
        <is>
          <t>STAT_SYS_A</t>
        </is>
      </c>
      <c r="Q60" s="12" t="inlineStr">
        <is>
          <t>EQ-TTT20-02</t>
        </is>
      </c>
      <c r="R60" s="23" t="n">
        <v>46563</v>
      </c>
      <c r="S60" s="23" t="n">
        <v>46577</v>
      </c>
      <c r="T60" s="12" t="inlineStr">
        <is>
          <t>Poste fictif Upsilon</t>
        </is>
      </c>
      <c r="U60" s="12" t="inlineStr">
        <is>
          <t>VDY</t>
        </is>
      </c>
      <c r="V60" s="12" t="inlineStr">
        <is>
          <t>AA3</t>
        </is>
      </c>
      <c r="W60" s="12" t="inlineStr">
        <is>
          <t>ZPR2</t>
        </is>
      </c>
      <c r="X60" s="12" t="inlineStr">
        <is>
          <t>PRE</t>
        </is>
      </c>
      <c r="Y60" s="12" t="n"/>
      <c r="Z60" s="12" t="inlineStr">
        <is>
          <t>USER03</t>
        </is>
      </c>
      <c r="AA60" s="12" t="n">
        <v>759.73</v>
      </c>
      <c r="AB60" s="12" t="inlineStr">
        <is>
          <t>AA3</t>
        </is>
      </c>
      <c r="AC60" s="12" t="inlineStr">
        <is>
          <t>GG-PREV</t>
        </is>
      </c>
      <c r="AD60" s="12" t="inlineStr">
        <is>
          <t>3</t>
        </is>
      </c>
      <c r="AE60" s="12" t="inlineStr">
        <is>
          <t>Code site</t>
        </is>
      </c>
      <c r="AF60" s="12" t="n"/>
      <c r="AG60" s="12" t="n">
        <v>1</v>
      </c>
      <c r="AH60" s="12" t="n"/>
      <c r="AI60" s="12" t="n">
        <v>44</v>
      </c>
      <c r="AJ60" s="12" t="n"/>
      <c r="AK60" s="12" t="inlineStr">
        <is>
          <t>DEMO_GMAO.xlsx</t>
        </is>
      </c>
      <c r="AL60" s="24" t="n">
        <v>46309.625</v>
      </c>
    </row>
    <row r="61">
      <c r="A61" s="12" t="inlineStr">
        <is>
          <t>910000044</t>
        </is>
      </c>
      <c r="B61" s="12" t="n"/>
      <c r="C61" s="12" t="inlineStr">
        <is>
          <t>VDY</t>
        </is>
      </c>
      <c r="D61" s="12" t="inlineStr">
        <is>
          <t>AA4</t>
        </is>
      </c>
      <c r="E61" s="12" t="inlineStr">
        <is>
          <t>G-I-UUU21</t>
        </is>
      </c>
      <c r="F61" s="12" t="inlineStr">
        <is>
          <t>G-I-UUU21</t>
        </is>
      </c>
      <c r="G61" s="12" t="inlineStr">
        <is>
          <t>G-I-UUU21-REG01</t>
        </is>
      </c>
      <c r="H61" s="12" t="inlineStr">
        <is>
          <t>Équipement fictif G-I-UUU21-REG01</t>
        </is>
      </c>
      <c r="I61" s="12" t="inlineStr">
        <is>
          <t>Maintenance préventive fictive EC+PIS+FILTRE - poste G-I-UUU21</t>
        </is>
      </c>
      <c r="J61" s="23" t="n">
        <v>46044</v>
      </c>
      <c r="K61" s="12" t="n">
        <v>2026</v>
      </c>
      <c r="L61" s="12" t="inlineStr">
        <is>
          <t>EC+PIS+FILTRE</t>
        </is>
      </c>
      <c r="M61" s="12" t="inlineStr">
        <is>
          <t>EC</t>
        </is>
      </c>
      <c r="N61" s="12" t="inlineStr">
        <is>
          <t>COUPURE</t>
        </is>
      </c>
      <c r="O61" s="12" t="inlineStr">
        <is>
          <t>ACTI</t>
        </is>
      </c>
      <c r="P61" s="12" t="inlineStr">
        <is>
          <t>STAT_SYS_A</t>
        </is>
      </c>
      <c r="Q61" s="12" t="inlineStr">
        <is>
          <t>EQ-UUU21-08</t>
        </is>
      </c>
      <c r="R61" s="23" t="n">
        <v>45998</v>
      </c>
      <c r="S61" s="23" t="n">
        <v>46022</v>
      </c>
      <c r="T61" s="12" t="inlineStr">
        <is>
          <t>Poste fictif Phi</t>
        </is>
      </c>
      <c r="U61" s="12" t="inlineStr">
        <is>
          <t>VDY</t>
        </is>
      </c>
      <c r="V61" s="12" t="inlineStr">
        <is>
          <t>AA4</t>
        </is>
      </c>
      <c r="W61" s="12" t="inlineStr">
        <is>
          <t>ZPR2</t>
        </is>
      </c>
      <c r="X61" s="12" t="inlineStr">
        <is>
          <t>PRE</t>
        </is>
      </c>
      <c r="Y61" s="12" t="n"/>
      <c r="Z61" s="12" t="inlineStr">
        <is>
          <t>USER03</t>
        </is>
      </c>
      <c r="AA61" s="12" t="n">
        <v>736.52</v>
      </c>
      <c r="AB61" s="12" t="inlineStr">
        <is>
          <t>AA4</t>
        </is>
      </c>
      <c r="AC61" s="12" t="inlineStr">
        <is>
          <t>GG-PREV</t>
        </is>
      </c>
      <c r="AD61" s="12" t="inlineStr">
        <is>
          <t>2</t>
        </is>
      </c>
      <c r="AE61" s="12" t="inlineStr">
        <is>
          <t>Code site</t>
        </is>
      </c>
      <c r="AF61" s="12" t="n"/>
      <c r="AG61" s="12" t="n">
        <v>1</v>
      </c>
      <c r="AH61" s="12" t="n"/>
      <c r="AI61" s="12" t="n">
        <v>45</v>
      </c>
      <c r="AJ61" s="12" t="n"/>
      <c r="AK61" s="12" t="inlineStr">
        <is>
          <t>DEMO_GMAO.xlsx</t>
        </is>
      </c>
      <c r="AL61" s="24" t="n">
        <v>46309.625</v>
      </c>
    </row>
    <row r="62">
      <c r="A62" s="12" t="inlineStr">
        <is>
          <t>910000044</t>
        </is>
      </c>
      <c r="B62" s="12" t="n"/>
      <c r="C62" s="12" t="inlineStr">
        <is>
          <t>VDY</t>
        </is>
      </c>
      <c r="D62" s="12" t="inlineStr">
        <is>
          <t>AA4</t>
        </is>
      </c>
      <c r="E62" s="12" t="inlineStr">
        <is>
          <t>G-I-UUU21</t>
        </is>
      </c>
      <c r="F62" s="12" t="inlineStr">
        <is>
          <t>G-I-UUU21</t>
        </is>
      </c>
      <c r="G62" s="12" t="inlineStr">
        <is>
          <t>G-I-UUU21-REG01</t>
        </is>
      </c>
      <c r="H62" s="12" t="inlineStr">
        <is>
          <t>Équipement fictif G-I-UUU21-REG01</t>
        </is>
      </c>
      <c r="I62" s="12" t="inlineStr">
        <is>
          <t>Maintenance préventive fictive EC+PIS+FILTRE - poste G-I-UUU21</t>
        </is>
      </c>
      <c r="J62" s="23" t="n">
        <v>46044</v>
      </c>
      <c r="K62" s="12" t="n">
        <v>2026</v>
      </c>
      <c r="L62" s="12" t="inlineStr">
        <is>
          <t>EC+PIS+FILTRE</t>
        </is>
      </c>
      <c r="M62" s="12" t="inlineStr">
        <is>
          <t>PIS</t>
        </is>
      </c>
      <c r="N62" s="12" t="inlineStr">
        <is>
          <t>COUPURE</t>
        </is>
      </c>
      <c r="O62" s="12" t="inlineStr">
        <is>
          <t>ACTI</t>
        </is>
      </c>
      <c r="P62" s="12" t="inlineStr">
        <is>
          <t>STAT_SYS_A</t>
        </is>
      </c>
      <c r="Q62" s="12" t="inlineStr">
        <is>
          <t>EQ-UUU21-08</t>
        </is>
      </c>
      <c r="R62" s="23" t="n">
        <v>45998</v>
      </c>
      <c r="S62" s="23" t="n">
        <v>46022</v>
      </c>
      <c r="T62" s="12" t="inlineStr">
        <is>
          <t>Poste fictif Phi</t>
        </is>
      </c>
      <c r="U62" s="12" t="inlineStr">
        <is>
          <t>VDY</t>
        </is>
      </c>
      <c r="V62" s="12" t="inlineStr">
        <is>
          <t>AA4</t>
        </is>
      </c>
      <c r="W62" s="12" t="inlineStr">
        <is>
          <t>ZPR2</t>
        </is>
      </c>
      <c r="X62" s="12" t="inlineStr">
        <is>
          <t>PRE</t>
        </is>
      </c>
      <c r="Y62" s="12" t="n"/>
      <c r="Z62" s="12" t="inlineStr">
        <is>
          <t>USER03</t>
        </is>
      </c>
      <c r="AA62" s="12" t="n">
        <v>736.52</v>
      </c>
      <c r="AB62" s="12" t="inlineStr">
        <is>
          <t>AA4</t>
        </is>
      </c>
      <c r="AC62" s="12" t="inlineStr">
        <is>
          <t>GG-PREV</t>
        </is>
      </c>
      <c r="AD62" s="12" t="inlineStr">
        <is>
          <t>2</t>
        </is>
      </c>
      <c r="AE62" s="12" t="inlineStr">
        <is>
          <t>Code site</t>
        </is>
      </c>
      <c r="AF62" s="12" t="n"/>
      <c r="AG62" s="12" t="n">
        <v>0</v>
      </c>
      <c r="AH62" s="12" t="n"/>
      <c r="AI62" s="12" t="n">
        <v>45</v>
      </c>
      <c r="AJ62" s="12" t="n"/>
      <c r="AK62" s="12" t="inlineStr">
        <is>
          <t>DEMO_GMAO.xlsx</t>
        </is>
      </c>
      <c r="AL62" s="24" t="n">
        <v>46309.625</v>
      </c>
    </row>
    <row r="63">
      <c r="A63" s="12" t="inlineStr">
        <is>
          <t>910000044</t>
        </is>
      </c>
      <c r="B63" s="12" t="n"/>
      <c r="C63" s="12" t="inlineStr">
        <is>
          <t>VDY</t>
        </is>
      </c>
      <c r="D63" s="12" t="inlineStr">
        <is>
          <t>AA4</t>
        </is>
      </c>
      <c r="E63" s="12" t="inlineStr">
        <is>
          <t>G-I-UUU21</t>
        </is>
      </c>
      <c r="F63" s="12" t="inlineStr">
        <is>
          <t>G-I-UUU21</t>
        </is>
      </c>
      <c r="G63" s="12" t="inlineStr">
        <is>
          <t>G-I-UUU21-REG01</t>
        </is>
      </c>
      <c r="H63" s="12" t="inlineStr">
        <is>
          <t>Équipement fictif G-I-UUU21-REG01</t>
        </is>
      </c>
      <c r="I63" s="12" t="inlineStr">
        <is>
          <t>Maintenance préventive fictive EC+PIS+FILTRE - poste G-I-UUU21</t>
        </is>
      </c>
      <c r="J63" s="23" t="n">
        <v>46044</v>
      </c>
      <c r="K63" s="12" t="n">
        <v>2026</v>
      </c>
      <c r="L63" s="12" t="inlineStr">
        <is>
          <t>EC+PIS+FILTRE</t>
        </is>
      </c>
      <c r="M63" s="12" t="inlineStr">
        <is>
          <t>FILTRE</t>
        </is>
      </c>
      <c r="N63" s="12" t="inlineStr">
        <is>
          <t>COUPURE</t>
        </is>
      </c>
      <c r="O63" s="12" t="inlineStr">
        <is>
          <t>ACTI</t>
        </is>
      </c>
      <c r="P63" s="12" t="inlineStr">
        <is>
          <t>STAT_SYS_A</t>
        </is>
      </c>
      <c r="Q63" s="12" t="inlineStr">
        <is>
          <t>EQ-UUU21-08</t>
        </is>
      </c>
      <c r="R63" s="23" t="n">
        <v>45998</v>
      </c>
      <c r="S63" s="23" t="n">
        <v>46022</v>
      </c>
      <c r="T63" s="12" t="inlineStr">
        <is>
          <t>Poste fictif Phi</t>
        </is>
      </c>
      <c r="U63" s="12" t="inlineStr">
        <is>
          <t>VDY</t>
        </is>
      </c>
      <c r="V63" s="12" t="inlineStr">
        <is>
          <t>AA4</t>
        </is>
      </c>
      <c r="W63" s="12" t="inlineStr">
        <is>
          <t>ZPR2</t>
        </is>
      </c>
      <c r="X63" s="12" t="inlineStr">
        <is>
          <t>PRE</t>
        </is>
      </c>
      <c r="Y63" s="12" t="n"/>
      <c r="Z63" s="12" t="inlineStr">
        <is>
          <t>USER03</t>
        </is>
      </c>
      <c r="AA63" s="12" t="n">
        <v>736.52</v>
      </c>
      <c r="AB63" s="12" t="inlineStr">
        <is>
          <t>AA4</t>
        </is>
      </c>
      <c r="AC63" s="12" t="inlineStr">
        <is>
          <t>GG-PREV</t>
        </is>
      </c>
      <c r="AD63" s="12" t="inlineStr">
        <is>
          <t>2</t>
        </is>
      </c>
      <c r="AE63" s="12" t="inlineStr">
        <is>
          <t>Code site</t>
        </is>
      </c>
      <c r="AF63" s="12" t="n"/>
      <c r="AG63" s="12" t="n">
        <v>0</v>
      </c>
      <c r="AH63" s="12" t="n"/>
      <c r="AI63" s="12" t="n">
        <v>45</v>
      </c>
      <c r="AJ63" s="12" t="n"/>
      <c r="AK63" s="12" t="inlineStr">
        <is>
          <t>DEMO_GMAO.xlsx</t>
        </is>
      </c>
      <c r="AL63" s="24" t="n">
        <v>46309.625</v>
      </c>
    </row>
    <row r="64">
      <c r="A64" s="12" t="inlineStr">
        <is>
          <t>910000045</t>
        </is>
      </c>
      <c r="B64" s="12" t="n"/>
      <c r="C64" s="12" t="inlineStr">
        <is>
          <t>DEI</t>
        </is>
      </c>
      <c r="D64" s="12" t="inlineStr">
        <is>
          <t>AA1</t>
        </is>
      </c>
      <c r="E64" s="12" t="inlineStr">
        <is>
          <t>G-I-VVV22</t>
        </is>
      </c>
      <c r="F64" s="12" t="inlineStr">
        <is>
          <t>G-I-VVV22</t>
        </is>
      </c>
      <c r="G64" s="12" t="inlineStr">
        <is>
          <t>G-I-VVV22-VAN01</t>
        </is>
      </c>
      <c r="H64" s="12" t="inlineStr">
        <is>
          <t>Équipement fictif G-I-VVV22-VAN01</t>
        </is>
      </c>
      <c r="I64" s="12" t="inlineStr">
        <is>
          <t>Maintenance préventive fictive EC+PIS+PILOTAGE+FILTRE - poste G-I-VVV22</t>
        </is>
      </c>
      <c r="J64" s="23" t="n">
        <v>46245</v>
      </c>
      <c r="K64" s="12" t="n">
        <v>2026</v>
      </c>
      <c r="L64" s="12" t="inlineStr">
        <is>
          <t>EC+PIS+PILOTAGE+FILTRE</t>
        </is>
      </c>
      <c r="M64" s="12" t="inlineStr">
        <is>
          <t>EC</t>
        </is>
      </c>
      <c r="N64" s="12" t="inlineStr">
        <is>
          <t>COMPTAGE</t>
        </is>
      </c>
      <c r="O64" s="12" t="inlineStr">
        <is>
          <t>ACTI</t>
        </is>
      </c>
      <c r="P64" s="12" t="inlineStr">
        <is>
          <t>STAT_SYS_A</t>
        </is>
      </c>
      <c r="Q64" s="12" t="inlineStr">
        <is>
          <t>EQ-VVV22-07</t>
        </is>
      </c>
      <c r="R64" s="23" t="n">
        <v>46194</v>
      </c>
      <c r="S64" s="23" t="n">
        <v>46226</v>
      </c>
      <c r="T64" s="12" t="inlineStr">
        <is>
          <t>Poste fictif Chi</t>
        </is>
      </c>
      <c r="U64" s="12" t="inlineStr">
        <is>
          <t>DEI</t>
        </is>
      </c>
      <c r="V64" s="12" t="inlineStr">
        <is>
          <t>AA1</t>
        </is>
      </c>
      <c r="W64" s="12" t="inlineStr">
        <is>
          <t>ZPR2</t>
        </is>
      </c>
      <c r="X64" s="12" t="inlineStr">
        <is>
          <t>PRE</t>
        </is>
      </c>
      <c r="Y64" s="12" t="n"/>
      <c r="Z64" s="12" t="inlineStr">
        <is>
          <t>USER03</t>
        </is>
      </c>
      <c r="AA64" s="12" t="n">
        <v>1042.56</v>
      </c>
      <c r="AB64" s="12" t="inlineStr">
        <is>
          <t>AA1</t>
        </is>
      </c>
      <c r="AC64" s="12" t="inlineStr">
        <is>
          <t>GG-PREV</t>
        </is>
      </c>
      <c r="AD64" s="12" t="inlineStr">
        <is>
          <t>2</t>
        </is>
      </c>
      <c r="AE64" s="12" t="inlineStr">
        <is>
          <t>Code site</t>
        </is>
      </c>
      <c r="AF64" s="12" t="n"/>
      <c r="AG64" s="12" t="n">
        <v>1</v>
      </c>
      <c r="AH64" s="12" t="n"/>
      <c r="AI64" s="12" t="n">
        <v>46</v>
      </c>
      <c r="AJ64" s="12" t="n"/>
      <c r="AK64" s="12" t="inlineStr">
        <is>
          <t>DEMO_GMAO.xlsx</t>
        </is>
      </c>
      <c r="AL64" s="24" t="n">
        <v>46309.625</v>
      </c>
    </row>
    <row r="65">
      <c r="A65" s="12" t="inlineStr">
        <is>
          <t>910000045</t>
        </is>
      </c>
      <c r="B65" s="12" t="n"/>
      <c r="C65" s="12" t="inlineStr">
        <is>
          <t>DEI</t>
        </is>
      </c>
      <c r="D65" s="12" t="inlineStr">
        <is>
          <t>AA1</t>
        </is>
      </c>
      <c r="E65" s="12" t="inlineStr">
        <is>
          <t>G-I-VVV22</t>
        </is>
      </c>
      <c r="F65" s="12" t="inlineStr">
        <is>
          <t>G-I-VVV22</t>
        </is>
      </c>
      <c r="G65" s="12" t="inlineStr">
        <is>
          <t>G-I-VVV22-VAN01</t>
        </is>
      </c>
      <c r="H65" s="12" t="inlineStr">
        <is>
          <t>Équipement fictif G-I-VVV22-VAN01</t>
        </is>
      </c>
      <c r="I65" s="12" t="inlineStr">
        <is>
          <t>Maintenance préventive fictive EC+PIS+PILOTAGE+FILTRE - poste G-I-VVV22</t>
        </is>
      </c>
      <c r="J65" s="23" t="n">
        <v>46245</v>
      </c>
      <c r="K65" s="12" t="n">
        <v>2026</v>
      </c>
      <c r="L65" s="12" t="inlineStr">
        <is>
          <t>EC+PIS+PILOTAGE+FILTRE</t>
        </is>
      </c>
      <c r="M65" s="12" t="inlineStr">
        <is>
          <t>PIS</t>
        </is>
      </c>
      <c r="N65" s="12" t="inlineStr">
        <is>
          <t>COMPTAGE</t>
        </is>
      </c>
      <c r="O65" s="12" t="inlineStr">
        <is>
          <t>ACTI</t>
        </is>
      </c>
      <c r="P65" s="12" t="inlineStr">
        <is>
          <t>STAT_SYS_A</t>
        </is>
      </c>
      <c r="Q65" s="12" t="inlineStr">
        <is>
          <t>EQ-VVV22-07</t>
        </is>
      </c>
      <c r="R65" s="23" t="n">
        <v>46194</v>
      </c>
      <c r="S65" s="23" t="n">
        <v>46226</v>
      </c>
      <c r="T65" s="12" t="inlineStr">
        <is>
          <t>Poste fictif Chi</t>
        </is>
      </c>
      <c r="U65" s="12" t="inlineStr">
        <is>
          <t>DEI</t>
        </is>
      </c>
      <c r="V65" s="12" t="inlineStr">
        <is>
          <t>AA1</t>
        </is>
      </c>
      <c r="W65" s="12" t="inlineStr">
        <is>
          <t>ZPR2</t>
        </is>
      </c>
      <c r="X65" s="12" t="inlineStr">
        <is>
          <t>PRE</t>
        </is>
      </c>
      <c r="Y65" s="12" t="n"/>
      <c r="Z65" s="12" t="inlineStr">
        <is>
          <t>USER03</t>
        </is>
      </c>
      <c r="AA65" s="12" t="n">
        <v>1042.56</v>
      </c>
      <c r="AB65" s="12" t="inlineStr">
        <is>
          <t>AA1</t>
        </is>
      </c>
      <c r="AC65" s="12" t="inlineStr">
        <is>
          <t>GG-PREV</t>
        </is>
      </c>
      <c r="AD65" s="12" t="inlineStr">
        <is>
          <t>2</t>
        </is>
      </c>
      <c r="AE65" s="12" t="inlineStr">
        <is>
          <t>Code site</t>
        </is>
      </c>
      <c r="AF65" s="12" t="n"/>
      <c r="AG65" s="12" t="n">
        <v>0</v>
      </c>
      <c r="AH65" s="12" t="n"/>
      <c r="AI65" s="12" t="n">
        <v>46</v>
      </c>
      <c r="AJ65" s="12" t="n"/>
      <c r="AK65" s="12" t="inlineStr">
        <is>
          <t>DEMO_GMAO.xlsx</t>
        </is>
      </c>
      <c r="AL65" s="24" t="n">
        <v>46309.625</v>
      </c>
    </row>
    <row r="66">
      <c r="A66" s="12" t="inlineStr">
        <is>
          <t>910000045</t>
        </is>
      </c>
      <c r="B66" s="12" t="n"/>
      <c r="C66" s="12" t="inlineStr">
        <is>
          <t>DEI</t>
        </is>
      </c>
      <c r="D66" s="12" t="inlineStr">
        <is>
          <t>AA1</t>
        </is>
      </c>
      <c r="E66" s="12" t="inlineStr">
        <is>
          <t>G-I-VVV22</t>
        </is>
      </c>
      <c r="F66" s="12" t="inlineStr">
        <is>
          <t>G-I-VVV22</t>
        </is>
      </c>
      <c r="G66" s="12" t="inlineStr">
        <is>
          <t>G-I-VVV22-VAN01</t>
        </is>
      </c>
      <c r="H66" s="12" t="inlineStr">
        <is>
          <t>Équipement fictif G-I-VVV22-VAN01</t>
        </is>
      </c>
      <c r="I66" s="12" t="inlineStr">
        <is>
          <t>Maintenance préventive fictive EC+PIS+PILOTAGE+FILTRE - poste G-I-VVV22</t>
        </is>
      </c>
      <c r="J66" s="23" t="n">
        <v>46245</v>
      </c>
      <c r="K66" s="12" t="n">
        <v>2026</v>
      </c>
      <c r="L66" s="12" t="inlineStr">
        <is>
          <t>EC+PIS+PILOTAGE+FILTRE</t>
        </is>
      </c>
      <c r="M66" s="12" t="inlineStr">
        <is>
          <t>PILOTAGE</t>
        </is>
      </c>
      <c r="N66" s="12" t="inlineStr">
        <is>
          <t>COMPTAGE</t>
        </is>
      </c>
      <c r="O66" s="12" t="inlineStr">
        <is>
          <t>ACTI</t>
        </is>
      </c>
      <c r="P66" s="12" t="inlineStr">
        <is>
          <t>STAT_SYS_A</t>
        </is>
      </c>
      <c r="Q66" s="12" t="inlineStr">
        <is>
          <t>EQ-VVV22-07</t>
        </is>
      </c>
      <c r="R66" s="23" t="n">
        <v>46194</v>
      </c>
      <c r="S66" s="23" t="n">
        <v>46226</v>
      </c>
      <c r="T66" s="12" t="inlineStr">
        <is>
          <t>Poste fictif Chi</t>
        </is>
      </c>
      <c r="U66" s="12" t="inlineStr">
        <is>
          <t>DEI</t>
        </is>
      </c>
      <c r="V66" s="12" t="inlineStr">
        <is>
          <t>AA1</t>
        </is>
      </c>
      <c r="W66" s="12" t="inlineStr">
        <is>
          <t>ZPR2</t>
        </is>
      </c>
      <c r="X66" s="12" t="inlineStr">
        <is>
          <t>PRE</t>
        </is>
      </c>
      <c r="Y66" s="12" t="n"/>
      <c r="Z66" s="12" t="inlineStr">
        <is>
          <t>USER03</t>
        </is>
      </c>
      <c r="AA66" s="12" t="n">
        <v>1042.56</v>
      </c>
      <c r="AB66" s="12" t="inlineStr">
        <is>
          <t>AA1</t>
        </is>
      </c>
      <c r="AC66" s="12" t="inlineStr">
        <is>
          <t>GG-PREV</t>
        </is>
      </c>
      <c r="AD66" s="12" t="inlineStr">
        <is>
          <t>2</t>
        </is>
      </c>
      <c r="AE66" s="12" t="inlineStr">
        <is>
          <t>Code site</t>
        </is>
      </c>
      <c r="AF66" s="12" t="n"/>
      <c r="AG66" s="12" t="n">
        <v>0</v>
      </c>
      <c r="AH66" s="12" t="n"/>
      <c r="AI66" s="12" t="n">
        <v>46</v>
      </c>
      <c r="AJ66" s="12" t="n"/>
      <c r="AK66" s="12" t="inlineStr">
        <is>
          <t>DEMO_GMAO.xlsx</t>
        </is>
      </c>
      <c r="AL66" s="24" t="n">
        <v>46309.625</v>
      </c>
    </row>
    <row r="67">
      <c r="A67" s="12" t="inlineStr">
        <is>
          <t>910000045</t>
        </is>
      </c>
      <c r="B67" s="12" t="n"/>
      <c r="C67" s="12" t="inlineStr">
        <is>
          <t>DEI</t>
        </is>
      </c>
      <c r="D67" s="12" t="inlineStr">
        <is>
          <t>AA1</t>
        </is>
      </c>
      <c r="E67" s="12" t="inlineStr">
        <is>
          <t>G-I-VVV22</t>
        </is>
      </c>
      <c r="F67" s="12" t="inlineStr">
        <is>
          <t>G-I-VVV22</t>
        </is>
      </c>
      <c r="G67" s="12" t="inlineStr">
        <is>
          <t>G-I-VVV22-VAN01</t>
        </is>
      </c>
      <c r="H67" s="12" t="inlineStr">
        <is>
          <t>Équipement fictif G-I-VVV22-VAN01</t>
        </is>
      </c>
      <c r="I67" s="12" t="inlineStr">
        <is>
          <t>Maintenance préventive fictive EC+PIS+PILOTAGE+FILTRE - poste G-I-VVV22</t>
        </is>
      </c>
      <c r="J67" s="23" t="n">
        <v>46245</v>
      </c>
      <c r="K67" s="12" t="n">
        <v>2026</v>
      </c>
      <c r="L67" s="12" t="inlineStr">
        <is>
          <t>EC+PIS+PILOTAGE+FILTRE</t>
        </is>
      </c>
      <c r="M67" s="12" t="inlineStr">
        <is>
          <t>FILTRE</t>
        </is>
      </c>
      <c r="N67" s="12" t="inlineStr">
        <is>
          <t>COMPTAGE</t>
        </is>
      </c>
      <c r="O67" s="12" t="inlineStr">
        <is>
          <t>ACTI</t>
        </is>
      </c>
      <c r="P67" s="12" t="inlineStr">
        <is>
          <t>STAT_SYS_A</t>
        </is>
      </c>
      <c r="Q67" s="12" t="inlineStr">
        <is>
          <t>EQ-VVV22-07</t>
        </is>
      </c>
      <c r="R67" s="23" t="n">
        <v>46194</v>
      </c>
      <c r="S67" s="23" t="n">
        <v>46226</v>
      </c>
      <c r="T67" s="12" t="inlineStr">
        <is>
          <t>Poste fictif Chi</t>
        </is>
      </c>
      <c r="U67" s="12" t="inlineStr">
        <is>
          <t>DEI</t>
        </is>
      </c>
      <c r="V67" s="12" t="inlineStr">
        <is>
          <t>AA1</t>
        </is>
      </c>
      <c r="W67" s="12" t="inlineStr">
        <is>
          <t>ZPR2</t>
        </is>
      </c>
      <c r="X67" s="12" t="inlineStr">
        <is>
          <t>PRE</t>
        </is>
      </c>
      <c r="Y67" s="12" t="n"/>
      <c r="Z67" s="12" t="inlineStr">
        <is>
          <t>USER03</t>
        </is>
      </c>
      <c r="AA67" s="12" t="n">
        <v>1042.56</v>
      </c>
      <c r="AB67" s="12" t="inlineStr">
        <is>
          <t>AA1</t>
        </is>
      </c>
      <c r="AC67" s="12" t="inlineStr">
        <is>
          <t>GG-PREV</t>
        </is>
      </c>
      <c r="AD67" s="12" t="inlineStr">
        <is>
          <t>2</t>
        </is>
      </c>
      <c r="AE67" s="12" t="inlineStr">
        <is>
          <t>Code site</t>
        </is>
      </c>
      <c r="AF67" s="12" t="n"/>
      <c r="AG67" s="12" t="n">
        <v>0</v>
      </c>
      <c r="AH67" s="12" t="n"/>
      <c r="AI67" s="12" t="n">
        <v>46</v>
      </c>
      <c r="AJ67" s="12" t="n"/>
      <c r="AK67" s="12" t="inlineStr">
        <is>
          <t>DEMO_GMAO.xlsx</t>
        </is>
      </c>
      <c r="AL67" s="24" t="n">
        <v>46309.625</v>
      </c>
    </row>
    <row r="68">
      <c r="A68" s="12" t="inlineStr">
        <is>
          <t>910000046</t>
        </is>
      </c>
      <c r="B68" s="12" t="n"/>
      <c r="C68" s="12" t="inlineStr">
        <is>
          <t>DEI</t>
        </is>
      </c>
      <c r="D68" s="12" t="inlineStr">
        <is>
          <t>AA1</t>
        </is>
      </c>
      <c r="E68" s="12" t="inlineStr">
        <is>
          <t>G-I-VVV22</t>
        </is>
      </c>
      <c r="F68" s="12" t="inlineStr">
        <is>
          <t>G-I-VVV22</t>
        </is>
      </c>
      <c r="G68" s="12" t="inlineStr">
        <is>
          <t>G-I-VVV22-VAN01</t>
        </is>
      </c>
      <c r="H68" s="12" t="inlineStr">
        <is>
          <t>Équipement fictif G-I-VVV22-VAN01</t>
        </is>
      </c>
      <c r="I68" s="12" t="inlineStr">
        <is>
          <t>Maintenance préventive fictive PIS+REV - poste G-I-VVV22</t>
        </is>
      </c>
      <c r="J68" s="23" t="n">
        <v>46678</v>
      </c>
      <c r="K68" s="12" t="n">
        <v>2027</v>
      </c>
      <c r="L68" s="12" t="inlineStr">
        <is>
          <t>PIS+REV</t>
        </is>
      </c>
      <c r="M68" s="12" t="inlineStr">
        <is>
          <t>PIS</t>
        </is>
      </c>
      <c r="N68" s="12" t="inlineStr">
        <is>
          <t>COMPTAGE</t>
        </is>
      </c>
      <c r="O68" s="12" t="inlineStr">
        <is>
          <t>ACTI</t>
        </is>
      </c>
      <c r="P68" s="12" t="inlineStr">
        <is>
          <t>STAT_SYS_A</t>
        </is>
      </c>
      <c r="Q68" s="12" t="inlineStr">
        <is>
          <t>EQ-VVV22-02</t>
        </is>
      </c>
      <c r="R68" s="23" t="n">
        <v>46596</v>
      </c>
      <c r="S68" s="23" t="n">
        <v>46670</v>
      </c>
      <c r="T68" s="12" t="inlineStr">
        <is>
          <t>Poste fictif Chi</t>
        </is>
      </c>
      <c r="U68" s="12" t="inlineStr">
        <is>
          <t>DEI</t>
        </is>
      </c>
      <c r="V68" s="12" t="inlineStr">
        <is>
          <t>AA1</t>
        </is>
      </c>
      <c r="W68" s="12" t="inlineStr">
        <is>
          <t>ZPR2</t>
        </is>
      </c>
      <c r="X68" s="12" t="inlineStr">
        <is>
          <t>PRE</t>
        </is>
      </c>
      <c r="Y68" s="12" t="n"/>
      <c r="Z68" s="12" t="inlineStr">
        <is>
          <t>USER02</t>
        </is>
      </c>
      <c r="AA68" s="12" t="n">
        <v>1138.19</v>
      </c>
      <c r="AB68" s="12" t="inlineStr">
        <is>
          <t>AA1</t>
        </is>
      </c>
      <c r="AC68" s="12" t="inlineStr">
        <is>
          <t>GG-PREV</t>
        </is>
      </c>
      <c r="AD68" s="12" t="inlineStr">
        <is>
          <t>2</t>
        </is>
      </c>
      <c r="AE68" s="12" t="inlineStr">
        <is>
          <t>Code site</t>
        </is>
      </c>
      <c r="AF68" s="12" t="n"/>
      <c r="AG68" s="12" t="n">
        <v>1</v>
      </c>
      <c r="AH68" s="12" t="n"/>
      <c r="AI68" s="12" t="n">
        <v>47</v>
      </c>
      <c r="AJ68" s="12" t="n"/>
      <c r="AK68" s="12" t="inlineStr">
        <is>
          <t>DEMO_GMAO.xlsx</t>
        </is>
      </c>
      <c r="AL68" s="24" t="n">
        <v>46309.625</v>
      </c>
    </row>
    <row r="69">
      <c r="A69" s="12" t="inlineStr">
        <is>
          <t>910000046</t>
        </is>
      </c>
      <c r="B69" s="12" t="n"/>
      <c r="C69" s="12" t="inlineStr">
        <is>
          <t>DEI</t>
        </is>
      </c>
      <c r="D69" s="12" t="inlineStr">
        <is>
          <t>AA1</t>
        </is>
      </c>
      <c r="E69" s="12" t="inlineStr">
        <is>
          <t>G-I-VVV22</t>
        </is>
      </c>
      <c r="F69" s="12" t="inlineStr">
        <is>
          <t>G-I-VVV22</t>
        </is>
      </c>
      <c r="G69" s="12" t="inlineStr">
        <is>
          <t>G-I-VVV22-VAN01</t>
        </is>
      </c>
      <c r="H69" s="12" t="inlineStr">
        <is>
          <t>Équipement fictif G-I-VVV22-VAN01</t>
        </is>
      </c>
      <c r="I69" s="12" t="inlineStr">
        <is>
          <t>Maintenance préventive fictive PIS+REV - poste G-I-VVV22</t>
        </is>
      </c>
      <c r="J69" s="23" t="n">
        <v>46678</v>
      </c>
      <c r="K69" s="12" t="n">
        <v>2027</v>
      </c>
      <c r="L69" s="12" t="inlineStr">
        <is>
          <t>PIS+REV</t>
        </is>
      </c>
      <c r="M69" s="12" t="inlineStr">
        <is>
          <t>REV</t>
        </is>
      </c>
      <c r="N69" s="12" t="inlineStr">
        <is>
          <t>COMPTAGE</t>
        </is>
      </c>
      <c r="O69" s="12" t="inlineStr">
        <is>
          <t>ACTI</t>
        </is>
      </c>
      <c r="P69" s="12" t="inlineStr">
        <is>
          <t>STAT_SYS_A</t>
        </is>
      </c>
      <c r="Q69" s="12" t="inlineStr">
        <is>
          <t>EQ-VVV22-02</t>
        </is>
      </c>
      <c r="R69" s="23" t="n">
        <v>46596</v>
      </c>
      <c r="S69" s="23" t="n">
        <v>46670</v>
      </c>
      <c r="T69" s="12" t="inlineStr">
        <is>
          <t>Poste fictif Chi</t>
        </is>
      </c>
      <c r="U69" s="12" t="inlineStr">
        <is>
          <t>DEI</t>
        </is>
      </c>
      <c r="V69" s="12" t="inlineStr">
        <is>
          <t>AA1</t>
        </is>
      </c>
      <c r="W69" s="12" t="inlineStr">
        <is>
          <t>ZPR2</t>
        </is>
      </c>
      <c r="X69" s="12" t="inlineStr">
        <is>
          <t>PRE</t>
        </is>
      </c>
      <c r="Y69" s="12" t="n"/>
      <c r="Z69" s="12" t="inlineStr">
        <is>
          <t>USER02</t>
        </is>
      </c>
      <c r="AA69" s="12" t="n">
        <v>1138.19</v>
      </c>
      <c r="AB69" s="12" t="inlineStr">
        <is>
          <t>AA1</t>
        </is>
      </c>
      <c r="AC69" s="12" t="inlineStr">
        <is>
          <t>GG-PREV</t>
        </is>
      </c>
      <c r="AD69" s="12" t="inlineStr">
        <is>
          <t>2</t>
        </is>
      </c>
      <c r="AE69" s="12" t="inlineStr">
        <is>
          <t>Code site</t>
        </is>
      </c>
      <c r="AF69" s="12" t="n"/>
      <c r="AG69" s="12" t="n">
        <v>0</v>
      </c>
      <c r="AH69" s="12" t="n"/>
      <c r="AI69" s="12" t="n">
        <v>47</v>
      </c>
      <c r="AJ69" s="12" t="n"/>
      <c r="AK69" s="12" t="inlineStr">
        <is>
          <t>DEMO_GMAO.xlsx</t>
        </is>
      </c>
      <c r="AL69" s="24" t="n">
        <v>46309.625</v>
      </c>
    </row>
    <row r="70">
      <c r="A70" s="12" t="inlineStr">
        <is>
          <t>910000047</t>
        </is>
      </c>
      <c r="B70" s="12" t="n"/>
      <c r="C70" s="12" t="inlineStr">
        <is>
          <t>DEI</t>
        </is>
      </c>
      <c r="D70" s="12" t="inlineStr">
        <is>
          <t>AA3</t>
        </is>
      </c>
      <c r="E70" s="12" t="inlineStr">
        <is>
          <t>G-I-WWW23</t>
        </is>
      </c>
      <c r="F70" s="12" t="inlineStr">
        <is>
          <t>G-I-WWW23</t>
        </is>
      </c>
      <c r="G70" s="12" t="inlineStr">
        <is>
          <t>G-I-WWW23-FILT01</t>
        </is>
      </c>
      <c r="H70" s="12" t="inlineStr">
        <is>
          <t>Équipement fictif G-I-WWW23-FILT01</t>
        </is>
      </c>
      <c r="I70" s="12" t="inlineStr">
        <is>
          <t>Maintenance préventive fictive PIS - poste G-I-WWW23</t>
        </is>
      </c>
      <c r="J70" s="23" t="n">
        <v>46149</v>
      </c>
      <c r="K70" s="12" t="n">
        <v>2026</v>
      </c>
      <c r="L70" s="12" t="inlineStr">
        <is>
          <t>PIS</t>
        </is>
      </c>
      <c r="M70" s="12" t="inlineStr">
        <is>
          <t>PIS</t>
        </is>
      </c>
      <c r="N70" s="12" t="inlineStr">
        <is>
          <t>DETENTE</t>
        </is>
      </c>
      <c r="O70" s="12" t="inlineStr">
        <is>
          <t>ACTI</t>
        </is>
      </c>
      <c r="P70" s="12" t="inlineStr">
        <is>
          <t>STAT_SYS_A</t>
        </is>
      </c>
      <c r="Q70" s="12" t="inlineStr">
        <is>
          <t>EQ-WWW23-01</t>
        </is>
      </c>
      <c r="R70" s="23" t="n">
        <v>46073</v>
      </c>
      <c r="S70" s="23" t="n">
        <v>46128</v>
      </c>
      <c r="T70" s="12" t="inlineStr">
        <is>
          <t>Poste fictif Psi</t>
        </is>
      </c>
      <c r="U70" s="12" t="inlineStr">
        <is>
          <t>DEI</t>
        </is>
      </c>
      <c r="V70" s="12" t="inlineStr">
        <is>
          <t>AA3</t>
        </is>
      </c>
      <c r="W70" s="12" t="inlineStr">
        <is>
          <t>ZPR2</t>
        </is>
      </c>
      <c r="X70" s="12" t="inlineStr">
        <is>
          <t>PRE</t>
        </is>
      </c>
      <c r="Y70" s="12" t="n"/>
      <c r="Z70" s="12" t="inlineStr">
        <is>
          <t>USER02</t>
        </is>
      </c>
      <c r="AA70" s="12" t="n">
        <v>349.12</v>
      </c>
      <c r="AB70" s="12" t="inlineStr">
        <is>
          <t>AA3</t>
        </is>
      </c>
      <c r="AC70" s="12" t="inlineStr">
        <is>
          <t>GG-PREV</t>
        </is>
      </c>
      <c r="AD70" s="12" t="inlineStr">
        <is>
          <t>2</t>
        </is>
      </c>
      <c r="AE70" s="12" t="inlineStr">
        <is>
          <t>Code site</t>
        </is>
      </c>
      <c r="AF70" s="12" t="n"/>
      <c r="AG70" s="12" t="n">
        <v>1</v>
      </c>
      <c r="AH70" s="12" t="n"/>
      <c r="AI70" s="12" t="n">
        <v>48</v>
      </c>
      <c r="AJ70" s="12" t="n"/>
      <c r="AK70" s="12" t="inlineStr">
        <is>
          <t>DEMO_GMAO.xlsx</t>
        </is>
      </c>
      <c r="AL70" s="24" t="n">
        <v>46309.625</v>
      </c>
    </row>
    <row r="71">
      <c r="A71" s="12" t="inlineStr">
        <is>
          <t>910000048</t>
        </is>
      </c>
      <c r="B71" s="12" t="n"/>
      <c r="C71" s="12" t="inlineStr">
        <is>
          <t>DEI</t>
        </is>
      </c>
      <c r="D71" s="12" t="inlineStr">
        <is>
          <t>AA3</t>
        </is>
      </c>
      <c r="E71" s="12" t="inlineStr">
        <is>
          <t>G-I-WWW23</t>
        </is>
      </c>
      <c r="F71" s="12" t="inlineStr">
        <is>
          <t>G-I-WWW23</t>
        </is>
      </c>
      <c r="G71" s="12" t="inlineStr">
        <is>
          <t>G-I-WWW23-FILT01</t>
        </is>
      </c>
      <c r="H71" s="12" t="inlineStr">
        <is>
          <t>Équipement fictif G-I-WWW23-FILT01</t>
        </is>
      </c>
      <c r="I71" s="12" t="inlineStr">
        <is>
          <t>Maintenance préventive fictive EC+PIS - poste G-I-WWW23</t>
        </is>
      </c>
      <c r="J71" s="23" t="n">
        <v>46672</v>
      </c>
      <c r="K71" s="12" t="n">
        <v>2027</v>
      </c>
      <c r="L71" s="12" t="inlineStr">
        <is>
          <t>EC+PIS</t>
        </is>
      </c>
      <c r="M71" s="12" t="inlineStr">
        <is>
          <t>EC</t>
        </is>
      </c>
      <c r="N71" s="12" t="inlineStr">
        <is>
          <t>DETENTE</t>
        </is>
      </c>
      <c r="O71" s="12" t="inlineStr">
        <is>
          <t>ACTI</t>
        </is>
      </c>
      <c r="P71" s="12" t="inlineStr">
        <is>
          <t>STAT_SYS_A</t>
        </is>
      </c>
      <c r="Q71" s="12" t="inlineStr">
        <is>
          <t>EQ-WWW23-05</t>
        </is>
      </c>
      <c r="R71" s="23" t="n">
        <v>46601</v>
      </c>
      <c r="S71" s="23" t="n">
        <v>46645</v>
      </c>
      <c r="T71" s="12" t="inlineStr">
        <is>
          <t>Poste fictif Psi</t>
        </is>
      </c>
      <c r="U71" s="12" t="inlineStr">
        <is>
          <t>DEI</t>
        </is>
      </c>
      <c r="V71" s="12" t="inlineStr">
        <is>
          <t>AA3</t>
        </is>
      </c>
      <c r="W71" s="12" t="inlineStr">
        <is>
          <t>ZPR2</t>
        </is>
      </c>
      <c r="X71" s="12" t="inlineStr">
        <is>
          <t>PRE</t>
        </is>
      </c>
      <c r="Y71" s="12" t="n"/>
      <c r="Z71" s="12" t="inlineStr">
        <is>
          <t>USER02</t>
        </is>
      </c>
      <c r="AA71" s="12" t="n">
        <v>752.0700000000001</v>
      </c>
      <c r="AB71" s="12" t="inlineStr">
        <is>
          <t>AA3</t>
        </is>
      </c>
      <c r="AC71" s="12" t="inlineStr">
        <is>
          <t>GG-PREV</t>
        </is>
      </c>
      <c r="AD71" s="12" t="inlineStr">
        <is>
          <t>1</t>
        </is>
      </c>
      <c r="AE71" s="12" t="inlineStr">
        <is>
          <t>Code site</t>
        </is>
      </c>
      <c r="AF71" s="12" t="n"/>
      <c r="AG71" s="12" t="n">
        <v>1</v>
      </c>
      <c r="AH71" s="12" t="n"/>
      <c r="AI71" s="12" t="n">
        <v>49</v>
      </c>
      <c r="AJ71" s="12" t="n"/>
      <c r="AK71" s="12" t="inlineStr">
        <is>
          <t>DEMO_GMAO.xlsx</t>
        </is>
      </c>
      <c r="AL71" s="24" t="n">
        <v>46309.625</v>
      </c>
    </row>
    <row r="72">
      <c r="A72" s="12" t="inlineStr">
        <is>
          <t>910000048</t>
        </is>
      </c>
      <c r="B72" s="12" t="n"/>
      <c r="C72" s="12" t="inlineStr">
        <is>
          <t>DEI</t>
        </is>
      </c>
      <c r="D72" s="12" t="inlineStr">
        <is>
          <t>AA3</t>
        </is>
      </c>
      <c r="E72" s="12" t="inlineStr">
        <is>
          <t>G-I-WWW23</t>
        </is>
      </c>
      <c r="F72" s="12" t="inlineStr">
        <is>
          <t>G-I-WWW23</t>
        </is>
      </c>
      <c r="G72" s="12" t="inlineStr">
        <is>
          <t>G-I-WWW23-FILT01</t>
        </is>
      </c>
      <c r="H72" s="12" t="inlineStr">
        <is>
          <t>Équipement fictif G-I-WWW23-FILT01</t>
        </is>
      </c>
      <c r="I72" s="12" t="inlineStr">
        <is>
          <t>Maintenance préventive fictive EC+PIS - poste G-I-WWW23</t>
        </is>
      </c>
      <c r="J72" s="23" t="n">
        <v>46672</v>
      </c>
      <c r="K72" s="12" t="n">
        <v>2027</v>
      </c>
      <c r="L72" s="12" t="inlineStr">
        <is>
          <t>EC+PIS</t>
        </is>
      </c>
      <c r="M72" s="12" t="inlineStr">
        <is>
          <t>PIS</t>
        </is>
      </c>
      <c r="N72" s="12" t="inlineStr">
        <is>
          <t>DETENTE</t>
        </is>
      </c>
      <c r="O72" s="12" t="inlineStr">
        <is>
          <t>ACTI</t>
        </is>
      </c>
      <c r="P72" s="12" t="inlineStr">
        <is>
          <t>STAT_SYS_A</t>
        </is>
      </c>
      <c r="Q72" s="12" t="inlineStr">
        <is>
          <t>EQ-WWW23-05</t>
        </is>
      </c>
      <c r="R72" s="23" t="n">
        <v>46601</v>
      </c>
      <c r="S72" s="23" t="n">
        <v>46645</v>
      </c>
      <c r="T72" s="12" t="inlineStr">
        <is>
          <t>Poste fictif Psi</t>
        </is>
      </c>
      <c r="U72" s="12" t="inlineStr">
        <is>
          <t>DEI</t>
        </is>
      </c>
      <c r="V72" s="12" t="inlineStr">
        <is>
          <t>AA3</t>
        </is>
      </c>
      <c r="W72" s="12" t="inlineStr">
        <is>
          <t>ZPR2</t>
        </is>
      </c>
      <c r="X72" s="12" t="inlineStr">
        <is>
          <t>PRE</t>
        </is>
      </c>
      <c r="Y72" s="12" t="n"/>
      <c r="Z72" s="12" t="inlineStr">
        <is>
          <t>USER02</t>
        </is>
      </c>
      <c r="AA72" s="12" t="n">
        <v>752.0700000000001</v>
      </c>
      <c r="AB72" s="12" t="inlineStr">
        <is>
          <t>AA3</t>
        </is>
      </c>
      <c r="AC72" s="12" t="inlineStr">
        <is>
          <t>GG-PREV</t>
        </is>
      </c>
      <c r="AD72" s="12" t="inlineStr">
        <is>
          <t>1</t>
        </is>
      </c>
      <c r="AE72" s="12" t="inlineStr">
        <is>
          <t>Code site</t>
        </is>
      </c>
      <c r="AF72" s="12" t="n"/>
      <c r="AG72" s="12" t="n">
        <v>0</v>
      </c>
      <c r="AH72" s="12" t="n"/>
      <c r="AI72" s="12" t="n">
        <v>49</v>
      </c>
      <c r="AJ72" s="12" t="n"/>
      <c r="AK72" s="12" t="inlineStr">
        <is>
          <t>DEMO_GMAO.xlsx</t>
        </is>
      </c>
      <c r="AL72" s="24" t="n">
        <v>46309.625</v>
      </c>
    </row>
    <row r="73">
      <c r="A73" s="12" t="inlineStr">
        <is>
          <t>910000049</t>
        </is>
      </c>
      <c r="B73" s="12" t="n"/>
      <c r="C73" s="12" t="inlineStr">
        <is>
          <t>DEI</t>
        </is>
      </c>
      <c r="D73" s="12" t="inlineStr">
        <is>
          <t>AA4</t>
        </is>
      </c>
      <c r="E73" s="12" t="inlineStr">
        <is>
          <t>G-I-XXX24</t>
        </is>
      </c>
      <c r="F73" s="12" t="inlineStr">
        <is>
          <t>G-I-XXX24</t>
        </is>
      </c>
      <c r="G73" s="12" t="inlineStr">
        <is>
          <t>G-I-XXX24-SEC01</t>
        </is>
      </c>
      <c r="H73" s="12" t="inlineStr">
        <is>
          <t>Équipement fictif G-I-XXX24-SEC01</t>
        </is>
      </c>
      <c r="I73" s="12" t="inlineStr">
        <is>
          <t>Maintenance préventive fictive PIS - poste G-I-XXX24</t>
        </is>
      </c>
      <c r="J73" s="23" t="n">
        <v>46050</v>
      </c>
      <c r="K73" s="12" t="n">
        <v>2026</v>
      </c>
      <c r="L73" s="12" t="inlineStr">
        <is>
          <t>PIS</t>
        </is>
      </c>
      <c r="M73" s="12" t="inlineStr">
        <is>
          <t>PIS</t>
        </is>
      </c>
      <c r="N73" s="12" t="inlineStr">
        <is>
          <t>COUPURE</t>
        </is>
      </c>
      <c r="O73" s="12" t="inlineStr">
        <is>
          <t>TERM</t>
        </is>
      </c>
      <c r="P73" s="12" t="inlineStr">
        <is>
          <t>STAT_SYS_A</t>
        </is>
      </c>
      <c r="Q73" s="12" t="inlineStr">
        <is>
          <t>EQ-XXX24-07</t>
        </is>
      </c>
      <c r="R73" s="23" t="n">
        <v>45999</v>
      </c>
      <c r="S73" s="23" t="n">
        <v>46045</v>
      </c>
      <c r="T73" s="12" t="inlineStr">
        <is>
          <t>Poste fictif Omega</t>
        </is>
      </c>
      <c r="U73" s="12" t="inlineStr">
        <is>
          <t>DEI</t>
        </is>
      </c>
      <c r="V73" s="12" t="inlineStr">
        <is>
          <t>AA4</t>
        </is>
      </c>
      <c r="W73" s="12" t="inlineStr">
        <is>
          <t>ZPR2</t>
        </is>
      </c>
      <c r="X73" s="12" t="inlineStr">
        <is>
          <t>PRE</t>
        </is>
      </c>
      <c r="Y73" s="12" t="n"/>
      <c r="Z73" s="12" t="inlineStr">
        <is>
          <t>USER02</t>
        </is>
      </c>
      <c r="AA73" s="12" t="n">
        <v>749.05</v>
      </c>
      <c r="AB73" s="12" t="inlineStr">
        <is>
          <t>AA4</t>
        </is>
      </c>
      <c r="AC73" s="12" t="inlineStr">
        <is>
          <t>GG-PREV</t>
        </is>
      </c>
      <c r="AD73" s="12" t="inlineStr">
        <is>
          <t>3</t>
        </is>
      </c>
      <c r="AE73" s="12" t="inlineStr">
        <is>
          <t>Code site</t>
        </is>
      </c>
      <c r="AF73" s="12" t="n"/>
      <c r="AG73" s="12" t="n">
        <v>1</v>
      </c>
      <c r="AH73" s="12" t="n"/>
      <c r="AI73" s="12" t="n">
        <v>50</v>
      </c>
      <c r="AJ73" s="12" t="n"/>
      <c r="AK73" s="12" t="inlineStr">
        <is>
          <t>DEMO_GMAO.xlsx</t>
        </is>
      </c>
      <c r="AL73" s="24" t="n">
        <v>46309.625</v>
      </c>
    </row>
    <row r="74">
      <c r="A74" s="12" t="inlineStr">
        <is>
          <t>910000050</t>
        </is>
      </c>
      <c r="B74" s="12" t="n"/>
      <c r="C74" s="12" t="inlineStr">
        <is>
          <t>DEI</t>
        </is>
      </c>
      <c r="D74" s="12" t="inlineStr">
        <is>
          <t>AA4</t>
        </is>
      </c>
      <c r="E74" s="12" t="inlineStr">
        <is>
          <t>G-I-XXX24</t>
        </is>
      </c>
      <c r="F74" s="12" t="inlineStr">
        <is>
          <t>G-I-XXX24</t>
        </is>
      </c>
      <c r="G74" s="12" t="inlineStr">
        <is>
          <t>G-I-XXX24-SEC01</t>
        </is>
      </c>
      <c r="H74" s="12" t="inlineStr">
        <is>
          <t>Équipement fictif G-I-XXX24-SEC01</t>
        </is>
      </c>
      <c r="I74" s="12" t="inlineStr">
        <is>
          <t>Maintenance préventive fictive EC+PIS+REV - poste G-I-XXX24</t>
        </is>
      </c>
      <c r="J74" s="23" t="n">
        <v>46547</v>
      </c>
      <c r="K74" s="12" t="n">
        <v>2027</v>
      </c>
      <c r="L74" s="12" t="inlineStr">
        <is>
          <t>EC+PIS+REV</t>
        </is>
      </c>
      <c r="M74" s="12" t="inlineStr">
        <is>
          <t>EC</t>
        </is>
      </c>
      <c r="N74" s="12" t="inlineStr">
        <is>
          <t>COUPURE</t>
        </is>
      </c>
      <c r="O74" s="12" t="inlineStr">
        <is>
          <t>TERM</t>
        </is>
      </c>
      <c r="P74" s="12" t="inlineStr">
        <is>
          <t>STAT_SYS_A</t>
        </is>
      </c>
      <c r="Q74" s="12" t="inlineStr">
        <is>
          <t>EQ-XXX24-09</t>
        </is>
      </c>
      <c r="R74" s="23" t="n">
        <v>46495</v>
      </c>
      <c r="S74" s="23" t="n">
        <v>46541</v>
      </c>
      <c r="T74" s="12" t="inlineStr">
        <is>
          <t>Poste fictif Omega</t>
        </is>
      </c>
      <c r="U74" s="12" t="inlineStr">
        <is>
          <t>DEI</t>
        </is>
      </c>
      <c r="V74" s="12" t="inlineStr">
        <is>
          <t>AA4</t>
        </is>
      </c>
      <c r="W74" s="12" t="inlineStr">
        <is>
          <t>ZPR2</t>
        </is>
      </c>
      <c r="X74" s="12" t="inlineStr">
        <is>
          <t>PRE</t>
        </is>
      </c>
      <c r="Y74" s="12" t="n"/>
      <c r="Z74" s="12" t="inlineStr">
        <is>
          <t>USER02</t>
        </is>
      </c>
      <c r="AA74" s="12" t="n">
        <v>1351.16</v>
      </c>
      <c r="AB74" s="12" t="inlineStr">
        <is>
          <t>AA4</t>
        </is>
      </c>
      <c r="AC74" s="12" t="inlineStr">
        <is>
          <t>GG-PREV</t>
        </is>
      </c>
      <c r="AD74" s="12" t="inlineStr">
        <is>
          <t>2</t>
        </is>
      </c>
      <c r="AE74" s="12" t="inlineStr">
        <is>
          <t>Code site</t>
        </is>
      </c>
      <c r="AF74" s="12" t="n"/>
      <c r="AG74" s="12" t="n">
        <v>1</v>
      </c>
      <c r="AH74" s="12" t="n"/>
      <c r="AI74" s="12" t="n">
        <v>51</v>
      </c>
      <c r="AJ74" s="12" t="n"/>
      <c r="AK74" s="12" t="inlineStr">
        <is>
          <t>DEMO_GMAO.xlsx</t>
        </is>
      </c>
      <c r="AL74" s="24" t="n">
        <v>46309.625</v>
      </c>
    </row>
    <row r="75">
      <c r="A75" s="12" t="inlineStr">
        <is>
          <t>910000050</t>
        </is>
      </c>
      <c r="B75" s="12" t="n"/>
      <c r="C75" s="12" t="inlineStr">
        <is>
          <t>DEI</t>
        </is>
      </c>
      <c r="D75" s="12" t="inlineStr">
        <is>
          <t>AA4</t>
        </is>
      </c>
      <c r="E75" s="12" t="inlineStr">
        <is>
          <t>G-I-XXX24</t>
        </is>
      </c>
      <c r="F75" s="12" t="inlineStr">
        <is>
          <t>G-I-XXX24</t>
        </is>
      </c>
      <c r="G75" s="12" t="inlineStr">
        <is>
          <t>G-I-XXX24-SEC01</t>
        </is>
      </c>
      <c r="H75" s="12" t="inlineStr">
        <is>
          <t>Équipement fictif G-I-XXX24-SEC01</t>
        </is>
      </c>
      <c r="I75" s="12" t="inlineStr">
        <is>
          <t>Maintenance préventive fictive EC+PIS+REV - poste G-I-XXX24</t>
        </is>
      </c>
      <c r="J75" s="23" t="n">
        <v>46547</v>
      </c>
      <c r="K75" s="12" t="n">
        <v>2027</v>
      </c>
      <c r="L75" s="12" t="inlineStr">
        <is>
          <t>EC+PIS+REV</t>
        </is>
      </c>
      <c r="M75" s="12" t="inlineStr">
        <is>
          <t>PIS</t>
        </is>
      </c>
      <c r="N75" s="12" t="inlineStr">
        <is>
          <t>COUPURE</t>
        </is>
      </c>
      <c r="O75" s="12" t="inlineStr">
        <is>
          <t>TERM</t>
        </is>
      </c>
      <c r="P75" s="12" t="inlineStr">
        <is>
          <t>STAT_SYS_A</t>
        </is>
      </c>
      <c r="Q75" s="12" t="inlineStr">
        <is>
          <t>EQ-XXX24-09</t>
        </is>
      </c>
      <c r="R75" s="23" t="n">
        <v>46495</v>
      </c>
      <c r="S75" s="23" t="n">
        <v>46541</v>
      </c>
      <c r="T75" s="12" t="inlineStr">
        <is>
          <t>Poste fictif Omega</t>
        </is>
      </c>
      <c r="U75" s="12" t="inlineStr">
        <is>
          <t>DEI</t>
        </is>
      </c>
      <c r="V75" s="12" t="inlineStr">
        <is>
          <t>AA4</t>
        </is>
      </c>
      <c r="W75" s="12" t="inlineStr">
        <is>
          <t>ZPR2</t>
        </is>
      </c>
      <c r="X75" s="12" t="inlineStr">
        <is>
          <t>PRE</t>
        </is>
      </c>
      <c r="Y75" s="12" t="n"/>
      <c r="Z75" s="12" t="inlineStr">
        <is>
          <t>USER02</t>
        </is>
      </c>
      <c r="AA75" s="12" t="n">
        <v>1351.16</v>
      </c>
      <c r="AB75" s="12" t="inlineStr">
        <is>
          <t>AA4</t>
        </is>
      </c>
      <c r="AC75" s="12" t="inlineStr">
        <is>
          <t>GG-PREV</t>
        </is>
      </c>
      <c r="AD75" s="12" t="inlineStr">
        <is>
          <t>2</t>
        </is>
      </c>
      <c r="AE75" s="12" t="inlineStr">
        <is>
          <t>Code site</t>
        </is>
      </c>
      <c r="AF75" s="12" t="n"/>
      <c r="AG75" s="12" t="n">
        <v>0</v>
      </c>
      <c r="AH75" s="12" t="n"/>
      <c r="AI75" s="12" t="n">
        <v>51</v>
      </c>
      <c r="AJ75" s="12" t="n"/>
      <c r="AK75" s="12" t="inlineStr">
        <is>
          <t>DEMO_GMAO.xlsx</t>
        </is>
      </c>
      <c r="AL75" s="24" t="n">
        <v>46309.625</v>
      </c>
    </row>
    <row r="76">
      <c r="A76" s="12" t="inlineStr">
        <is>
          <t>910000050</t>
        </is>
      </c>
      <c r="B76" s="12" t="n"/>
      <c r="C76" s="12" t="inlineStr">
        <is>
          <t>DEI</t>
        </is>
      </c>
      <c r="D76" s="12" t="inlineStr">
        <is>
          <t>AA4</t>
        </is>
      </c>
      <c r="E76" s="12" t="inlineStr">
        <is>
          <t>G-I-XXX24</t>
        </is>
      </c>
      <c r="F76" s="12" t="inlineStr">
        <is>
          <t>G-I-XXX24</t>
        </is>
      </c>
      <c r="G76" s="12" t="inlineStr">
        <is>
          <t>G-I-XXX24-SEC01</t>
        </is>
      </c>
      <c r="H76" s="12" t="inlineStr">
        <is>
          <t>Équipement fictif G-I-XXX24-SEC01</t>
        </is>
      </c>
      <c r="I76" s="12" t="inlineStr">
        <is>
          <t>Maintenance préventive fictive EC+PIS+REV - poste G-I-XXX24</t>
        </is>
      </c>
      <c r="J76" s="23" t="n">
        <v>46547</v>
      </c>
      <c r="K76" s="12" t="n">
        <v>2027</v>
      </c>
      <c r="L76" s="12" t="inlineStr">
        <is>
          <t>EC+PIS+REV</t>
        </is>
      </c>
      <c r="M76" s="12" t="inlineStr">
        <is>
          <t>REV</t>
        </is>
      </c>
      <c r="N76" s="12" t="inlineStr">
        <is>
          <t>COUPURE</t>
        </is>
      </c>
      <c r="O76" s="12" t="inlineStr">
        <is>
          <t>TERM</t>
        </is>
      </c>
      <c r="P76" s="12" t="inlineStr">
        <is>
          <t>STAT_SYS_A</t>
        </is>
      </c>
      <c r="Q76" s="12" t="inlineStr">
        <is>
          <t>EQ-XXX24-09</t>
        </is>
      </c>
      <c r="R76" s="23" t="n">
        <v>46495</v>
      </c>
      <c r="S76" s="23" t="n">
        <v>46541</v>
      </c>
      <c r="T76" s="12" t="inlineStr">
        <is>
          <t>Poste fictif Omega</t>
        </is>
      </c>
      <c r="U76" s="12" t="inlineStr">
        <is>
          <t>DEI</t>
        </is>
      </c>
      <c r="V76" s="12" t="inlineStr">
        <is>
          <t>AA4</t>
        </is>
      </c>
      <c r="W76" s="12" t="inlineStr">
        <is>
          <t>ZPR2</t>
        </is>
      </c>
      <c r="X76" s="12" t="inlineStr">
        <is>
          <t>PRE</t>
        </is>
      </c>
      <c r="Y76" s="12" t="n"/>
      <c r="Z76" s="12" t="inlineStr">
        <is>
          <t>USER02</t>
        </is>
      </c>
      <c r="AA76" s="12" t="n">
        <v>1351.16</v>
      </c>
      <c r="AB76" s="12" t="inlineStr">
        <is>
          <t>AA4</t>
        </is>
      </c>
      <c r="AC76" s="12" t="inlineStr">
        <is>
          <t>GG-PREV</t>
        </is>
      </c>
      <c r="AD76" s="12" t="inlineStr">
        <is>
          <t>2</t>
        </is>
      </c>
      <c r="AE76" s="12" t="inlineStr">
        <is>
          <t>Code site</t>
        </is>
      </c>
      <c r="AF76" s="12" t="n"/>
      <c r="AG76" s="12" t="n">
        <v>0</v>
      </c>
      <c r="AH76" s="12" t="n"/>
      <c r="AI76" s="12" t="n">
        <v>51</v>
      </c>
      <c r="AJ76" s="12" t="n"/>
      <c r="AK76" s="12" t="inlineStr">
        <is>
          <t>DEMO_GMAO.xlsx</t>
        </is>
      </c>
      <c r="AL76" s="24" t="n">
        <v>46309.625</v>
      </c>
    </row>
    <row r="77">
      <c r="A77" s="12" t="inlineStr">
        <is>
          <t>910000051</t>
        </is>
      </c>
      <c r="B77" s="12" t="n"/>
      <c r="C77" s="12" t="inlineStr">
        <is>
          <t>SHL</t>
        </is>
      </c>
      <c r="D77" s="12" t="inlineStr">
        <is>
          <t>AA1</t>
        </is>
      </c>
      <c r="E77" s="12" t="inlineStr">
        <is>
          <t>G-I-YYY25</t>
        </is>
      </c>
      <c r="F77" s="12" t="inlineStr">
        <is>
          <t>G-I-YYY25</t>
        </is>
      </c>
      <c r="G77" s="12" t="inlineStr">
        <is>
          <t>G-I-YYY25-REG01</t>
        </is>
      </c>
      <c r="H77" s="12" t="inlineStr">
        <is>
          <t>Équipement fictif G-I-YYY25-REG01</t>
        </is>
      </c>
      <c r="I77" s="12" t="inlineStr">
        <is>
          <t>Maintenance préventive fictive EC+PIS - poste G-I-YYY25</t>
        </is>
      </c>
      <c r="J77" s="23" t="n">
        <v>46338</v>
      </c>
      <c r="K77" s="12" t="n">
        <v>2026</v>
      </c>
      <c r="L77" s="12" t="inlineStr">
        <is>
          <t>EC+PIS</t>
        </is>
      </c>
      <c r="M77" s="12" t="inlineStr">
        <is>
          <t>EC</t>
        </is>
      </c>
      <c r="N77" s="12" t="inlineStr">
        <is>
          <t>LIVRAISON</t>
        </is>
      </c>
      <c r="O77" s="12" t="inlineStr">
        <is>
          <t>ACTI</t>
        </is>
      </c>
      <c r="P77" s="12" t="inlineStr">
        <is>
          <t>STAT_SYS_A</t>
        </is>
      </c>
      <c r="Q77" s="12" t="inlineStr">
        <is>
          <t>EQ-YYY25-04</t>
        </is>
      </c>
      <c r="R77" s="23" t="n">
        <v>46288</v>
      </c>
      <c r="S77" s="23" t="n">
        <v>46315</v>
      </c>
      <c r="T77" s="12" t="inlineStr">
        <is>
          <t>Poste fictif Alpha II</t>
        </is>
      </c>
      <c r="U77" s="12" t="inlineStr">
        <is>
          <t>SHL</t>
        </is>
      </c>
      <c r="V77" s="12" t="inlineStr">
        <is>
          <t>AA1</t>
        </is>
      </c>
      <c r="W77" s="12" t="inlineStr">
        <is>
          <t>ZPR2</t>
        </is>
      </c>
      <c r="X77" s="12" t="inlineStr">
        <is>
          <t>PRE</t>
        </is>
      </c>
      <c r="Y77" s="12" t="n"/>
      <c r="Z77" s="12" t="inlineStr">
        <is>
          <t>USER02</t>
        </is>
      </c>
      <c r="AA77" s="12" t="n">
        <v>658.96</v>
      </c>
      <c r="AB77" s="12" t="inlineStr">
        <is>
          <t>AA1</t>
        </is>
      </c>
      <c r="AC77" s="12" t="inlineStr">
        <is>
          <t>GG-PREV</t>
        </is>
      </c>
      <c r="AD77" s="12" t="inlineStr">
        <is>
          <t>3</t>
        </is>
      </c>
      <c r="AE77" s="12" t="inlineStr">
        <is>
          <t>Code site</t>
        </is>
      </c>
      <c r="AF77" s="12" t="n"/>
      <c r="AG77" s="12" t="n">
        <v>1</v>
      </c>
      <c r="AH77" s="12" t="n"/>
      <c r="AI77" s="12" t="n">
        <v>52</v>
      </c>
      <c r="AJ77" s="12" t="n"/>
      <c r="AK77" s="12" t="inlineStr">
        <is>
          <t>DEMO_GMAO.xlsx</t>
        </is>
      </c>
      <c r="AL77" s="24" t="n">
        <v>46309.625</v>
      </c>
    </row>
    <row r="78">
      <c r="A78" s="12" t="inlineStr">
        <is>
          <t>910000051</t>
        </is>
      </c>
      <c r="B78" s="12" t="n"/>
      <c r="C78" s="12" t="inlineStr">
        <is>
          <t>SHL</t>
        </is>
      </c>
      <c r="D78" s="12" t="inlineStr">
        <is>
          <t>AA1</t>
        </is>
      </c>
      <c r="E78" s="12" t="inlineStr">
        <is>
          <t>G-I-YYY25</t>
        </is>
      </c>
      <c r="F78" s="12" t="inlineStr">
        <is>
          <t>G-I-YYY25</t>
        </is>
      </c>
      <c r="G78" s="12" t="inlineStr">
        <is>
          <t>G-I-YYY25-REG01</t>
        </is>
      </c>
      <c r="H78" s="12" t="inlineStr">
        <is>
          <t>Équipement fictif G-I-YYY25-REG01</t>
        </is>
      </c>
      <c r="I78" s="12" t="inlineStr">
        <is>
          <t>Maintenance préventive fictive EC+PIS - poste G-I-YYY25</t>
        </is>
      </c>
      <c r="J78" s="23" t="n">
        <v>46338</v>
      </c>
      <c r="K78" s="12" t="n">
        <v>2026</v>
      </c>
      <c r="L78" s="12" t="inlineStr">
        <is>
          <t>EC+PIS</t>
        </is>
      </c>
      <c r="M78" s="12" t="inlineStr">
        <is>
          <t>PIS</t>
        </is>
      </c>
      <c r="N78" s="12" t="inlineStr">
        <is>
          <t>LIVRAISON</t>
        </is>
      </c>
      <c r="O78" s="12" t="inlineStr">
        <is>
          <t>ACTI</t>
        </is>
      </c>
      <c r="P78" s="12" t="inlineStr">
        <is>
          <t>STAT_SYS_A</t>
        </is>
      </c>
      <c r="Q78" s="12" t="inlineStr">
        <is>
          <t>EQ-YYY25-04</t>
        </is>
      </c>
      <c r="R78" s="23" t="n">
        <v>46288</v>
      </c>
      <c r="S78" s="23" t="n">
        <v>46315</v>
      </c>
      <c r="T78" s="12" t="inlineStr">
        <is>
          <t>Poste fictif Alpha II</t>
        </is>
      </c>
      <c r="U78" s="12" t="inlineStr">
        <is>
          <t>SHL</t>
        </is>
      </c>
      <c r="V78" s="12" t="inlineStr">
        <is>
          <t>AA1</t>
        </is>
      </c>
      <c r="W78" s="12" t="inlineStr">
        <is>
          <t>ZPR2</t>
        </is>
      </c>
      <c r="X78" s="12" t="inlineStr">
        <is>
          <t>PRE</t>
        </is>
      </c>
      <c r="Y78" s="12" t="n"/>
      <c r="Z78" s="12" t="inlineStr">
        <is>
          <t>USER02</t>
        </is>
      </c>
      <c r="AA78" s="12" t="n">
        <v>658.96</v>
      </c>
      <c r="AB78" s="12" t="inlineStr">
        <is>
          <t>AA1</t>
        </is>
      </c>
      <c r="AC78" s="12" t="inlineStr">
        <is>
          <t>GG-PREV</t>
        </is>
      </c>
      <c r="AD78" s="12" t="inlineStr">
        <is>
          <t>3</t>
        </is>
      </c>
      <c r="AE78" s="12" t="inlineStr">
        <is>
          <t>Code site</t>
        </is>
      </c>
      <c r="AF78" s="12" t="n"/>
      <c r="AG78" s="12" t="n">
        <v>0</v>
      </c>
      <c r="AH78" s="12" t="n"/>
      <c r="AI78" s="12" t="n">
        <v>52</v>
      </c>
      <c r="AJ78" s="12" t="n"/>
      <c r="AK78" s="12" t="inlineStr">
        <is>
          <t>DEMO_GMAO.xlsx</t>
        </is>
      </c>
      <c r="AL78" s="24" t="n">
        <v>46309.625</v>
      </c>
    </row>
    <row r="79">
      <c r="A79" s="12" t="inlineStr">
        <is>
          <t>910000052</t>
        </is>
      </c>
      <c r="B79" s="12" t="n"/>
      <c r="C79" s="12" t="inlineStr">
        <is>
          <t>SHL</t>
        </is>
      </c>
      <c r="D79" s="12" t="inlineStr">
        <is>
          <t>AA1</t>
        </is>
      </c>
      <c r="E79" s="12" t="inlineStr">
        <is>
          <t>G-I-YYY25</t>
        </is>
      </c>
      <c r="F79" s="12" t="inlineStr">
        <is>
          <t>G-I-YYY25</t>
        </is>
      </c>
      <c r="G79" s="12" t="inlineStr">
        <is>
          <t>G-I-YYY25-REG01</t>
        </is>
      </c>
      <c r="H79" s="12" t="inlineStr">
        <is>
          <t>Équipement fictif G-I-YYY25-REG01</t>
        </is>
      </c>
      <c r="I79" s="12" t="inlineStr">
        <is>
          <t>Maintenance préventive fictive PIS - poste G-I-YYY25</t>
        </is>
      </c>
      <c r="J79" s="23" t="n">
        <v>46552</v>
      </c>
      <c r="K79" s="12" t="n">
        <v>2027</v>
      </c>
      <c r="L79" s="12" t="inlineStr">
        <is>
          <t>PIS</t>
        </is>
      </c>
      <c r="M79" s="12" t="inlineStr">
        <is>
          <t>PIS</t>
        </is>
      </c>
      <c r="N79" s="12" t="inlineStr">
        <is>
          <t>LIVRAISON</t>
        </is>
      </c>
      <c r="O79" s="12" t="inlineStr">
        <is>
          <t>ACTI</t>
        </is>
      </c>
      <c r="P79" s="12" t="inlineStr">
        <is>
          <t>STAT_SYS_A</t>
        </is>
      </c>
      <c r="Q79" s="12" t="inlineStr">
        <is>
          <t>EQ-YYY25-08</t>
        </is>
      </c>
      <c r="R79" s="23" t="n">
        <v>46466</v>
      </c>
      <c r="S79" s="23" t="n">
        <v>46543</v>
      </c>
      <c r="T79" s="12" t="inlineStr">
        <is>
          <t>Poste fictif Alpha II</t>
        </is>
      </c>
      <c r="U79" s="12" t="inlineStr">
        <is>
          <t>SHL</t>
        </is>
      </c>
      <c r="V79" s="12" t="inlineStr">
        <is>
          <t>AA1</t>
        </is>
      </c>
      <c r="W79" s="12" t="inlineStr">
        <is>
          <t>ZPR2</t>
        </is>
      </c>
      <c r="X79" s="12" t="inlineStr">
        <is>
          <t>PRE</t>
        </is>
      </c>
      <c r="Y79" s="12" t="n"/>
      <c r="Z79" s="12" t="inlineStr">
        <is>
          <t>USER03</t>
        </is>
      </c>
      <c r="AA79" s="12" t="n">
        <v>1292.14</v>
      </c>
      <c r="AB79" s="12" t="inlineStr">
        <is>
          <t>AA1</t>
        </is>
      </c>
      <c r="AC79" s="12" t="inlineStr">
        <is>
          <t>GG-PREV</t>
        </is>
      </c>
      <c r="AD79" s="12" t="inlineStr">
        <is>
          <t>3</t>
        </is>
      </c>
      <c r="AE79" s="12" t="inlineStr">
        <is>
          <t>Code site</t>
        </is>
      </c>
      <c r="AF79" s="12" t="n"/>
      <c r="AG79" s="12" t="n">
        <v>1</v>
      </c>
      <c r="AH79" s="12" t="n"/>
      <c r="AI79" s="12" t="n">
        <v>53</v>
      </c>
      <c r="AJ79" s="12" t="n"/>
      <c r="AK79" s="12" t="inlineStr">
        <is>
          <t>DEMO_GMAO.xlsx</t>
        </is>
      </c>
      <c r="AL79" s="24" t="n">
        <v>46309.625</v>
      </c>
    </row>
    <row r="80">
      <c r="A80" s="12" t="inlineStr">
        <is>
          <t>910000053</t>
        </is>
      </c>
      <c r="B80" s="12" t="n"/>
      <c r="C80" s="12" t="inlineStr">
        <is>
          <t>SHL</t>
        </is>
      </c>
      <c r="D80" s="12" t="inlineStr">
        <is>
          <t>AA4</t>
        </is>
      </c>
      <c r="E80" s="12" t="inlineStr">
        <is>
          <t>G-I-AAB27</t>
        </is>
      </c>
      <c r="F80" s="12" t="inlineStr">
        <is>
          <t>G-I-AAB27</t>
        </is>
      </c>
      <c r="G80" s="12" t="inlineStr">
        <is>
          <t>G-I-AAB27-FILT01</t>
        </is>
      </c>
      <c r="H80" s="12" t="inlineStr">
        <is>
          <t>Équipement fictif G-I-AAB27-FILT01</t>
        </is>
      </c>
      <c r="I80" s="12" t="inlineStr">
        <is>
          <t>Maintenance préventive fictive EC - poste G-I-AAB27</t>
        </is>
      </c>
      <c r="J80" s="23" t="n">
        <v>46072</v>
      </c>
      <c r="K80" s="12" t="n">
        <v>2026</v>
      </c>
      <c r="L80" s="12" t="inlineStr">
        <is>
          <t>EC</t>
        </is>
      </c>
      <c r="M80" s="12" t="inlineStr">
        <is>
          <t>EC</t>
        </is>
      </c>
      <c r="N80" s="12" t="inlineStr">
        <is>
          <t>COUPURE</t>
        </is>
      </c>
      <c r="O80" s="12" t="inlineStr">
        <is>
          <t>TERM</t>
        </is>
      </c>
      <c r="P80" s="12" t="inlineStr">
        <is>
          <t>STAT_SYS_A</t>
        </is>
      </c>
      <c r="Q80" s="12" t="inlineStr">
        <is>
          <t>EQ-AAB27-02</t>
        </is>
      </c>
      <c r="R80" s="23" t="n">
        <v>45994</v>
      </c>
      <c r="S80" s="23" t="n">
        <v>46042</v>
      </c>
      <c r="T80" s="12" t="inlineStr">
        <is>
          <t>Poste fictif Gamma II</t>
        </is>
      </c>
      <c r="U80" s="12" t="inlineStr">
        <is>
          <t>SHL</t>
        </is>
      </c>
      <c r="V80" s="12" t="inlineStr">
        <is>
          <t>AA4</t>
        </is>
      </c>
      <c r="W80" s="12" t="inlineStr">
        <is>
          <t>ZPR2</t>
        </is>
      </c>
      <c r="X80" s="12" t="inlineStr">
        <is>
          <t>PRE</t>
        </is>
      </c>
      <c r="Y80" s="12" t="n"/>
      <c r="Z80" s="12" t="inlineStr">
        <is>
          <t>USER02</t>
        </is>
      </c>
      <c r="AA80" s="12" t="n">
        <v>809.08</v>
      </c>
      <c r="AB80" s="12" t="inlineStr">
        <is>
          <t>AA4</t>
        </is>
      </c>
      <c r="AC80" s="12" t="inlineStr">
        <is>
          <t>GG-PREV</t>
        </is>
      </c>
      <c r="AD80" s="12" t="inlineStr">
        <is>
          <t>3</t>
        </is>
      </c>
      <c r="AE80" s="12" t="inlineStr">
        <is>
          <t>Code site</t>
        </is>
      </c>
      <c r="AF80" s="12" t="n"/>
      <c r="AG80" s="12" t="n">
        <v>1</v>
      </c>
      <c r="AH80" s="12" t="n"/>
      <c r="AI80" s="12" t="n">
        <v>54</v>
      </c>
      <c r="AJ80" s="12" t="n"/>
      <c r="AK80" s="12" t="inlineStr">
        <is>
          <t>DEMO_GMAO.xlsx</t>
        </is>
      </c>
      <c r="AL80" s="24" t="n">
        <v>46309.625</v>
      </c>
    </row>
    <row r="81">
      <c r="A81" s="12" t="inlineStr">
        <is>
          <t>910000054</t>
        </is>
      </c>
      <c r="B81" s="12" t="n"/>
      <c r="C81" s="12" t="inlineStr">
        <is>
          <t>SHL</t>
        </is>
      </c>
      <c r="D81" s="12" t="inlineStr">
        <is>
          <t>AA4</t>
        </is>
      </c>
      <c r="E81" s="12" t="inlineStr">
        <is>
          <t>G-I-AAB27</t>
        </is>
      </c>
      <c r="F81" s="12" t="inlineStr">
        <is>
          <t>G-I-AAB27</t>
        </is>
      </c>
      <c r="G81" s="12" t="inlineStr">
        <is>
          <t>G-I-AAB27-FILT01</t>
        </is>
      </c>
      <c r="H81" s="12" t="inlineStr">
        <is>
          <t>Équipement fictif G-I-AAB27-FILT01</t>
        </is>
      </c>
      <c r="I81" s="12" t="inlineStr">
        <is>
          <t>Maintenance préventive fictive PIS - poste G-I-AAB27</t>
        </is>
      </c>
      <c r="J81" s="23" t="n">
        <v>46582</v>
      </c>
      <c r="K81" s="12" t="n">
        <v>2027</v>
      </c>
      <c r="L81" s="12" t="inlineStr">
        <is>
          <t>PIS</t>
        </is>
      </c>
      <c r="M81" s="12" t="inlineStr">
        <is>
          <t>PIS</t>
        </is>
      </c>
      <c r="N81" s="12" t="inlineStr">
        <is>
          <t>COUPURE</t>
        </is>
      </c>
      <c r="O81" s="12" t="inlineStr">
        <is>
          <t>TERM</t>
        </is>
      </c>
      <c r="P81" s="12" t="inlineStr">
        <is>
          <t>STAT_SYS_A</t>
        </is>
      </c>
      <c r="Q81" s="12" t="inlineStr">
        <is>
          <t>EQ-AAB27-06</t>
        </is>
      </c>
      <c r="R81" s="23" t="n">
        <v>46536</v>
      </c>
      <c r="S81" s="23" t="n">
        <v>46576</v>
      </c>
      <c r="T81" s="12" t="inlineStr">
        <is>
          <t>Poste fictif Gamma II</t>
        </is>
      </c>
      <c r="U81" s="12" t="inlineStr">
        <is>
          <t>SHL</t>
        </is>
      </c>
      <c r="V81" s="12" t="inlineStr">
        <is>
          <t>AA4</t>
        </is>
      </c>
      <c r="W81" s="12" t="inlineStr">
        <is>
          <t>ZPR2</t>
        </is>
      </c>
      <c r="X81" s="12" t="inlineStr">
        <is>
          <t>PRE</t>
        </is>
      </c>
      <c r="Y81" s="12" t="n"/>
      <c r="Z81" s="12" t="inlineStr">
        <is>
          <t>USER02</t>
        </is>
      </c>
      <c r="AA81" s="12" t="n">
        <v>638.97</v>
      </c>
      <c r="AB81" s="12" t="inlineStr">
        <is>
          <t>AA4</t>
        </is>
      </c>
      <c r="AC81" s="12" t="inlineStr">
        <is>
          <t>GG-PREV</t>
        </is>
      </c>
      <c r="AD81" s="12" t="inlineStr">
        <is>
          <t>2</t>
        </is>
      </c>
      <c r="AE81" s="12" t="inlineStr">
        <is>
          <t>Code site</t>
        </is>
      </c>
      <c r="AF81" s="12" t="n"/>
      <c r="AG81" s="12" t="n">
        <v>1</v>
      </c>
      <c r="AH81" s="12" t="n"/>
      <c r="AI81" s="12" t="n">
        <v>55</v>
      </c>
      <c r="AJ81" s="12" t="n"/>
      <c r="AK81" s="12" t="inlineStr">
        <is>
          <t>DEMO_GMAO.xlsx</t>
        </is>
      </c>
      <c r="AL81" s="24" t="n">
        <v>46309.625</v>
      </c>
    </row>
    <row r="82">
      <c r="A82" s="12" t="inlineStr">
        <is>
          <t>910000055</t>
        </is>
      </c>
      <c r="B82" s="12" t="n"/>
      <c r="C82" s="12" t="inlineStr">
        <is>
          <t>SVI</t>
        </is>
      </c>
      <c r="D82" s="12" t="inlineStr">
        <is>
          <t>AA1</t>
        </is>
      </c>
      <c r="E82" s="12" t="inlineStr">
        <is>
          <t>G-I-BBC28</t>
        </is>
      </c>
      <c r="F82" s="12" t="inlineStr">
        <is>
          <t>G-I-BBC28</t>
        </is>
      </c>
      <c r="G82" s="12" t="inlineStr">
        <is>
          <t>G-I-BBC28-SEC01</t>
        </is>
      </c>
      <c r="H82" s="12" t="inlineStr">
        <is>
          <t>Équipement fictif G-I-BBC28-SEC01</t>
        </is>
      </c>
      <c r="I82" s="12" t="inlineStr">
        <is>
          <t>Maintenance préventive fictive PIS - poste G-I-BBC28</t>
        </is>
      </c>
      <c r="J82" s="23" t="n">
        <v>46080</v>
      </c>
      <c r="K82" s="12" t="n">
        <v>2026</v>
      </c>
      <c r="L82" s="12" t="inlineStr">
        <is>
          <t>PIS</t>
        </is>
      </c>
      <c r="M82" s="12" t="inlineStr">
        <is>
          <t>PIS</t>
        </is>
      </c>
      <c r="N82" s="12" t="inlineStr">
        <is>
          <t>COMPTAGE</t>
        </is>
      </c>
      <c r="O82" s="12" t="inlineStr">
        <is>
          <t>ACTI</t>
        </is>
      </c>
      <c r="P82" s="12" t="inlineStr">
        <is>
          <t>STAT_SYS_A</t>
        </is>
      </c>
      <c r="Q82" s="12" t="inlineStr">
        <is>
          <t>EQ-BBC28-01</t>
        </is>
      </c>
      <c r="R82" s="23" t="n">
        <v>46011</v>
      </c>
      <c r="S82" s="23" t="n">
        <v>46065</v>
      </c>
      <c r="T82" s="12" t="inlineStr">
        <is>
          <t>Poste fictif Delta II</t>
        </is>
      </c>
      <c r="U82" s="12" t="inlineStr">
        <is>
          <t>SVI</t>
        </is>
      </c>
      <c r="V82" s="12" t="inlineStr">
        <is>
          <t>AA1</t>
        </is>
      </c>
      <c r="W82" s="12" t="inlineStr">
        <is>
          <t>ZPR2</t>
        </is>
      </c>
      <c r="X82" s="12" t="inlineStr">
        <is>
          <t>PRE</t>
        </is>
      </c>
      <c r="Y82" s="12" t="n"/>
      <c r="Z82" s="12" t="inlineStr">
        <is>
          <t>USER02</t>
        </is>
      </c>
      <c r="AA82" s="12" t="n">
        <v>1412.16</v>
      </c>
      <c r="AB82" s="12" t="inlineStr">
        <is>
          <t>AA1</t>
        </is>
      </c>
      <c r="AC82" s="12" t="inlineStr">
        <is>
          <t>GG-PREV</t>
        </is>
      </c>
      <c r="AD82" s="12" t="inlineStr">
        <is>
          <t>1</t>
        </is>
      </c>
      <c r="AE82" s="12" t="inlineStr">
        <is>
          <t>Code site</t>
        </is>
      </c>
      <c r="AF82" s="12" t="n"/>
      <c r="AG82" s="12" t="n">
        <v>1</v>
      </c>
      <c r="AH82" s="12" t="n"/>
      <c r="AI82" s="12" t="n">
        <v>56</v>
      </c>
      <c r="AJ82" s="12" t="n"/>
      <c r="AK82" s="12" t="inlineStr">
        <is>
          <t>DEMO_GMAO.xlsx</t>
        </is>
      </c>
      <c r="AL82" s="24" t="n">
        <v>46309.625</v>
      </c>
    </row>
    <row r="83">
      <c r="A83" s="12" t="inlineStr">
        <is>
          <t>910000056</t>
        </is>
      </c>
      <c r="B83" s="12" t="n"/>
      <c r="C83" s="12" t="inlineStr">
        <is>
          <t>SVI</t>
        </is>
      </c>
      <c r="D83" s="12" t="inlineStr">
        <is>
          <t>AA1</t>
        </is>
      </c>
      <c r="E83" s="12" t="inlineStr">
        <is>
          <t>G-I-BBC28</t>
        </is>
      </c>
      <c r="F83" s="12" t="inlineStr">
        <is>
          <t>G-I-BBC28</t>
        </is>
      </c>
      <c r="G83" s="12" t="inlineStr">
        <is>
          <t>G-I-BBC28-SEC01</t>
        </is>
      </c>
      <c r="H83" s="12" t="inlineStr">
        <is>
          <t>Équipement fictif G-I-BBC28-SEC01</t>
        </is>
      </c>
      <c r="I83" s="12" t="inlineStr">
        <is>
          <t>Maintenance préventive fictive EC+PIS+REV+FILTRE - poste G-I-BBC28</t>
        </is>
      </c>
      <c r="J83" s="23" t="n">
        <v>46639</v>
      </c>
      <c r="K83" s="12" t="n">
        <v>2027</v>
      </c>
      <c r="L83" s="12" t="inlineStr">
        <is>
          <t>EC+PIS+REV+FILTRE</t>
        </is>
      </c>
      <c r="M83" s="12" t="inlineStr">
        <is>
          <t>EC</t>
        </is>
      </c>
      <c r="N83" s="12" t="inlineStr">
        <is>
          <t>COMPTAGE</t>
        </is>
      </c>
      <c r="O83" s="12" t="inlineStr">
        <is>
          <t>ACTI</t>
        </is>
      </c>
      <c r="P83" s="12" t="inlineStr">
        <is>
          <t>STAT_SYS_A</t>
        </is>
      </c>
      <c r="Q83" s="12" t="inlineStr">
        <is>
          <t>EQ-BBC28-06</t>
        </is>
      </c>
      <c r="R83" s="23" t="n">
        <v>46555</v>
      </c>
      <c r="S83" s="23" t="n">
        <v>46610</v>
      </c>
      <c r="T83" s="12" t="inlineStr">
        <is>
          <t>Poste fictif Delta II</t>
        </is>
      </c>
      <c r="U83" s="12" t="inlineStr">
        <is>
          <t>SVI</t>
        </is>
      </c>
      <c r="V83" s="12" t="inlineStr">
        <is>
          <t>AA1</t>
        </is>
      </c>
      <c r="W83" s="12" t="inlineStr">
        <is>
          <t>ZPR2</t>
        </is>
      </c>
      <c r="X83" s="12" t="inlineStr">
        <is>
          <t>PRE</t>
        </is>
      </c>
      <c r="Y83" s="12" t="n"/>
      <c r="Z83" s="12" t="inlineStr">
        <is>
          <t>USER02</t>
        </is>
      </c>
      <c r="AA83" s="12" t="n">
        <v>1410.9</v>
      </c>
      <c r="AB83" s="12" t="inlineStr">
        <is>
          <t>AA1</t>
        </is>
      </c>
      <c r="AC83" s="12" t="inlineStr">
        <is>
          <t>GG-PREV</t>
        </is>
      </c>
      <c r="AD83" s="12" t="inlineStr">
        <is>
          <t>1</t>
        </is>
      </c>
      <c r="AE83" s="12" t="inlineStr">
        <is>
          <t>Code site</t>
        </is>
      </c>
      <c r="AF83" s="12" t="n"/>
      <c r="AG83" s="12" t="n">
        <v>1</v>
      </c>
      <c r="AH83" s="12" t="n"/>
      <c r="AI83" s="12" t="n">
        <v>57</v>
      </c>
      <c r="AJ83" s="12" t="n"/>
      <c r="AK83" s="12" t="inlineStr">
        <is>
          <t>DEMO_GMAO.xlsx</t>
        </is>
      </c>
      <c r="AL83" s="24" t="n">
        <v>46309.625</v>
      </c>
    </row>
    <row r="84">
      <c r="A84" s="12" t="inlineStr">
        <is>
          <t>910000056</t>
        </is>
      </c>
      <c r="B84" s="12" t="n"/>
      <c r="C84" s="12" t="inlineStr">
        <is>
          <t>SVI</t>
        </is>
      </c>
      <c r="D84" s="12" t="inlineStr">
        <is>
          <t>AA1</t>
        </is>
      </c>
      <c r="E84" s="12" t="inlineStr">
        <is>
          <t>G-I-BBC28</t>
        </is>
      </c>
      <c r="F84" s="12" t="inlineStr">
        <is>
          <t>G-I-BBC28</t>
        </is>
      </c>
      <c r="G84" s="12" t="inlineStr">
        <is>
          <t>G-I-BBC28-SEC01</t>
        </is>
      </c>
      <c r="H84" s="12" t="inlineStr">
        <is>
          <t>Équipement fictif G-I-BBC28-SEC01</t>
        </is>
      </c>
      <c r="I84" s="12" t="inlineStr">
        <is>
          <t>Maintenance préventive fictive EC+PIS+REV+FILTRE - poste G-I-BBC28</t>
        </is>
      </c>
      <c r="J84" s="23" t="n">
        <v>46639</v>
      </c>
      <c r="K84" s="12" t="n">
        <v>2027</v>
      </c>
      <c r="L84" s="12" t="inlineStr">
        <is>
          <t>EC+PIS+REV+FILTRE</t>
        </is>
      </c>
      <c r="M84" s="12" t="inlineStr">
        <is>
          <t>PIS</t>
        </is>
      </c>
      <c r="N84" s="12" t="inlineStr">
        <is>
          <t>COMPTAGE</t>
        </is>
      </c>
      <c r="O84" s="12" t="inlineStr">
        <is>
          <t>ACTI</t>
        </is>
      </c>
      <c r="P84" s="12" t="inlineStr">
        <is>
          <t>STAT_SYS_A</t>
        </is>
      </c>
      <c r="Q84" s="12" t="inlineStr">
        <is>
          <t>EQ-BBC28-06</t>
        </is>
      </c>
      <c r="R84" s="23" t="n">
        <v>46555</v>
      </c>
      <c r="S84" s="23" t="n">
        <v>46610</v>
      </c>
      <c r="T84" s="12" t="inlineStr">
        <is>
          <t>Poste fictif Delta II</t>
        </is>
      </c>
      <c r="U84" s="12" t="inlineStr">
        <is>
          <t>SVI</t>
        </is>
      </c>
      <c r="V84" s="12" t="inlineStr">
        <is>
          <t>AA1</t>
        </is>
      </c>
      <c r="W84" s="12" t="inlineStr">
        <is>
          <t>ZPR2</t>
        </is>
      </c>
      <c r="X84" s="12" t="inlineStr">
        <is>
          <t>PRE</t>
        </is>
      </c>
      <c r="Y84" s="12" t="n"/>
      <c r="Z84" s="12" t="inlineStr">
        <is>
          <t>USER02</t>
        </is>
      </c>
      <c r="AA84" s="12" t="n">
        <v>1410.9</v>
      </c>
      <c r="AB84" s="12" t="inlineStr">
        <is>
          <t>AA1</t>
        </is>
      </c>
      <c r="AC84" s="12" t="inlineStr">
        <is>
          <t>GG-PREV</t>
        </is>
      </c>
      <c r="AD84" s="12" t="inlineStr">
        <is>
          <t>1</t>
        </is>
      </c>
      <c r="AE84" s="12" t="inlineStr">
        <is>
          <t>Code site</t>
        </is>
      </c>
      <c r="AF84" s="12" t="n"/>
      <c r="AG84" s="12" t="n">
        <v>0</v>
      </c>
      <c r="AH84" s="12" t="n"/>
      <c r="AI84" s="12" t="n">
        <v>57</v>
      </c>
      <c r="AJ84" s="12" t="n"/>
      <c r="AK84" s="12" t="inlineStr">
        <is>
          <t>DEMO_GMAO.xlsx</t>
        </is>
      </c>
      <c r="AL84" s="24" t="n">
        <v>46309.625</v>
      </c>
    </row>
    <row r="85">
      <c r="A85" s="12" t="inlineStr">
        <is>
          <t>910000056</t>
        </is>
      </c>
      <c r="B85" s="12" t="n"/>
      <c r="C85" s="12" t="inlineStr">
        <is>
          <t>SVI</t>
        </is>
      </c>
      <c r="D85" s="12" t="inlineStr">
        <is>
          <t>AA1</t>
        </is>
      </c>
      <c r="E85" s="12" t="inlineStr">
        <is>
          <t>G-I-BBC28</t>
        </is>
      </c>
      <c r="F85" s="12" t="inlineStr">
        <is>
          <t>G-I-BBC28</t>
        </is>
      </c>
      <c r="G85" s="12" t="inlineStr">
        <is>
          <t>G-I-BBC28-SEC01</t>
        </is>
      </c>
      <c r="H85" s="12" t="inlineStr">
        <is>
          <t>Équipement fictif G-I-BBC28-SEC01</t>
        </is>
      </c>
      <c r="I85" s="12" t="inlineStr">
        <is>
          <t>Maintenance préventive fictive EC+PIS+REV+FILTRE - poste G-I-BBC28</t>
        </is>
      </c>
      <c r="J85" s="23" t="n">
        <v>46639</v>
      </c>
      <c r="K85" s="12" t="n">
        <v>2027</v>
      </c>
      <c r="L85" s="12" t="inlineStr">
        <is>
          <t>EC+PIS+REV+FILTRE</t>
        </is>
      </c>
      <c r="M85" s="12" t="inlineStr">
        <is>
          <t>REV</t>
        </is>
      </c>
      <c r="N85" s="12" t="inlineStr">
        <is>
          <t>COMPTAGE</t>
        </is>
      </c>
      <c r="O85" s="12" t="inlineStr">
        <is>
          <t>ACTI</t>
        </is>
      </c>
      <c r="P85" s="12" t="inlineStr">
        <is>
          <t>STAT_SYS_A</t>
        </is>
      </c>
      <c r="Q85" s="12" t="inlineStr">
        <is>
          <t>EQ-BBC28-06</t>
        </is>
      </c>
      <c r="R85" s="23" t="n">
        <v>46555</v>
      </c>
      <c r="S85" s="23" t="n">
        <v>46610</v>
      </c>
      <c r="T85" s="12" t="inlineStr">
        <is>
          <t>Poste fictif Delta II</t>
        </is>
      </c>
      <c r="U85" s="12" t="inlineStr">
        <is>
          <t>SVI</t>
        </is>
      </c>
      <c r="V85" s="12" t="inlineStr">
        <is>
          <t>AA1</t>
        </is>
      </c>
      <c r="W85" s="12" t="inlineStr">
        <is>
          <t>ZPR2</t>
        </is>
      </c>
      <c r="X85" s="12" t="inlineStr">
        <is>
          <t>PRE</t>
        </is>
      </c>
      <c r="Y85" s="12" t="n"/>
      <c r="Z85" s="12" t="inlineStr">
        <is>
          <t>USER02</t>
        </is>
      </c>
      <c r="AA85" s="12" t="n">
        <v>1410.9</v>
      </c>
      <c r="AB85" s="12" t="inlineStr">
        <is>
          <t>AA1</t>
        </is>
      </c>
      <c r="AC85" s="12" t="inlineStr">
        <is>
          <t>GG-PREV</t>
        </is>
      </c>
      <c r="AD85" s="12" t="inlineStr">
        <is>
          <t>1</t>
        </is>
      </c>
      <c r="AE85" s="12" t="inlineStr">
        <is>
          <t>Code site</t>
        </is>
      </c>
      <c r="AF85" s="12" t="n"/>
      <c r="AG85" s="12" t="n">
        <v>0</v>
      </c>
      <c r="AH85" s="12" t="n"/>
      <c r="AI85" s="12" t="n">
        <v>57</v>
      </c>
      <c r="AJ85" s="12" t="n"/>
      <c r="AK85" s="12" t="inlineStr">
        <is>
          <t>DEMO_GMAO.xlsx</t>
        </is>
      </c>
      <c r="AL85" s="24" t="n">
        <v>46309.625</v>
      </c>
    </row>
    <row r="86">
      <c r="A86" s="12" t="inlineStr">
        <is>
          <t>910000056</t>
        </is>
      </c>
      <c r="B86" s="12" t="n"/>
      <c r="C86" s="12" t="inlineStr">
        <is>
          <t>SVI</t>
        </is>
      </c>
      <c r="D86" s="12" t="inlineStr">
        <is>
          <t>AA1</t>
        </is>
      </c>
      <c r="E86" s="12" t="inlineStr">
        <is>
          <t>G-I-BBC28</t>
        </is>
      </c>
      <c r="F86" s="12" t="inlineStr">
        <is>
          <t>G-I-BBC28</t>
        </is>
      </c>
      <c r="G86" s="12" t="inlineStr">
        <is>
          <t>G-I-BBC28-SEC01</t>
        </is>
      </c>
      <c r="H86" s="12" t="inlineStr">
        <is>
          <t>Équipement fictif G-I-BBC28-SEC01</t>
        </is>
      </c>
      <c r="I86" s="12" t="inlineStr">
        <is>
          <t>Maintenance préventive fictive EC+PIS+REV+FILTRE - poste G-I-BBC28</t>
        </is>
      </c>
      <c r="J86" s="23" t="n">
        <v>46639</v>
      </c>
      <c r="K86" s="12" t="n">
        <v>2027</v>
      </c>
      <c r="L86" s="12" t="inlineStr">
        <is>
          <t>EC+PIS+REV+FILTRE</t>
        </is>
      </c>
      <c r="M86" s="12" t="inlineStr">
        <is>
          <t>FILTRE</t>
        </is>
      </c>
      <c r="N86" s="12" t="inlineStr">
        <is>
          <t>COMPTAGE</t>
        </is>
      </c>
      <c r="O86" s="12" t="inlineStr">
        <is>
          <t>ACTI</t>
        </is>
      </c>
      <c r="P86" s="12" t="inlineStr">
        <is>
          <t>STAT_SYS_A</t>
        </is>
      </c>
      <c r="Q86" s="12" t="inlineStr">
        <is>
          <t>EQ-BBC28-06</t>
        </is>
      </c>
      <c r="R86" s="23" t="n">
        <v>46555</v>
      </c>
      <c r="S86" s="23" t="n">
        <v>46610</v>
      </c>
      <c r="T86" s="12" t="inlineStr">
        <is>
          <t>Poste fictif Delta II</t>
        </is>
      </c>
      <c r="U86" s="12" t="inlineStr">
        <is>
          <t>SVI</t>
        </is>
      </c>
      <c r="V86" s="12" t="inlineStr">
        <is>
          <t>AA1</t>
        </is>
      </c>
      <c r="W86" s="12" t="inlineStr">
        <is>
          <t>ZPR2</t>
        </is>
      </c>
      <c r="X86" s="12" t="inlineStr">
        <is>
          <t>PRE</t>
        </is>
      </c>
      <c r="Y86" s="12" t="n"/>
      <c r="Z86" s="12" t="inlineStr">
        <is>
          <t>USER02</t>
        </is>
      </c>
      <c r="AA86" s="12" t="n">
        <v>1410.9</v>
      </c>
      <c r="AB86" s="12" t="inlineStr">
        <is>
          <t>AA1</t>
        </is>
      </c>
      <c r="AC86" s="12" t="inlineStr">
        <is>
          <t>GG-PREV</t>
        </is>
      </c>
      <c r="AD86" s="12" t="inlineStr">
        <is>
          <t>1</t>
        </is>
      </c>
      <c r="AE86" s="12" t="inlineStr">
        <is>
          <t>Code site</t>
        </is>
      </c>
      <c r="AF86" s="12" t="n"/>
      <c r="AG86" s="12" t="n">
        <v>0</v>
      </c>
      <c r="AH86" s="12" t="n"/>
      <c r="AI86" s="12" t="n">
        <v>57</v>
      </c>
      <c r="AJ86" s="12" t="n"/>
      <c r="AK86" s="12" t="inlineStr">
        <is>
          <t>DEMO_GMAO.xlsx</t>
        </is>
      </c>
      <c r="AL86" s="24" t="n">
        <v>46309.625</v>
      </c>
    </row>
    <row r="87">
      <c r="A87" s="12" t="inlineStr">
        <is>
          <t>910000057</t>
        </is>
      </c>
      <c r="B87" s="12" t="n"/>
      <c r="C87" s="12" t="inlineStr">
        <is>
          <t>SVI</t>
        </is>
      </c>
      <c r="D87" s="12" t="inlineStr">
        <is>
          <t>AA3</t>
        </is>
      </c>
      <c r="E87" s="12" t="inlineStr">
        <is>
          <t>G-I-CCD29</t>
        </is>
      </c>
      <c r="F87" s="12" t="inlineStr">
        <is>
          <t>G-I-CCD29</t>
        </is>
      </c>
      <c r="G87" s="12" t="inlineStr">
        <is>
          <t>G-I-CCD29-REG01</t>
        </is>
      </c>
      <c r="H87" s="12" t="inlineStr">
        <is>
          <t>Équipement fictif G-I-CCD29-REG01</t>
        </is>
      </c>
      <c r="I87" s="12" t="inlineStr">
        <is>
          <t>Maintenance préventive fictive PIS - poste G-I-CCD29</t>
        </is>
      </c>
      <c r="J87" s="23" t="n">
        <v>46196</v>
      </c>
      <c r="K87" s="12" t="n">
        <v>2026</v>
      </c>
      <c r="L87" s="12" t="inlineStr">
        <is>
          <t>PIS</t>
        </is>
      </c>
      <c r="M87" s="12" t="inlineStr">
        <is>
          <t>PIS</t>
        </is>
      </c>
      <c r="N87" s="12" t="inlineStr">
        <is>
          <t>COMPTAGE</t>
        </is>
      </c>
      <c r="O87" s="12" t="inlineStr">
        <is>
          <t>TERM</t>
        </is>
      </c>
      <c r="P87" s="12" t="inlineStr">
        <is>
          <t>STAT_SYS_A</t>
        </is>
      </c>
      <c r="Q87" s="12" t="inlineStr">
        <is>
          <t>EQ-CCD29-06</t>
        </is>
      </c>
      <c r="R87" s="23" t="n">
        <v>46156</v>
      </c>
      <c r="S87" s="23" t="n">
        <v>46188</v>
      </c>
      <c r="T87" s="12" t="inlineStr">
        <is>
          <t>Poste fictif Epsilon II</t>
        </is>
      </c>
      <c r="U87" s="12" t="inlineStr">
        <is>
          <t>SVI</t>
        </is>
      </c>
      <c r="V87" s="12" t="inlineStr">
        <is>
          <t>AA3</t>
        </is>
      </c>
      <c r="W87" s="12" t="inlineStr">
        <is>
          <t>ZPR2</t>
        </is>
      </c>
      <c r="X87" s="12" t="inlineStr">
        <is>
          <t>PRE</t>
        </is>
      </c>
      <c r="Y87" s="12" t="n"/>
      <c r="Z87" s="12" t="inlineStr">
        <is>
          <t>USER03</t>
        </is>
      </c>
      <c r="AA87" s="12" t="n">
        <v>813.09</v>
      </c>
      <c r="AB87" s="12" t="inlineStr">
        <is>
          <t>AA3</t>
        </is>
      </c>
      <c r="AC87" s="12" t="inlineStr">
        <is>
          <t>GG-PREV</t>
        </is>
      </c>
      <c r="AD87" s="12" t="inlineStr">
        <is>
          <t>3</t>
        </is>
      </c>
      <c r="AE87" s="12" t="inlineStr">
        <is>
          <t>Code site</t>
        </is>
      </c>
      <c r="AF87" s="12" t="n"/>
      <c r="AG87" s="12" t="n">
        <v>1</v>
      </c>
      <c r="AH87" s="12" t="n"/>
      <c r="AI87" s="12" t="n">
        <v>58</v>
      </c>
      <c r="AJ87" s="12" t="n"/>
      <c r="AK87" s="12" t="inlineStr">
        <is>
          <t>DEMO_GMAO.xlsx</t>
        </is>
      </c>
      <c r="AL87" s="24" t="n">
        <v>46309.625</v>
      </c>
    </row>
    <row r="88">
      <c r="A88" s="12" t="inlineStr">
        <is>
          <t>910000058</t>
        </is>
      </c>
      <c r="B88" s="12" t="n"/>
      <c r="C88" s="12" t="inlineStr">
        <is>
          <t>SVI</t>
        </is>
      </c>
      <c r="D88" s="12" t="inlineStr">
        <is>
          <t>AA3</t>
        </is>
      </c>
      <c r="E88" s="12" t="inlineStr">
        <is>
          <t>G-I-CCD29</t>
        </is>
      </c>
      <c r="F88" s="12" t="inlineStr">
        <is>
          <t>G-I-CCD29</t>
        </is>
      </c>
      <c r="G88" s="12" t="inlineStr">
        <is>
          <t>G-I-CCD29-REG01</t>
        </is>
      </c>
      <c r="H88" s="12" t="inlineStr">
        <is>
          <t>Équipement fictif G-I-CCD29-REG01</t>
        </is>
      </c>
      <c r="I88" s="12" t="inlineStr">
        <is>
          <t>Maintenance préventive fictive EC+PIS+REV+FILTRE - poste G-I-CCD29</t>
        </is>
      </c>
      <c r="J88" s="23" t="n">
        <v>46569</v>
      </c>
      <c r="K88" s="12" t="n">
        <v>2027</v>
      </c>
      <c r="L88" s="12" t="inlineStr">
        <is>
          <t>EC+PIS+REV+FILTRE</t>
        </is>
      </c>
      <c r="M88" s="12" t="inlineStr">
        <is>
          <t>EC</t>
        </is>
      </c>
      <c r="N88" s="12" t="inlineStr">
        <is>
          <t>COMPTAGE</t>
        </is>
      </c>
      <c r="O88" s="12" t="inlineStr">
        <is>
          <t>ACTI</t>
        </is>
      </c>
      <c r="P88" s="12" t="inlineStr">
        <is>
          <t>STAT_SYS_A</t>
        </is>
      </c>
      <c r="Q88" s="12" t="inlineStr">
        <is>
          <t>EQ-CCD29-02</t>
        </is>
      </c>
      <c r="R88" s="23" t="n">
        <v>46494</v>
      </c>
      <c r="S88" s="23" t="n">
        <v>46563</v>
      </c>
      <c r="T88" s="12" t="inlineStr">
        <is>
          <t>Poste fictif Epsilon II</t>
        </is>
      </c>
      <c r="U88" s="12" t="inlineStr">
        <is>
          <t>SVI</t>
        </is>
      </c>
      <c r="V88" s="12" t="inlineStr">
        <is>
          <t>AA3</t>
        </is>
      </c>
      <c r="W88" s="12" t="inlineStr">
        <is>
          <t>ZPR2</t>
        </is>
      </c>
      <c r="X88" s="12" t="inlineStr">
        <is>
          <t>PRE</t>
        </is>
      </c>
      <c r="Y88" s="12" t="n"/>
      <c r="Z88" s="12" t="inlineStr">
        <is>
          <t>USER02</t>
        </is>
      </c>
      <c r="AA88" s="12" t="n">
        <v>1306.71</v>
      </c>
      <c r="AB88" s="12" t="inlineStr">
        <is>
          <t>AA3</t>
        </is>
      </c>
      <c r="AC88" s="12" t="inlineStr">
        <is>
          <t>GG-PREV</t>
        </is>
      </c>
      <c r="AD88" s="12" t="inlineStr">
        <is>
          <t>3</t>
        </is>
      </c>
      <c r="AE88" s="12" t="inlineStr">
        <is>
          <t>Code site</t>
        </is>
      </c>
      <c r="AF88" s="12" t="n"/>
      <c r="AG88" s="12" t="n">
        <v>1</v>
      </c>
      <c r="AH88" s="12" t="n"/>
      <c r="AI88" s="12" t="n">
        <v>59</v>
      </c>
      <c r="AJ88" s="12" t="n"/>
      <c r="AK88" s="12" t="inlineStr">
        <is>
          <t>DEMO_GMAO.xlsx</t>
        </is>
      </c>
      <c r="AL88" s="24" t="n">
        <v>46309.625</v>
      </c>
    </row>
    <row r="89">
      <c r="A89" s="12" t="inlineStr">
        <is>
          <t>910000058</t>
        </is>
      </c>
      <c r="B89" s="12" t="n"/>
      <c r="C89" s="12" t="inlineStr">
        <is>
          <t>SVI</t>
        </is>
      </c>
      <c r="D89" s="12" t="inlineStr">
        <is>
          <t>AA3</t>
        </is>
      </c>
      <c r="E89" s="12" t="inlineStr">
        <is>
          <t>G-I-CCD29</t>
        </is>
      </c>
      <c r="F89" s="12" t="inlineStr">
        <is>
          <t>G-I-CCD29</t>
        </is>
      </c>
      <c r="G89" s="12" t="inlineStr">
        <is>
          <t>G-I-CCD29-REG01</t>
        </is>
      </c>
      <c r="H89" s="12" t="inlineStr">
        <is>
          <t>Équipement fictif G-I-CCD29-REG01</t>
        </is>
      </c>
      <c r="I89" s="12" t="inlineStr">
        <is>
          <t>Maintenance préventive fictive EC+PIS+REV+FILTRE - poste G-I-CCD29</t>
        </is>
      </c>
      <c r="J89" s="23" t="n">
        <v>46569</v>
      </c>
      <c r="K89" s="12" t="n">
        <v>2027</v>
      </c>
      <c r="L89" s="12" t="inlineStr">
        <is>
          <t>EC+PIS+REV+FILTRE</t>
        </is>
      </c>
      <c r="M89" s="12" t="inlineStr">
        <is>
          <t>PIS</t>
        </is>
      </c>
      <c r="N89" s="12" t="inlineStr">
        <is>
          <t>COMPTAGE</t>
        </is>
      </c>
      <c r="O89" s="12" t="inlineStr">
        <is>
          <t>ACTI</t>
        </is>
      </c>
      <c r="P89" s="12" t="inlineStr">
        <is>
          <t>STAT_SYS_A</t>
        </is>
      </c>
      <c r="Q89" s="12" t="inlineStr">
        <is>
          <t>EQ-CCD29-02</t>
        </is>
      </c>
      <c r="R89" s="23" t="n">
        <v>46494</v>
      </c>
      <c r="S89" s="23" t="n">
        <v>46563</v>
      </c>
      <c r="T89" s="12" t="inlineStr">
        <is>
          <t>Poste fictif Epsilon II</t>
        </is>
      </c>
      <c r="U89" s="12" t="inlineStr">
        <is>
          <t>SVI</t>
        </is>
      </c>
      <c r="V89" s="12" t="inlineStr">
        <is>
          <t>AA3</t>
        </is>
      </c>
      <c r="W89" s="12" t="inlineStr">
        <is>
          <t>ZPR2</t>
        </is>
      </c>
      <c r="X89" s="12" t="inlineStr">
        <is>
          <t>PRE</t>
        </is>
      </c>
      <c r="Y89" s="12" t="n"/>
      <c r="Z89" s="12" t="inlineStr">
        <is>
          <t>USER02</t>
        </is>
      </c>
      <c r="AA89" s="12" t="n">
        <v>1306.71</v>
      </c>
      <c r="AB89" s="12" t="inlineStr">
        <is>
          <t>AA3</t>
        </is>
      </c>
      <c r="AC89" s="12" t="inlineStr">
        <is>
          <t>GG-PREV</t>
        </is>
      </c>
      <c r="AD89" s="12" t="inlineStr">
        <is>
          <t>3</t>
        </is>
      </c>
      <c r="AE89" s="12" t="inlineStr">
        <is>
          <t>Code site</t>
        </is>
      </c>
      <c r="AF89" s="12" t="n"/>
      <c r="AG89" s="12" t="n">
        <v>0</v>
      </c>
      <c r="AH89" s="12" t="n"/>
      <c r="AI89" s="12" t="n">
        <v>59</v>
      </c>
      <c r="AJ89" s="12" t="n"/>
      <c r="AK89" s="12" t="inlineStr">
        <is>
          <t>DEMO_GMAO.xlsx</t>
        </is>
      </c>
      <c r="AL89" s="24" t="n">
        <v>46309.625</v>
      </c>
    </row>
    <row r="90">
      <c r="A90" s="12" t="inlineStr">
        <is>
          <t>910000058</t>
        </is>
      </c>
      <c r="B90" s="12" t="n"/>
      <c r="C90" s="12" t="inlineStr">
        <is>
          <t>SVI</t>
        </is>
      </c>
      <c r="D90" s="12" t="inlineStr">
        <is>
          <t>AA3</t>
        </is>
      </c>
      <c r="E90" s="12" t="inlineStr">
        <is>
          <t>G-I-CCD29</t>
        </is>
      </c>
      <c r="F90" s="12" t="inlineStr">
        <is>
          <t>G-I-CCD29</t>
        </is>
      </c>
      <c r="G90" s="12" t="inlineStr">
        <is>
          <t>G-I-CCD29-REG01</t>
        </is>
      </c>
      <c r="H90" s="12" t="inlineStr">
        <is>
          <t>Équipement fictif G-I-CCD29-REG01</t>
        </is>
      </c>
      <c r="I90" s="12" t="inlineStr">
        <is>
          <t>Maintenance préventive fictive EC+PIS+REV+FILTRE - poste G-I-CCD29</t>
        </is>
      </c>
      <c r="J90" s="23" t="n">
        <v>46569</v>
      </c>
      <c r="K90" s="12" t="n">
        <v>2027</v>
      </c>
      <c r="L90" s="12" t="inlineStr">
        <is>
          <t>EC+PIS+REV+FILTRE</t>
        </is>
      </c>
      <c r="M90" s="12" t="inlineStr">
        <is>
          <t>REV</t>
        </is>
      </c>
      <c r="N90" s="12" t="inlineStr">
        <is>
          <t>COMPTAGE</t>
        </is>
      </c>
      <c r="O90" s="12" t="inlineStr">
        <is>
          <t>ACTI</t>
        </is>
      </c>
      <c r="P90" s="12" t="inlineStr">
        <is>
          <t>STAT_SYS_A</t>
        </is>
      </c>
      <c r="Q90" s="12" t="inlineStr">
        <is>
          <t>EQ-CCD29-02</t>
        </is>
      </c>
      <c r="R90" s="23" t="n">
        <v>46494</v>
      </c>
      <c r="S90" s="23" t="n">
        <v>46563</v>
      </c>
      <c r="T90" s="12" t="inlineStr">
        <is>
          <t>Poste fictif Epsilon II</t>
        </is>
      </c>
      <c r="U90" s="12" t="inlineStr">
        <is>
          <t>SVI</t>
        </is>
      </c>
      <c r="V90" s="12" t="inlineStr">
        <is>
          <t>AA3</t>
        </is>
      </c>
      <c r="W90" s="12" t="inlineStr">
        <is>
          <t>ZPR2</t>
        </is>
      </c>
      <c r="X90" s="12" t="inlineStr">
        <is>
          <t>PRE</t>
        </is>
      </c>
      <c r="Y90" s="12" t="n"/>
      <c r="Z90" s="12" t="inlineStr">
        <is>
          <t>USER02</t>
        </is>
      </c>
      <c r="AA90" s="12" t="n">
        <v>1306.71</v>
      </c>
      <c r="AB90" s="12" t="inlineStr">
        <is>
          <t>AA3</t>
        </is>
      </c>
      <c r="AC90" s="12" t="inlineStr">
        <is>
          <t>GG-PREV</t>
        </is>
      </c>
      <c r="AD90" s="12" t="inlineStr">
        <is>
          <t>3</t>
        </is>
      </c>
      <c r="AE90" s="12" t="inlineStr">
        <is>
          <t>Code site</t>
        </is>
      </c>
      <c r="AF90" s="12" t="n"/>
      <c r="AG90" s="12" t="n">
        <v>0</v>
      </c>
      <c r="AH90" s="12" t="n"/>
      <c r="AI90" s="12" t="n">
        <v>59</v>
      </c>
      <c r="AJ90" s="12" t="n"/>
      <c r="AK90" s="12" t="inlineStr">
        <is>
          <t>DEMO_GMAO.xlsx</t>
        </is>
      </c>
      <c r="AL90" s="24" t="n">
        <v>46309.625</v>
      </c>
    </row>
    <row r="91">
      <c r="A91" s="12" t="inlineStr">
        <is>
          <t>910000058</t>
        </is>
      </c>
      <c r="B91" s="12" t="n"/>
      <c r="C91" s="12" t="inlineStr">
        <is>
          <t>SVI</t>
        </is>
      </c>
      <c r="D91" s="12" t="inlineStr">
        <is>
          <t>AA3</t>
        </is>
      </c>
      <c r="E91" s="12" t="inlineStr">
        <is>
          <t>G-I-CCD29</t>
        </is>
      </c>
      <c r="F91" s="12" t="inlineStr">
        <is>
          <t>G-I-CCD29</t>
        </is>
      </c>
      <c r="G91" s="12" t="inlineStr">
        <is>
          <t>G-I-CCD29-REG01</t>
        </is>
      </c>
      <c r="H91" s="12" t="inlineStr">
        <is>
          <t>Équipement fictif G-I-CCD29-REG01</t>
        </is>
      </c>
      <c r="I91" s="12" t="inlineStr">
        <is>
          <t>Maintenance préventive fictive EC+PIS+REV+FILTRE - poste G-I-CCD29</t>
        </is>
      </c>
      <c r="J91" s="23" t="n">
        <v>46569</v>
      </c>
      <c r="K91" s="12" t="n">
        <v>2027</v>
      </c>
      <c r="L91" s="12" t="inlineStr">
        <is>
          <t>EC+PIS+REV+FILTRE</t>
        </is>
      </c>
      <c r="M91" s="12" t="inlineStr">
        <is>
          <t>FILTRE</t>
        </is>
      </c>
      <c r="N91" s="12" t="inlineStr">
        <is>
          <t>COMPTAGE</t>
        </is>
      </c>
      <c r="O91" s="12" t="inlineStr">
        <is>
          <t>ACTI</t>
        </is>
      </c>
      <c r="P91" s="12" t="inlineStr">
        <is>
          <t>STAT_SYS_A</t>
        </is>
      </c>
      <c r="Q91" s="12" t="inlineStr">
        <is>
          <t>EQ-CCD29-02</t>
        </is>
      </c>
      <c r="R91" s="23" t="n">
        <v>46494</v>
      </c>
      <c r="S91" s="23" t="n">
        <v>46563</v>
      </c>
      <c r="T91" s="12" t="inlineStr">
        <is>
          <t>Poste fictif Epsilon II</t>
        </is>
      </c>
      <c r="U91" s="12" t="inlineStr">
        <is>
          <t>SVI</t>
        </is>
      </c>
      <c r="V91" s="12" t="inlineStr">
        <is>
          <t>AA3</t>
        </is>
      </c>
      <c r="W91" s="12" t="inlineStr">
        <is>
          <t>ZPR2</t>
        </is>
      </c>
      <c r="X91" s="12" t="inlineStr">
        <is>
          <t>PRE</t>
        </is>
      </c>
      <c r="Y91" s="12" t="n"/>
      <c r="Z91" s="12" t="inlineStr">
        <is>
          <t>USER02</t>
        </is>
      </c>
      <c r="AA91" s="12" t="n">
        <v>1306.71</v>
      </c>
      <c r="AB91" s="12" t="inlineStr">
        <is>
          <t>AA3</t>
        </is>
      </c>
      <c r="AC91" s="12" t="inlineStr">
        <is>
          <t>GG-PREV</t>
        </is>
      </c>
      <c r="AD91" s="12" t="inlineStr">
        <is>
          <t>3</t>
        </is>
      </c>
      <c r="AE91" s="12" t="inlineStr">
        <is>
          <t>Code site</t>
        </is>
      </c>
      <c r="AF91" s="12" t="n"/>
      <c r="AG91" s="12" t="n">
        <v>0</v>
      </c>
      <c r="AH91" s="12" t="n"/>
      <c r="AI91" s="12" t="n">
        <v>59</v>
      </c>
      <c r="AJ91" s="12" t="n"/>
      <c r="AK91" s="12" t="inlineStr">
        <is>
          <t>DEMO_GMAO.xlsx</t>
        </is>
      </c>
      <c r="AL91" s="24" t="n">
        <v>46309.625</v>
      </c>
    </row>
    <row r="92">
      <c r="A92" s="12" t="inlineStr">
        <is>
          <t>910000059</t>
        </is>
      </c>
      <c r="B92" s="12" t="n"/>
      <c r="C92" s="12" t="inlineStr">
        <is>
          <t>SVI</t>
        </is>
      </c>
      <c r="D92" s="12" t="inlineStr">
        <is>
          <t>AA4</t>
        </is>
      </c>
      <c r="E92" s="12" t="inlineStr">
        <is>
          <t>G-I-DDE30</t>
        </is>
      </c>
      <c r="F92" s="12" t="inlineStr">
        <is>
          <t>G-I-DDE30</t>
        </is>
      </c>
      <c r="G92" s="12" t="inlineStr">
        <is>
          <t>G-I-DDE30-VAN01</t>
        </is>
      </c>
      <c r="H92" s="12" t="inlineStr">
        <is>
          <t>Équipement fictif G-I-DDE30-VAN01</t>
        </is>
      </c>
      <c r="I92" s="12" t="inlineStr">
        <is>
          <t>Maintenance préventive fictive EC+PIS - poste G-I-DDE30</t>
        </is>
      </c>
      <c r="J92" s="23" t="n">
        <v>46244</v>
      </c>
      <c r="K92" s="12" t="n">
        <v>2026</v>
      </c>
      <c r="L92" s="12" t="inlineStr">
        <is>
          <t>EC+PIS</t>
        </is>
      </c>
      <c r="M92" s="12" t="inlineStr">
        <is>
          <t>EC</t>
        </is>
      </c>
      <c r="N92" s="12" t="inlineStr">
        <is>
          <t>PIQUAGE</t>
        </is>
      </c>
      <c r="O92" s="12" t="inlineStr">
        <is>
          <t>ACTI</t>
        </is>
      </c>
      <c r="P92" s="12" t="inlineStr">
        <is>
          <t>STAT_SYS_A</t>
        </is>
      </c>
      <c r="Q92" s="12" t="inlineStr">
        <is>
          <t>EQ-DDE30-07</t>
        </is>
      </c>
      <c r="R92" s="23" t="n">
        <v>46191</v>
      </c>
      <c r="S92" s="23" t="n">
        <v>46216</v>
      </c>
      <c r="T92" s="12" t="inlineStr">
        <is>
          <t>Poste fictif Zeta II</t>
        </is>
      </c>
      <c r="U92" s="12" t="inlineStr">
        <is>
          <t>SVI</t>
        </is>
      </c>
      <c r="V92" s="12" t="inlineStr">
        <is>
          <t>AA4</t>
        </is>
      </c>
      <c r="W92" s="12" t="inlineStr">
        <is>
          <t>ZPR2</t>
        </is>
      </c>
      <c r="X92" s="12" t="inlineStr">
        <is>
          <t>PRE</t>
        </is>
      </c>
      <c r="Y92" s="12" t="n"/>
      <c r="Z92" s="12" t="inlineStr">
        <is>
          <t>USER03</t>
        </is>
      </c>
      <c r="AA92" s="12" t="n">
        <v>1248.1</v>
      </c>
      <c r="AB92" s="12" t="inlineStr">
        <is>
          <t>AA4</t>
        </is>
      </c>
      <c r="AC92" s="12" t="inlineStr">
        <is>
          <t>GG-PREV</t>
        </is>
      </c>
      <c r="AD92" s="12" t="inlineStr">
        <is>
          <t>2</t>
        </is>
      </c>
      <c r="AE92" s="12" t="inlineStr">
        <is>
          <t>Code site</t>
        </is>
      </c>
      <c r="AF92" s="12" t="n"/>
      <c r="AG92" s="12" t="n">
        <v>1</v>
      </c>
      <c r="AH92" s="12" t="n"/>
      <c r="AI92" s="12" t="n">
        <v>60</v>
      </c>
      <c r="AJ92" s="12" t="n"/>
      <c r="AK92" s="12" t="inlineStr">
        <is>
          <t>DEMO_GMAO.xlsx</t>
        </is>
      </c>
      <c r="AL92" s="24" t="n">
        <v>46309.625</v>
      </c>
    </row>
    <row r="93">
      <c r="A93" s="12" t="inlineStr">
        <is>
          <t>910000059</t>
        </is>
      </c>
      <c r="B93" s="12" t="n"/>
      <c r="C93" s="12" t="inlineStr">
        <is>
          <t>SVI</t>
        </is>
      </c>
      <c r="D93" s="12" t="inlineStr">
        <is>
          <t>AA4</t>
        </is>
      </c>
      <c r="E93" s="12" t="inlineStr">
        <is>
          <t>G-I-DDE30</t>
        </is>
      </c>
      <c r="F93" s="12" t="inlineStr">
        <is>
          <t>G-I-DDE30</t>
        </is>
      </c>
      <c r="G93" s="12" t="inlineStr">
        <is>
          <t>G-I-DDE30-VAN01</t>
        </is>
      </c>
      <c r="H93" s="12" t="inlineStr">
        <is>
          <t>Équipement fictif G-I-DDE30-VAN01</t>
        </is>
      </c>
      <c r="I93" s="12" t="inlineStr">
        <is>
          <t>Maintenance préventive fictive EC+PIS - poste G-I-DDE30</t>
        </is>
      </c>
      <c r="J93" s="23" t="n">
        <v>46244</v>
      </c>
      <c r="K93" s="12" t="n">
        <v>2026</v>
      </c>
      <c r="L93" s="12" t="inlineStr">
        <is>
          <t>EC+PIS</t>
        </is>
      </c>
      <c r="M93" s="12" t="inlineStr">
        <is>
          <t>PIS</t>
        </is>
      </c>
      <c r="N93" s="12" t="inlineStr">
        <is>
          <t>PIQUAGE</t>
        </is>
      </c>
      <c r="O93" s="12" t="inlineStr">
        <is>
          <t>ACTI</t>
        </is>
      </c>
      <c r="P93" s="12" t="inlineStr">
        <is>
          <t>STAT_SYS_A</t>
        </is>
      </c>
      <c r="Q93" s="12" t="inlineStr">
        <is>
          <t>EQ-DDE30-07</t>
        </is>
      </c>
      <c r="R93" s="23" t="n">
        <v>46191</v>
      </c>
      <c r="S93" s="23" t="n">
        <v>46216</v>
      </c>
      <c r="T93" s="12" t="inlineStr">
        <is>
          <t>Poste fictif Zeta II</t>
        </is>
      </c>
      <c r="U93" s="12" t="inlineStr">
        <is>
          <t>SVI</t>
        </is>
      </c>
      <c r="V93" s="12" t="inlineStr">
        <is>
          <t>AA4</t>
        </is>
      </c>
      <c r="W93" s="12" t="inlineStr">
        <is>
          <t>ZPR2</t>
        </is>
      </c>
      <c r="X93" s="12" t="inlineStr">
        <is>
          <t>PRE</t>
        </is>
      </c>
      <c r="Y93" s="12" t="n"/>
      <c r="Z93" s="12" t="inlineStr">
        <is>
          <t>USER03</t>
        </is>
      </c>
      <c r="AA93" s="12" t="n">
        <v>1248.1</v>
      </c>
      <c r="AB93" s="12" t="inlineStr">
        <is>
          <t>AA4</t>
        </is>
      </c>
      <c r="AC93" s="12" t="inlineStr">
        <is>
          <t>GG-PREV</t>
        </is>
      </c>
      <c r="AD93" s="12" t="inlineStr">
        <is>
          <t>2</t>
        </is>
      </c>
      <c r="AE93" s="12" t="inlineStr">
        <is>
          <t>Code site</t>
        </is>
      </c>
      <c r="AF93" s="12" t="n"/>
      <c r="AG93" s="12" t="n">
        <v>0</v>
      </c>
      <c r="AH93" s="12" t="n"/>
      <c r="AI93" s="12" t="n">
        <v>60</v>
      </c>
      <c r="AJ93" s="12" t="n"/>
      <c r="AK93" s="12" t="inlineStr">
        <is>
          <t>DEMO_GMAO.xlsx</t>
        </is>
      </c>
      <c r="AL93" s="24" t="n">
        <v>46309.625</v>
      </c>
    </row>
    <row r="94">
      <c r="A94" s="12" t="inlineStr">
        <is>
          <t>910000060</t>
        </is>
      </c>
      <c r="B94" s="12" t="n"/>
      <c r="C94" s="12" t="inlineStr">
        <is>
          <t>SVI</t>
        </is>
      </c>
      <c r="D94" s="12" t="inlineStr">
        <is>
          <t>AA4</t>
        </is>
      </c>
      <c r="E94" s="12" t="inlineStr">
        <is>
          <t>G-I-DDE30</t>
        </is>
      </c>
      <c r="F94" s="12" t="inlineStr">
        <is>
          <t>G-I-DDE30</t>
        </is>
      </c>
      <c r="G94" s="12" t="inlineStr">
        <is>
          <t>G-I-DDE30-VAN01</t>
        </is>
      </c>
      <c r="H94" s="12" t="inlineStr">
        <is>
          <t>Équipement fictif G-I-DDE30-VAN01</t>
        </is>
      </c>
      <c r="I94" s="12" t="inlineStr">
        <is>
          <t>Maintenance préventive fictive PIS - poste G-I-DDE30</t>
        </is>
      </c>
      <c r="J94" s="23" t="n">
        <v>46406</v>
      </c>
      <c r="K94" s="12" t="n">
        <v>2027</v>
      </c>
      <c r="L94" s="12" t="inlineStr">
        <is>
          <t>PIS</t>
        </is>
      </c>
      <c r="M94" s="12" t="inlineStr">
        <is>
          <t>PIS</t>
        </is>
      </c>
      <c r="N94" s="12" t="inlineStr">
        <is>
          <t>PIQUAGE</t>
        </is>
      </c>
      <c r="O94" s="12" t="inlineStr">
        <is>
          <t>TERM</t>
        </is>
      </c>
      <c r="P94" s="12" t="inlineStr">
        <is>
          <t>STAT_SYS_A</t>
        </is>
      </c>
      <c r="Q94" s="12" t="inlineStr">
        <is>
          <t>EQ-DDE30-01</t>
        </is>
      </c>
      <c r="R94" s="23" t="n">
        <v>46340</v>
      </c>
      <c r="S94" s="23" t="n">
        <v>46399</v>
      </c>
      <c r="T94" s="12" t="inlineStr">
        <is>
          <t>Poste fictif Zeta II</t>
        </is>
      </c>
      <c r="U94" s="12" t="inlineStr">
        <is>
          <t>SVI</t>
        </is>
      </c>
      <c r="V94" s="12" t="inlineStr">
        <is>
          <t>AA4</t>
        </is>
      </c>
      <c r="W94" s="12" t="inlineStr">
        <is>
          <t>ZPR2</t>
        </is>
      </c>
      <c r="X94" s="12" t="inlineStr">
        <is>
          <t>PRE</t>
        </is>
      </c>
      <c r="Y94" s="12" t="n"/>
      <c r="Z94" s="12" t="inlineStr">
        <is>
          <t>USER01</t>
        </is>
      </c>
      <c r="AA94" s="12" t="n">
        <v>1411.16</v>
      </c>
      <c r="AB94" s="12" t="inlineStr">
        <is>
          <t>AA4</t>
        </is>
      </c>
      <c r="AC94" s="12" t="inlineStr">
        <is>
          <t>GG-PREV</t>
        </is>
      </c>
      <c r="AD94" s="12" t="inlineStr">
        <is>
          <t>1</t>
        </is>
      </c>
      <c r="AE94" s="12" t="inlineStr">
        <is>
          <t>Code site</t>
        </is>
      </c>
      <c r="AF94" s="12" t="n"/>
      <c r="AG94" s="12" t="n">
        <v>1</v>
      </c>
      <c r="AH94" s="12" t="n"/>
      <c r="AI94" s="12" t="n">
        <v>61</v>
      </c>
      <c r="AJ94" s="12" t="n"/>
      <c r="AK94" s="12" t="inlineStr">
        <is>
          <t>DEMO_GMAO.xlsx</t>
        </is>
      </c>
      <c r="AL94" s="24" t="n">
        <v>46309.625</v>
      </c>
    </row>
    <row r="95">
      <c r="A95" s="12" t="inlineStr">
        <is>
          <t>910000061</t>
        </is>
      </c>
      <c r="B95" s="12" t="n"/>
      <c r="C95" s="12" t="inlineStr">
        <is>
          <t>SVI</t>
        </is>
      </c>
      <c r="D95" s="12" t="inlineStr">
        <is>
          <t>AA4</t>
        </is>
      </c>
      <c r="E95" s="12" t="inlineStr">
        <is>
          <t>G-I-DDE30</t>
        </is>
      </c>
      <c r="F95" s="12" t="inlineStr">
        <is>
          <t>G-I-DDE30</t>
        </is>
      </c>
      <c r="G95" s="12" t="inlineStr">
        <is>
          <t>G-I-DDE30-VAN01</t>
        </is>
      </c>
      <c r="H95" s="12" t="inlineStr">
        <is>
          <t>Équipement fictif G-I-DDE30-VAN01</t>
        </is>
      </c>
      <c r="I95" s="12" t="inlineStr">
        <is>
          <t>Maintenance préventive fictive REV - poste G-I-DDE30</t>
        </is>
      </c>
      <c r="J95" s="23" t="n">
        <v>46583</v>
      </c>
      <c r="K95" s="12" t="n">
        <v>2027</v>
      </c>
      <c r="L95" s="12" t="inlineStr">
        <is>
          <t>REV</t>
        </is>
      </c>
      <c r="M95" s="12" t="inlineStr">
        <is>
          <t>REV</t>
        </is>
      </c>
      <c r="N95" s="12" t="inlineStr">
        <is>
          <t>PIQUAGE</t>
        </is>
      </c>
      <c r="O95" s="12" t="inlineStr">
        <is>
          <t>ACTI</t>
        </is>
      </c>
      <c r="P95" s="12" t="inlineStr">
        <is>
          <t>STAT_SYS_A</t>
        </is>
      </c>
      <c r="Q95" s="12" t="inlineStr">
        <is>
          <t>EQ-DDE30-05</t>
        </is>
      </c>
      <c r="R95" s="23" t="n">
        <v>46514</v>
      </c>
      <c r="S95" s="23" t="n">
        <v>46573</v>
      </c>
      <c r="T95" s="12" t="inlineStr">
        <is>
          <t>Poste fictif Zeta II</t>
        </is>
      </c>
      <c r="U95" s="12" t="inlineStr">
        <is>
          <t>SVI</t>
        </is>
      </c>
      <c r="V95" s="12" t="inlineStr">
        <is>
          <t>AA4</t>
        </is>
      </c>
      <c r="W95" s="12" t="inlineStr">
        <is>
          <t>ZPR2</t>
        </is>
      </c>
      <c r="X95" s="12" t="inlineStr">
        <is>
          <t>PRE</t>
        </is>
      </c>
      <c r="Y95" s="12" t="n"/>
      <c r="Z95" s="12" t="inlineStr">
        <is>
          <t>USER03</t>
        </is>
      </c>
      <c r="AA95" s="12" t="n">
        <v>756.72</v>
      </c>
      <c r="AB95" s="12" t="inlineStr">
        <is>
          <t>AA4</t>
        </is>
      </c>
      <c r="AC95" s="12" t="inlineStr">
        <is>
          <t>GG-PREV</t>
        </is>
      </c>
      <c r="AD95" s="12" t="inlineStr">
        <is>
          <t>3</t>
        </is>
      </c>
      <c r="AE95" s="12" t="inlineStr">
        <is>
          <t>Code site</t>
        </is>
      </c>
      <c r="AF95" s="12" t="n"/>
      <c r="AG95" s="12" t="n">
        <v>1</v>
      </c>
      <c r="AH95" s="12" t="n"/>
      <c r="AI95" s="12" t="n">
        <v>62</v>
      </c>
      <c r="AJ95" s="12" t="n"/>
      <c r="AK95" s="12" t="inlineStr">
        <is>
          <t>DEMO_GMAO.xlsx</t>
        </is>
      </c>
      <c r="AL95" s="24" t="n">
        <v>46309.625</v>
      </c>
    </row>
    <row r="96">
      <c r="A96" s="12" t="inlineStr">
        <is>
          <t>910000062</t>
        </is>
      </c>
      <c r="B96" s="12" t="n"/>
      <c r="C96" s="12" t="inlineStr">
        <is>
          <t>DEI</t>
        </is>
      </c>
      <c r="D96" s="12" t="inlineStr">
        <is>
          <t>AA1</t>
        </is>
      </c>
      <c r="E96" s="12" t="inlineStr">
        <is>
          <t>G-I-EEF31</t>
        </is>
      </c>
      <c r="F96" s="12" t="inlineStr">
        <is>
          <t>G-I-EEF31</t>
        </is>
      </c>
      <c r="G96" s="12" t="inlineStr">
        <is>
          <t>G-I-EEF31-FILT01</t>
        </is>
      </c>
      <c r="H96" s="12" t="inlineStr">
        <is>
          <t>Équipement fictif G-I-EEF31-FILT01</t>
        </is>
      </c>
      <c r="I96" s="12" t="inlineStr">
        <is>
          <t>Maintenance préventive fictive PIS - poste G-I-EEF31</t>
        </is>
      </c>
      <c r="J96" s="23" t="n">
        <v>46089</v>
      </c>
      <c r="K96" s="12" t="n">
        <v>2026</v>
      </c>
      <c r="L96" s="12" t="inlineStr">
        <is>
          <t>PIS</t>
        </is>
      </c>
      <c r="M96" s="12" t="inlineStr">
        <is>
          <t>PIS</t>
        </is>
      </c>
      <c r="N96" s="12" t="inlineStr">
        <is>
          <t>COMPTAGE</t>
        </is>
      </c>
      <c r="O96" s="12" t="inlineStr">
        <is>
          <t>ACTI</t>
        </is>
      </c>
      <c r="P96" s="12" t="inlineStr">
        <is>
          <t>STAT_SYS_A</t>
        </is>
      </c>
      <c r="Q96" s="12" t="inlineStr">
        <is>
          <t>EQ-EEF31-09</t>
        </is>
      </c>
      <c r="R96" s="23" t="n">
        <v>46041</v>
      </c>
      <c r="S96" s="23" t="n">
        <v>46077</v>
      </c>
      <c r="T96" s="12" t="inlineStr">
        <is>
          <t>Poste fictif Eta II</t>
        </is>
      </c>
      <c r="U96" s="12" t="inlineStr">
        <is>
          <t>DEI</t>
        </is>
      </c>
      <c r="V96" s="12" t="inlineStr">
        <is>
          <t>AA1</t>
        </is>
      </c>
      <c r="W96" s="12" t="inlineStr">
        <is>
          <t>ZPR2</t>
        </is>
      </c>
      <c r="X96" s="12" t="inlineStr">
        <is>
          <t>PRE</t>
        </is>
      </c>
      <c r="Y96" s="12" t="n"/>
      <c r="Z96" s="12" t="inlineStr">
        <is>
          <t>USER02</t>
        </is>
      </c>
      <c r="AA96" s="12" t="n">
        <v>1494.35</v>
      </c>
      <c r="AB96" s="12" t="inlineStr">
        <is>
          <t>AA1</t>
        </is>
      </c>
      <c r="AC96" s="12" t="inlineStr">
        <is>
          <t>GG-PREV</t>
        </is>
      </c>
      <c r="AD96" s="12" t="inlineStr">
        <is>
          <t>1</t>
        </is>
      </c>
      <c r="AE96" s="12" t="inlineStr">
        <is>
          <t>Code site</t>
        </is>
      </c>
      <c r="AF96" s="12" t="n"/>
      <c r="AG96" s="12" t="n">
        <v>1</v>
      </c>
      <c r="AH96" s="12" t="n"/>
      <c r="AI96" s="12" t="n">
        <v>63</v>
      </c>
      <c r="AJ96" s="12" t="n"/>
      <c r="AK96" s="12" t="inlineStr">
        <is>
          <t>DEMO_GMAO.xlsx</t>
        </is>
      </c>
      <c r="AL96" s="24" t="n">
        <v>46309.625</v>
      </c>
    </row>
    <row r="97">
      <c r="A97" s="12" t="inlineStr">
        <is>
          <t>910000063</t>
        </is>
      </c>
      <c r="B97" s="12" t="n"/>
      <c r="C97" s="12" t="inlineStr">
        <is>
          <t>DEI</t>
        </is>
      </c>
      <c r="D97" s="12" t="inlineStr">
        <is>
          <t>AA1</t>
        </is>
      </c>
      <c r="E97" s="12" t="inlineStr">
        <is>
          <t>G-I-EEF31</t>
        </is>
      </c>
      <c r="F97" s="12" t="inlineStr">
        <is>
          <t>G-I-EEF31</t>
        </is>
      </c>
      <c r="G97" s="12" t="inlineStr">
        <is>
          <t>G-I-EEF31-FILT01</t>
        </is>
      </c>
      <c r="H97" s="12" t="inlineStr">
        <is>
          <t>Équipement fictif G-I-EEF31-FILT01</t>
        </is>
      </c>
      <c r="I97" s="12" t="inlineStr">
        <is>
          <t>Maintenance préventive fictive EC+FILTRE - poste G-I-EEF31</t>
        </is>
      </c>
      <c r="J97" s="23" t="n">
        <v>46652</v>
      </c>
      <c r="K97" s="12" t="n">
        <v>2027</v>
      </c>
      <c r="L97" s="12" t="inlineStr">
        <is>
          <t>EC+FILTRE</t>
        </is>
      </c>
      <c r="M97" s="12" t="inlineStr">
        <is>
          <t>EC</t>
        </is>
      </c>
      <c r="N97" s="12" t="inlineStr">
        <is>
          <t>COMPTAGE</t>
        </is>
      </c>
      <c r="O97" s="12" t="inlineStr">
        <is>
          <t>TERM</t>
        </is>
      </c>
      <c r="P97" s="12" t="inlineStr">
        <is>
          <t>STAT_SYS_A</t>
        </is>
      </c>
      <c r="Q97" s="12" t="inlineStr">
        <is>
          <t>EQ-EEF31-05</t>
        </is>
      </c>
      <c r="R97" s="23" t="n">
        <v>46590</v>
      </c>
      <c r="S97" s="23" t="n">
        <v>46641</v>
      </c>
      <c r="T97" s="12" t="inlineStr">
        <is>
          <t>Poste fictif Eta II</t>
        </is>
      </c>
      <c r="U97" s="12" t="inlineStr">
        <is>
          <t>DEI</t>
        </is>
      </c>
      <c r="V97" s="12" t="inlineStr">
        <is>
          <t>AA1</t>
        </is>
      </c>
      <c r="W97" s="12" t="inlineStr">
        <is>
          <t>ZPR2</t>
        </is>
      </c>
      <c r="X97" s="12" t="inlineStr">
        <is>
          <t>PRE</t>
        </is>
      </c>
      <c r="Y97" s="12" t="n"/>
      <c r="Z97" s="12" t="inlineStr">
        <is>
          <t>USER01</t>
        </is>
      </c>
      <c r="AA97" s="12" t="n">
        <v>1138.5</v>
      </c>
      <c r="AB97" s="12" t="inlineStr">
        <is>
          <t>AA1</t>
        </is>
      </c>
      <c r="AC97" s="12" t="inlineStr">
        <is>
          <t>GG-PREV</t>
        </is>
      </c>
      <c r="AD97" s="12" t="inlineStr">
        <is>
          <t>3</t>
        </is>
      </c>
      <c r="AE97" s="12" t="inlineStr">
        <is>
          <t>Code site</t>
        </is>
      </c>
      <c r="AF97" s="12" t="n"/>
      <c r="AG97" s="12" t="n">
        <v>1</v>
      </c>
      <c r="AH97" s="12" t="n"/>
      <c r="AI97" s="12" t="n">
        <v>64</v>
      </c>
      <c r="AJ97" s="12" t="n"/>
      <c r="AK97" s="12" t="inlineStr">
        <is>
          <t>DEMO_GMAO.xlsx</t>
        </is>
      </c>
      <c r="AL97" s="24" t="n">
        <v>46309.625</v>
      </c>
    </row>
    <row r="98">
      <c r="A98" s="12" t="inlineStr">
        <is>
          <t>910000063</t>
        </is>
      </c>
      <c r="B98" s="12" t="n"/>
      <c r="C98" s="12" t="inlineStr">
        <is>
          <t>DEI</t>
        </is>
      </c>
      <c r="D98" s="12" t="inlineStr">
        <is>
          <t>AA1</t>
        </is>
      </c>
      <c r="E98" s="12" t="inlineStr">
        <is>
          <t>G-I-EEF31</t>
        </is>
      </c>
      <c r="F98" s="12" t="inlineStr">
        <is>
          <t>G-I-EEF31</t>
        </is>
      </c>
      <c r="G98" s="12" t="inlineStr">
        <is>
          <t>G-I-EEF31-FILT01</t>
        </is>
      </c>
      <c r="H98" s="12" t="inlineStr">
        <is>
          <t>Équipement fictif G-I-EEF31-FILT01</t>
        </is>
      </c>
      <c r="I98" s="12" t="inlineStr">
        <is>
          <t>Maintenance préventive fictive EC+FILTRE - poste G-I-EEF31</t>
        </is>
      </c>
      <c r="J98" s="23" t="n">
        <v>46652</v>
      </c>
      <c r="K98" s="12" t="n">
        <v>2027</v>
      </c>
      <c r="L98" s="12" t="inlineStr">
        <is>
          <t>EC+FILTRE</t>
        </is>
      </c>
      <c r="M98" s="12" t="inlineStr">
        <is>
          <t>FILTRE</t>
        </is>
      </c>
      <c r="N98" s="12" t="inlineStr">
        <is>
          <t>COMPTAGE</t>
        </is>
      </c>
      <c r="O98" s="12" t="inlineStr">
        <is>
          <t>TERM</t>
        </is>
      </c>
      <c r="P98" s="12" t="inlineStr">
        <is>
          <t>STAT_SYS_A</t>
        </is>
      </c>
      <c r="Q98" s="12" t="inlineStr">
        <is>
          <t>EQ-EEF31-05</t>
        </is>
      </c>
      <c r="R98" s="23" t="n">
        <v>46590</v>
      </c>
      <c r="S98" s="23" t="n">
        <v>46641</v>
      </c>
      <c r="T98" s="12" t="inlineStr">
        <is>
          <t>Poste fictif Eta II</t>
        </is>
      </c>
      <c r="U98" s="12" t="inlineStr">
        <is>
          <t>DEI</t>
        </is>
      </c>
      <c r="V98" s="12" t="inlineStr">
        <is>
          <t>AA1</t>
        </is>
      </c>
      <c r="W98" s="12" t="inlineStr">
        <is>
          <t>ZPR2</t>
        </is>
      </c>
      <c r="X98" s="12" t="inlineStr">
        <is>
          <t>PRE</t>
        </is>
      </c>
      <c r="Y98" s="12" t="n"/>
      <c r="Z98" s="12" t="inlineStr">
        <is>
          <t>USER01</t>
        </is>
      </c>
      <c r="AA98" s="12" t="n">
        <v>1138.5</v>
      </c>
      <c r="AB98" s="12" t="inlineStr">
        <is>
          <t>AA1</t>
        </is>
      </c>
      <c r="AC98" s="12" t="inlineStr">
        <is>
          <t>GG-PREV</t>
        </is>
      </c>
      <c r="AD98" s="12" t="inlineStr">
        <is>
          <t>3</t>
        </is>
      </c>
      <c r="AE98" s="12" t="inlineStr">
        <is>
          <t>Code site</t>
        </is>
      </c>
      <c r="AF98" s="12" t="n"/>
      <c r="AG98" s="12" t="n">
        <v>0</v>
      </c>
      <c r="AH98" s="12" t="n"/>
      <c r="AI98" s="12" t="n">
        <v>64</v>
      </c>
      <c r="AJ98" s="12" t="n"/>
      <c r="AK98" s="12" t="inlineStr">
        <is>
          <t>DEMO_GMAO.xlsx</t>
        </is>
      </c>
      <c r="AL98" s="24" t="n">
        <v>46309.625</v>
      </c>
    </row>
    <row r="99">
      <c r="A99" s="12" t="inlineStr">
        <is>
          <t>910000064</t>
        </is>
      </c>
      <c r="B99" s="12" t="n"/>
      <c r="C99" s="12" t="inlineStr">
        <is>
          <t>VRS</t>
        </is>
      </c>
      <c r="D99" s="12" t="inlineStr">
        <is>
          <t>AA3</t>
        </is>
      </c>
      <c r="E99" s="12" t="inlineStr">
        <is>
          <t>G-I-FFG32</t>
        </is>
      </c>
      <c r="F99" s="12" t="inlineStr">
        <is>
          <t>G-I-FFG32</t>
        </is>
      </c>
      <c r="G99" s="12" t="inlineStr">
        <is>
          <t>G-I-FFG32-SEC01</t>
        </is>
      </c>
      <c r="H99" s="12" t="inlineStr">
        <is>
          <t>Équipement fictif G-I-FFG32-SEC01</t>
        </is>
      </c>
      <c r="I99" s="12" t="inlineStr">
        <is>
          <t>Maintenance préventive fictive PIS - poste G-I-FFG32</t>
        </is>
      </c>
      <c r="J99" s="23" t="n">
        <v>46177</v>
      </c>
      <c r="K99" s="12" t="n">
        <v>2026</v>
      </c>
      <c r="L99" s="12" t="inlineStr">
        <is>
          <t>PIS</t>
        </is>
      </c>
      <c r="M99" s="12" t="inlineStr">
        <is>
          <t>PIS</t>
        </is>
      </c>
      <c r="N99" s="12" t="inlineStr">
        <is>
          <t>PIQUAGE</t>
        </is>
      </c>
      <c r="O99" s="12" t="inlineStr">
        <is>
          <t>ACTI</t>
        </is>
      </c>
      <c r="P99" s="12" t="inlineStr">
        <is>
          <t>STAT_SYS_A</t>
        </is>
      </c>
      <c r="Q99" s="12" t="inlineStr">
        <is>
          <t>EQ-FFG32-03</t>
        </is>
      </c>
      <c r="R99" s="23" t="n">
        <v>46091</v>
      </c>
      <c r="S99" s="23" t="n">
        <v>46163</v>
      </c>
      <c r="T99" s="12" t="inlineStr">
        <is>
          <t>Poste fictif Theta II</t>
        </is>
      </c>
      <c r="U99" s="12" t="inlineStr">
        <is>
          <t>VRS</t>
        </is>
      </c>
      <c r="V99" s="12" t="inlineStr">
        <is>
          <t>AA3</t>
        </is>
      </c>
      <c r="W99" s="12" t="inlineStr">
        <is>
          <t>ZPR2</t>
        </is>
      </c>
      <c r="X99" s="12" t="inlineStr">
        <is>
          <t>PRE</t>
        </is>
      </c>
      <c r="Y99" s="12" t="n"/>
      <c r="Z99" s="12" t="inlineStr">
        <is>
          <t>USER01</t>
        </is>
      </c>
      <c r="AA99" s="12" t="n">
        <v>330.49</v>
      </c>
      <c r="AB99" s="12" t="inlineStr">
        <is>
          <t>AA3</t>
        </is>
      </c>
      <c r="AC99" s="12" t="inlineStr">
        <is>
          <t>GG-PREV</t>
        </is>
      </c>
      <c r="AD99" s="12" t="inlineStr">
        <is>
          <t>1</t>
        </is>
      </c>
      <c r="AE99" s="12" t="inlineStr">
        <is>
          <t>Code site</t>
        </is>
      </c>
      <c r="AF99" s="12" t="n"/>
      <c r="AG99" s="12" t="n">
        <v>1</v>
      </c>
      <c r="AH99" s="12" t="n"/>
      <c r="AI99" s="12" t="n">
        <v>65</v>
      </c>
      <c r="AJ99" s="12" t="n"/>
      <c r="AK99" s="12" t="inlineStr">
        <is>
          <t>DEMO_GMAO.xlsx</t>
        </is>
      </c>
      <c r="AL99" s="24" t="n">
        <v>46309.625</v>
      </c>
    </row>
    <row r="100">
      <c r="A100" s="12" t="inlineStr">
        <is>
          <t>910000065</t>
        </is>
      </c>
      <c r="B100" s="12" t="n"/>
      <c r="C100" s="12" t="inlineStr">
        <is>
          <t>VRS</t>
        </is>
      </c>
      <c r="D100" s="12" t="inlineStr">
        <is>
          <t>AA3</t>
        </is>
      </c>
      <c r="E100" s="12" t="inlineStr">
        <is>
          <t>G-I-FFG32</t>
        </is>
      </c>
      <c r="F100" s="12" t="inlineStr">
        <is>
          <t>G-I-FFG32</t>
        </is>
      </c>
      <c r="G100" s="12" t="inlineStr">
        <is>
          <t>G-I-FFG32-SEC01</t>
        </is>
      </c>
      <c r="H100" s="12" t="inlineStr">
        <is>
          <t>Équipement fictif G-I-FFG32-SEC01</t>
        </is>
      </c>
      <c r="I100" s="12" t="inlineStr">
        <is>
          <t>Maintenance préventive fictive EC+PIS - poste G-I-FFG32</t>
        </is>
      </c>
      <c r="J100" s="23" t="n">
        <v>46434</v>
      </c>
      <c r="K100" s="12" t="n">
        <v>2027</v>
      </c>
      <c r="L100" s="12" t="inlineStr">
        <is>
          <t>EC+PIS</t>
        </is>
      </c>
      <c r="M100" s="12" t="inlineStr">
        <is>
          <t>EC</t>
        </is>
      </c>
      <c r="N100" s="12" t="inlineStr">
        <is>
          <t>PIQUAGE</t>
        </is>
      </c>
      <c r="O100" s="12" t="inlineStr">
        <is>
          <t>TERM</t>
        </is>
      </c>
      <c r="P100" s="12" t="inlineStr">
        <is>
          <t>STAT_SYS_A</t>
        </is>
      </c>
      <c r="Q100" s="12" t="inlineStr">
        <is>
          <t>EQ-FFG32-01</t>
        </is>
      </c>
      <c r="R100" s="23" t="n">
        <v>46389</v>
      </c>
      <c r="S100" s="23" t="n">
        <v>46424</v>
      </c>
      <c r="T100" s="12" t="inlineStr">
        <is>
          <t>Poste fictif Theta II</t>
        </is>
      </c>
      <c r="U100" s="12" t="inlineStr">
        <is>
          <t>VRS</t>
        </is>
      </c>
      <c r="V100" s="12" t="inlineStr">
        <is>
          <t>AA3</t>
        </is>
      </c>
      <c r="W100" s="12" t="inlineStr">
        <is>
          <t>ZPR2</t>
        </is>
      </c>
      <c r="X100" s="12" t="inlineStr">
        <is>
          <t>PRE</t>
        </is>
      </c>
      <c r="Y100" s="12" t="n"/>
      <c r="Z100" s="12" t="inlineStr">
        <is>
          <t>USER03</t>
        </is>
      </c>
      <c r="AA100" s="12" t="n">
        <v>827.62</v>
      </c>
      <c r="AB100" s="12" t="inlineStr">
        <is>
          <t>AA3</t>
        </is>
      </c>
      <c r="AC100" s="12" t="inlineStr">
        <is>
          <t>GG-PREV</t>
        </is>
      </c>
      <c r="AD100" s="12" t="inlineStr">
        <is>
          <t>2</t>
        </is>
      </c>
      <c r="AE100" s="12" t="inlineStr">
        <is>
          <t>Code site</t>
        </is>
      </c>
      <c r="AF100" s="12" t="n"/>
      <c r="AG100" s="12" t="n">
        <v>1</v>
      </c>
      <c r="AH100" s="12" t="n"/>
      <c r="AI100" s="12" t="n">
        <v>66</v>
      </c>
      <c r="AJ100" s="12" t="n"/>
      <c r="AK100" s="12" t="inlineStr">
        <is>
          <t>DEMO_GMAO.xlsx</t>
        </is>
      </c>
      <c r="AL100" s="24" t="n">
        <v>46309.625</v>
      </c>
    </row>
    <row r="101">
      <c r="A101" s="12" t="inlineStr">
        <is>
          <t>910000065</t>
        </is>
      </c>
      <c r="B101" s="12" t="n"/>
      <c r="C101" s="12" t="inlineStr">
        <is>
          <t>VRS</t>
        </is>
      </c>
      <c r="D101" s="12" t="inlineStr">
        <is>
          <t>AA3</t>
        </is>
      </c>
      <c r="E101" s="12" t="inlineStr">
        <is>
          <t>G-I-FFG32</t>
        </is>
      </c>
      <c r="F101" s="12" t="inlineStr">
        <is>
          <t>G-I-FFG32</t>
        </is>
      </c>
      <c r="G101" s="12" t="inlineStr">
        <is>
          <t>G-I-FFG32-SEC01</t>
        </is>
      </c>
      <c r="H101" s="12" t="inlineStr">
        <is>
          <t>Équipement fictif G-I-FFG32-SEC01</t>
        </is>
      </c>
      <c r="I101" s="12" t="inlineStr">
        <is>
          <t>Maintenance préventive fictive EC+PIS - poste G-I-FFG32</t>
        </is>
      </c>
      <c r="J101" s="23" t="n">
        <v>46434</v>
      </c>
      <c r="K101" s="12" t="n">
        <v>2027</v>
      </c>
      <c r="L101" s="12" t="inlineStr">
        <is>
          <t>EC+PIS</t>
        </is>
      </c>
      <c r="M101" s="12" t="inlineStr">
        <is>
          <t>PIS</t>
        </is>
      </c>
      <c r="N101" s="12" t="inlineStr">
        <is>
          <t>PIQUAGE</t>
        </is>
      </c>
      <c r="O101" s="12" t="inlineStr">
        <is>
          <t>TERM</t>
        </is>
      </c>
      <c r="P101" s="12" t="inlineStr">
        <is>
          <t>STAT_SYS_A</t>
        </is>
      </c>
      <c r="Q101" s="12" t="inlineStr">
        <is>
          <t>EQ-FFG32-01</t>
        </is>
      </c>
      <c r="R101" s="23" t="n">
        <v>46389</v>
      </c>
      <c r="S101" s="23" t="n">
        <v>46424</v>
      </c>
      <c r="T101" s="12" t="inlineStr">
        <is>
          <t>Poste fictif Theta II</t>
        </is>
      </c>
      <c r="U101" s="12" t="inlineStr">
        <is>
          <t>VRS</t>
        </is>
      </c>
      <c r="V101" s="12" t="inlineStr">
        <is>
          <t>AA3</t>
        </is>
      </c>
      <c r="W101" s="12" t="inlineStr">
        <is>
          <t>ZPR2</t>
        </is>
      </c>
      <c r="X101" s="12" t="inlineStr">
        <is>
          <t>PRE</t>
        </is>
      </c>
      <c r="Y101" s="12" t="n"/>
      <c r="Z101" s="12" t="inlineStr">
        <is>
          <t>USER03</t>
        </is>
      </c>
      <c r="AA101" s="12" t="n">
        <v>827.62</v>
      </c>
      <c r="AB101" s="12" t="inlineStr">
        <is>
          <t>AA3</t>
        </is>
      </c>
      <c r="AC101" s="12" t="inlineStr">
        <is>
          <t>GG-PREV</t>
        </is>
      </c>
      <c r="AD101" s="12" t="inlineStr">
        <is>
          <t>2</t>
        </is>
      </c>
      <c r="AE101" s="12" t="inlineStr">
        <is>
          <t>Code site</t>
        </is>
      </c>
      <c r="AF101" s="12" t="n"/>
      <c r="AG101" s="12" t="n">
        <v>0</v>
      </c>
      <c r="AH101" s="12" t="n"/>
      <c r="AI101" s="12" t="n">
        <v>66</v>
      </c>
      <c r="AJ101" s="12" t="n"/>
      <c r="AK101" s="12" t="inlineStr">
        <is>
          <t>DEMO_GMAO.xlsx</t>
        </is>
      </c>
      <c r="AL101" s="24" t="n">
        <v>46309.625</v>
      </c>
    </row>
    <row r="102">
      <c r="A102" s="12" t="inlineStr">
        <is>
          <t>910000066</t>
        </is>
      </c>
      <c r="B102" s="12" t="n"/>
      <c r="C102" s="12" t="inlineStr">
        <is>
          <t>SET</t>
        </is>
      </c>
      <c r="D102" s="12" t="inlineStr">
        <is>
          <t>AA3</t>
        </is>
      </c>
      <c r="E102" s="12" t="inlineStr">
        <is>
          <t>G-I-GGH33</t>
        </is>
      </c>
      <c r="F102" s="12" t="inlineStr">
        <is>
          <t>G-I-GGH33</t>
        </is>
      </c>
      <c r="G102" s="12" t="inlineStr">
        <is>
          <t>G-I-GGH33-REG01</t>
        </is>
      </c>
      <c r="H102" s="12" t="inlineStr">
        <is>
          <t>Équipement fictif G-I-GGH33-REG01</t>
        </is>
      </c>
      <c r="I102" s="12" t="inlineStr">
        <is>
          <t>Maintenance préventive fictive REV - poste G-I-GGH33</t>
        </is>
      </c>
      <c r="J102" s="23" t="n">
        <v>46092</v>
      </c>
      <c r="K102" s="12" t="n">
        <v>2026</v>
      </c>
      <c r="L102" s="12" t="inlineStr">
        <is>
          <t>REV</t>
        </is>
      </c>
      <c r="M102" s="12" t="inlineStr">
        <is>
          <t>REV</t>
        </is>
      </c>
      <c r="N102" s="12" t="inlineStr">
        <is>
          <t>DETENTE</t>
        </is>
      </c>
      <c r="O102" s="12" t="inlineStr">
        <is>
          <t>TERM</t>
        </is>
      </c>
      <c r="P102" s="12" t="inlineStr">
        <is>
          <t>STAT_SYS_A</t>
        </is>
      </c>
      <c r="Q102" s="12" t="inlineStr">
        <is>
          <t>EQ-GGH33-04</t>
        </is>
      </c>
      <c r="R102" s="23" t="n">
        <v>46033</v>
      </c>
      <c r="S102" s="23" t="n">
        <v>46069</v>
      </c>
      <c r="T102" s="12" t="inlineStr">
        <is>
          <t>Poste fictif Iota II</t>
        </is>
      </c>
      <c r="U102" s="12" t="inlineStr">
        <is>
          <t>SET</t>
        </is>
      </c>
      <c r="V102" s="12" t="inlineStr">
        <is>
          <t>AA3</t>
        </is>
      </c>
      <c r="W102" s="12" t="inlineStr">
        <is>
          <t>ZPR2</t>
        </is>
      </c>
      <c r="X102" s="12" t="inlineStr">
        <is>
          <t>PRE</t>
        </is>
      </c>
      <c r="Y102" s="12" t="n"/>
      <c r="Z102" s="12" t="inlineStr">
        <is>
          <t>USER01</t>
        </is>
      </c>
      <c r="AA102" s="12" t="n">
        <v>811.8</v>
      </c>
      <c r="AB102" s="12" t="inlineStr">
        <is>
          <t>AA3</t>
        </is>
      </c>
      <c r="AC102" s="12" t="inlineStr">
        <is>
          <t>GG-PREV</t>
        </is>
      </c>
      <c r="AD102" s="12" t="inlineStr">
        <is>
          <t>1</t>
        </is>
      </c>
      <c r="AE102" s="12" t="inlineStr">
        <is>
          <t>Code site</t>
        </is>
      </c>
      <c r="AF102" s="12" t="n"/>
      <c r="AG102" s="12" t="n">
        <v>1</v>
      </c>
      <c r="AH102" s="12" t="n"/>
      <c r="AI102" s="12" t="n">
        <v>67</v>
      </c>
      <c r="AJ102" s="12" t="n"/>
      <c r="AK102" s="12" t="inlineStr">
        <is>
          <t>DEMO_GMAO.xlsx</t>
        </is>
      </c>
      <c r="AL102" s="24" t="n">
        <v>46309.625</v>
      </c>
    </row>
    <row r="103">
      <c r="A103" s="12" t="inlineStr">
        <is>
          <t>910000067</t>
        </is>
      </c>
      <c r="B103" s="12" t="n"/>
      <c r="C103" s="12" t="inlineStr">
        <is>
          <t>SET</t>
        </is>
      </c>
      <c r="D103" s="12" t="inlineStr">
        <is>
          <t>AA3</t>
        </is>
      </c>
      <c r="E103" s="12" t="inlineStr">
        <is>
          <t>G-I-GGH33</t>
        </is>
      </c>
      <c r="F103" s="12" t="inlineStr">
        <is>
          <t>G-I-GGH33</t>
        </is>
      </c>
      <c r="G103" s="12" t="inlineStr">
        <is>
          <t>G-I-GGH33-REG01</t>
        </is>
      </c>
      <c r="H103" s="12" t="inlineStr">
        <is>
          <t>Équipement fictif G-I-GGH33-REG01</t>
        </is>
      </c>
      <c r="I103" s="12" t="inlineStr">
        <is>
          <t>Maintenance préventive fictive EC+PIS - poste G-I-GGH33</t>
        </is>
      </c>
      <c r="J103" s="23" t="n">
        <v>46401</v>
      </c>
      <c r="K103" s="12" t="n">
        <v>2027</v>
      </c>
      <c r="L103" s="12" t="inlineStr">
        <is>
          <t>EC+PIS</t>
        </is>
      </c>
      <c r="M103" s="12" t="inlineStr">
        <is>
          <t>EC</t>
        </is>
      </c>
      <c r="N103" s="12" t="inlineStr">
        <is>
          <t>DETENTE</t>
        </is>
      </c>
      <c r="O103" s="12" t="inlineStr">
        <is>
          <t>ACTI</t>
        </is>
      </c>
      <c r="P103" s="12" t="inlineStr">
        <is>
          <t>STAT_SYS_A</t>
        </is>
      </c>
      <c r="Q103" s="12" t="inlineStr">
        <is>
          <t>EQ-GGH33-03</t>
        </is>
      </c>
      <c r="R103" s="23" t="n">
        <v>46361</v>
      </c>
      <c r="S103" s="23" t="n">
        <v>46374</v>
      </c>
      <c r="T103" s="12" t="inlineStr">
        <is>
          <t>Poste fictif Iota II</t>
        </is>
      </c>
      <c r="U103" s="12" t="inlineStr">
        <is>
          <t>SET</t>
        </is>
      </c>
      <c r="V103" s="12" t="inlineStr">
        <is>
          <t>AA3</t>
        </is>
      </c>
      <c r="W103" s="12" t="inlineStr">
        <is>
          <t>ZPR2</t>
        </is>
      </c>
      <c r="X103" s="12" t="inlineStr">
        <is>
          <t>PRE</t>
        </is>
      </c>
      <c r="Y103" s="12" t="n"/>
      <c r="Z103" s="12" t="inlineStr">
        <is>
          <t>USER03</t>
        </is>
      </c>
      <c r="AA103" s="12" t="n">
        <v>531.78</v>
      </c>
      <c r="AB103" s="12" t="inlineStr">
        <is>
          <t>AA3</t>
        </is>
      </c>
      <c r="AC103" s="12" t="inlineStr">
        <is>
          <t>GG-PREV</t>
        </is>
      </c>
      <c r="AD103" s="12" t="inlineStr">
        <is>
          <t>1</t>
        </is>
      </c>
      <c r="AE103" s="12" t="inlineStr">
        <is>
          <t>Code site</t>
        </is>
      </c>
      <c r="AF103" s="12" t="n"/>
      <c r="AG103" s="12" t="n">
        <v>1</v>
      </c>
      <c r="AH103" s="12" t="n"/>
      <c r="AI103" s="12" t="n">
        <v>68</v>
      </c>
      <c r="AJ103" s="12" t="n"/>
      <c r="AK103" s="12" t="inlineStr">
        <is>
          <t>DEMO_GMAO.xlsx</t>
        </is>
      </c>
      <c r="AL103" s="24" t="n">
        <v>46309.625</v>
      </c>
    </row>
    <row r="104">
      <c r="A104" s="12" t="inlineStr">
        <is>
          <t>910000067</t>
        </is>
      </c>
      <c r="B104" s="12" t="n"/>
      <c r="C104" s="12" t="inlineStr">
        <is>
          <t>SET</t>
        </is>
      </c>
      <c r="D104" s="12" t="inlineStr">
        <is>
          <t>AA3</t>
        </is>
      </c>
      <c r="E104" s="12" t="inlineStr">
        <is>
          <t>G-I-GGH33</t>
        </is>
      </c>
      <c r="F104" s="12" t="inlineStr">
        <is>
          <t>G-I-GGH33</t>
        </is>
      </c>
      <c r="G104" s="12" t="inlineStr">
        <is>
          <t>G-I-GGH33-REG01</t>
        </is>
      </c>
      <c r="H104" s="12" t="inlineStr">
        <is>
          <t>Équipement fictif G-I-GGH33-REG01</t>
        </is>
      </c>
      <c r="I104" s="12" t="inlineStr">
        <is>
          <t>Maintenance préventive fictive EC+PIS - poste G-I-GGH33</t>
        </is>
      </c>
      <c r="J104" s="23" t="n">
        <v>46401</v>
      </c>
      <c r="K104" s="12" t="n">
        <v>2027</v>
      </c>
      <c r="L104" s="12" t="inlineStr">
        <is>
          <t>EC+PIS</t>
        </is>
      </c>
      <c r="M104" s="12" t="inlineStr">
        <is>
          <t>PIS</t>
        </is>
      </c>
      <c r="N104" s="12" t="inlineStr">
        <is>
          <t>DETENTE</t>
        </is>
      </c>
      <c r="O104" s="12" t="inlineStr">
        <is>
          <t>ACTI</t>
        </is>
      </c>
      <c r="P104" s="12" t="inlineStr">
        <is>
          <t>STAT_SYS_A</t>
        </is>
      </c>
      <c r="Q104" s="12" t="inlineStr">
        <is>
          <t>EQ-GGH33-03</t>
        </is>
      </c>
      <c r="R104" s="23" t="n">
        <v>46361</v>
      </c>
      <c r="S104" s="23" t="n">
        <v>46374</v>
      </c>
      <c r="T104" s="12" t="inlineStr">
        <is>
          <t>Poste fictif Iota II</t>
        </is>
      </c>
      <c r="U104" s="12" t="inlineStr">
        <is>
          <t>SET</t>
        </is>
      </c>
      <c r="V104" s="12" t="inlineStr">
        <is>
          <t>AA3</t>
        </is>
      </c>
      <c r="W104" s="12" t="inlineStr">
        <is>
          <t>ZPR2</t>
        </is>
      </c>
      <c r="X104" s="12" t="inlineStr">
        <is>
          <t>PRE</t>
        </is>
      </c>
      <c r="Y104" s="12" t="n"/>
      <c r="Z104" s="12" t="inlineStr">
        <is>
          <t>USER03</t>
        </is>
      </c>
      <c r="AA104" s="12" t="n">
        <v>531.78</v>
      </c>
      <c r="AB104" s="12" t="inlineStr">
        <is>
          <t>AA3</t>
        </is>
      </c>
      <c r="AC104" s="12" t="inlineStr">
        <is>
          <t>GG-PREV</t>
        </is>
      </c>
      <c r="AD104" s="12" t="inlineStr">
        <is>
          <t>1</t>
        </is>
      </c>
      <c r="AE104" s="12" t="inlineStr">
        <is>
          <t>Code site</t>
        </is>
      </c>
      <c r="AF104" s="12" t="n"/>
      <c r="AG104" s="12" t="n">
        <v>0</v>
      </c>
      <c r="AH104" s="12" t="n"/>
      <c r="AI104" s="12" t="n">
        <v>68</v>
      </c>
      <c r="AJ104" s="12" t="n"/>
      <c r="AK104" s="12" t="inlineStr">
        <is>
          <t>DEMO_GMAO.xlsx</t>
        </is>
      </c>
      <c r="AL104" s="24" t="n">
        <v>46309.625</v>
      </c>
    </row>
    <row r="105">
      <c r="A105" s="12" t="inlineStr">
        <is>
          <t>910000068</t>
        </is>
      </c>
      <c r="B105" s="12" t="n"/>
      <c r="C105" s="12" t="inlineStr">
        <is>
          <t>LRO</t>
        </is>
      </c>
      <c r="D105" s="12" t="inlineStr">
        <is>
          <t>AA4</t>
        </is>
      </c>
      <c r="E105" s="12" t="inlineStr">
        <is>
          <t>G-I-HHI34</t>
        </is>
      </c>
      <c r="F105" s="12" t="inlineStr">
        <is>
          <t>G-I-HHI34</t>
        </is>
      </c>
      <c r="G105" s="12" t="inlineStr">
        <is>
          <t>G-I-HHI34-VAN01</t>
        </is>
      </c>
      <c r="H105" s="12" t="inlineStr">
        <is>
          <t>Équipement fictif G-I-HHI34-VAN01</t>
        </is>
      </c>
      <c r="I105" s="12" t="inlineStr">
        <is>
          <t>Maintenance préventive fictive PIS - poste G-I-HHI34</t>
        </is>
      </c>
      <c r="J105" s="23" t="n">
        <v>46125</v>
      </c>
      <c r="K105" s="12" t="n">
        <v>2026</v>
      </c>
      <c r="L105" s="12" t="inlineStr">
        <is>
          <t>PIS</t>
        </is>
      </c>
      <c r="M105" s="12" t="inlineStr">
        <is>
          <t>PIS</t>
        </is>
      </c>
      <c r="N105" s="12" t="inlineStr">
        <is>
          <t>PIQUAGE</t>
        </is>
      </c>
      <c r="O105" s="12" t="inlineStr">
        <is>
          <t>TERM</t>
        </is>
      </c>
      <c r="P105" s="12" t="inlineStr">
        <is>
          <t>STAT_SYS_A</t>
        </is>
      </c>
      <c r="Q105" s="12" t="inlineStr">
        <is>
          <t>EQ-HHI34-02</t>
        </is>
      </c>
      <c r="R105" s="23" t="n">
        <v>46085</v>
      </c>
      <c r="S105" s="23" t="n">
        <v>46105</v>
      </c>
      <c r="T105" s="12" t="inlineStr">
        <is>
          <t>Poste fictif Kappa II</t>
        </is>
      </c>
      <c r="U105" s="12" t="inlineStr">
        <is>
          <t>LRO</t>
        </is>
      </c>
      <c r="V105" s="12" t="inlineStr">
        <is>
          <t>AA4</t>
        </is>
      </c>
      <c r="W105" s="12" t="inlineStr">
        <is>
          <t>ZPR2</t>
        </is>
      </c>
      <c r="X105" s="12" t="inlineStr">
        <is>
          <t>PRE</t>
        </is>
      </c>
      <c r="Y105" s="12" t="n"/>
      <c r="Z105" s="12" t="inlineStr">
        <is>
          <t>USER02</t>
        </is>
      </c>
      <c r="AA105" s="12" t="n">
        <v>1216.8</v>
      </c>
      <c r="AB105" s="12" t="inlineStr">
        <is>
          <t>AA4</t>
        </is>
      </c>
      <c r="AC105" s="12" t="inlineStr">
        <is>
          <t>GG-PREV</t>
        </is>
      </c>
      <c r="AD105" s="12" t="inlineStr">
        <is>
          <t>3</t>
        </is>
      </c>
      <c r="AE105" s="12" t="inlineStr">
        <is>
          <t>Code site</t>
        </is>
      </c>
      <c r="AF105" s="12" t="n"/>
      <c r="AG105" s="12" t="n">
        <v>1</v>
      </c>
      <c r="AH105" s="12" t="n"/>
      <c r="AI105" s="12" t="n">
        <v>69</v>
      </c>
      <c r="AJ105" s="12" t="n"/>
      <c r="AK105" s="12" t="inlineStr">
        <is>
          <t>DEMO_GMAO.xlsx</t>
        </is>
      </c>
      <c r="AL105" s="24" t="n">
        <v>46309.625</v>
      </c>
    </row>
    <row r="106">
      <c r="A106" s="12" t="inlineStr">
        <is>
          <t>910000069</t>
        </is>
      </c>
      <c r="B106" s="12" t="n"/>
      <c r="C106" s="12" t="inlineStr">
        <is>
          <t>RNA</t>
        </is>
      </c>
      <c r="D106" s="12" t="inlineStr">
        <is>
          <t>AA1</t>
        </is>
      </c>
      <c r="E106" s="12" t="inlineStr">
        <is>
          <t>G-I-IIJ35</t>
        </is>
      </c>
      <c r="F106" s="12" t="inlineStr">
        <is>
          <t>G-I-IIJ35</t>
        </is>
      </c>
      <c r="G106" s="12" t="inlineStr">
        <is>
          <t>G-I-IIJ35-FILT01</t>
        </is>
      </c>
      <c r="H106" s="12" t="inlineStr">
        <is>
          <t>Équipement fictif G-I-IIJ35-FILT01</t>
        </is>
      </c>
      <c r="I106" s="12" t="inlineStr">
        <is>
          <t>Maintenance préventive fictive EC+PIS+PILOTAGE+REV+FILTRE - poste G-I-IIJ35</t>
        </is>
      </c>
      <c r="J106" s="23" t="n">
        <v>46323</v>
      </c>
      <c r="K106" s="12" t="n">
        <v>2026</v>
      </c>
      <c r="L106" s="12" t="inlineStr">
        <is>
          <t>EC+PIS+PILOTAGE+REV+FILTRE</t>
        </is>
      </c>
      <c r="M106" s="12" t="inlineStr">
        <is>
          <t>EC</t>
        </is>
      </c>
      <c r="N106" s="12" t="inlineStr">
        <is>
          <t>PIQUAGE</t>
        </is>
      </c>
      <c r="O106" s="12" t="inlineStr">
        <is>
          <t>TERM</t>
        </is>
      </c>
      <c r="P106" s="12" t="inlineStr">
        <is>
          <t>STAT_SYS_A</t>
        </is>
      </c>
      <c r="Q106" s="12" t="inlineStr">
        <is>
          <t>EQ-IIJ35-06</t>
        </is>
      </c>
      <c r="R106" s="23" t="n">
        <v>46250</v>
      </c>
      <c r="S106" s="23" t="n">
        <v>46314</v>
      </c>
      <c r="T106" s="12" t="inlineStr">
        <is>
          <t>Poste fictif Lambda II</t>
        </is>
      </c>
      <c r="U106" s="12" t="inlineStr">
        <is>
          <t>RNA</t>
        </is>
      </c>
      <c r="V106" s="12" t="inlineStr">
        <is>
          <t>AA1</t>
        </is>
      </c>
      <c r="W106" s="12" t="inlineStr">
        <is>
          <t>ZPR2</t>
        </is>
      </c>
      <c r="X106" s="12" t="inlineStr">
        <is>
          <t>PRE</t>
        </is>
      </c>
      <c r="Y106" s="12" t="n"/>
      <c r="Z106" s="12" t="inlineStr">
        <is>
          <t>USER01</t>
        </is>
      </c>
      <c r="AA106" s="12" t="n">
        <v>763.6900000000001</v>
      </c>
      <c r="AB106" s="12" t="inlineStr">
        <is>
          <t>AA1</t>
        </is>
      </c>
      <c r="AC106" s="12" t="inlineStr">
        <is>
          <t>GG-PREV</t>
        </is>
      </c>
      <c r="AD106" s="12" t="inlineStr">
        <is>
          <t>2</t>
        </is>
      </c>
      <c r="AE106" s="12" t="inlineStr">
        <is>
          <t>Code site</t>
        </is>
      </c>
      <c r="AF106" s="12" t="n"/>
      <c r="AG106" s="12" t="n">
        <v>1</v>
      </c>
      <c r="AH106" s="12" t="n"/>
      <c r="AI106" s="12" t="n">
        <v>70</v>
      </c>
      <c r="AJ106" s="12" t="n"/>
      <c r="AK106" s="12" t="inlineStr">
        <is>
          <t>DEMO_GMAO.xlsx</t>
        </is>
      </c>
      <c r="AL106" s="24" t="n">
        <v>46309.625</v>
      </c>
    </row>
    <row r="107">
      <c r="A107" s="12" t="inlineStr">
        <is>
          <t>910000069</t>
        </is>
      </c>
      <c r="B107" s="12" t="n"/>
      <c r="C107" s="12" t="inlineStr">
        <is>
          <t>RNA</t>
        </is>
      </c>
      <c r="D107" s="12" t="inlineStr">
        <is>
          <t>AA1</t>
        </is>
      </c>
      <c r="E107" s="12" t="inlineStr">
        <is>
          <t>G-I-IIJ35</t>
        </is>
      </c>
      <c r="F107" s="12" t="inlineStr">
        <is>
          <t>G-I-IIJ35</t>
        </is>
      </c>
      <c r="G107" s="12" t="inlineStr">
        <is>
          <t>G-I-IIJ35-FILT01</t>
        </is>
      </c>
      <c r="H107" s="12" t="inlineStr">
        <is>
          <t>Équipement fictif G-I-IIJ35-FILT01</t>
        </is>
      </c>
      <c r="I107" s="12" t="inlineStr">
        <is>
          <t>Maintenance préventive fictive EC+PIS+PILOTAGE+REV+FILTRE - poste G-I-IIJ35</t>
        </is>
      </c>
      <c r="J107" s="23" t="n">
        <v>46323</v>
      </c>
      <c r="K107" s="12" t="n">
        <v>2026</v>
      </c>
      <c r="L107" s="12" t="inlineStr">
        <is>
          <t>EC+PIS+PILOTAGE+REV+FILTRE</t>
        </is>
      </c>
      <c r="M107" s="12" t="inlineStr">
        <is>
          <t>PIS</t>
        </is>
      </c>
      <c r="N107" s="12" t="inlineStr">
        <is>
          <t>PIQUAGE</t>
        </is>
      </c>
      <c r="O107" s="12" t="inlineStr">
        <is>
          <t>TERM</t>
        </is>
      </c>
      <c r="P107" s="12" t="inlineStr">
        <is>
          <t>STAT_SYS_A</t>
        </is>
      </c>
      <c r="Q107" s="12" t="inlineStr">
        <is>
          <t>EQ-IIJ35-06</t>
        </is>
      </c>
      <c r="R107" s="23" t="n">
        <v>46250</v>
      </c>
      <c r="S107" s="23" t="n">
        <v>46314</v>
      </c>
      <c r="T107" s="12" t="inlineStr">
        <is>
          <t>Poste fictif Lambda II</t>
        </is>
      </c>
      <c r="U107" s="12" t="inlineStr">
        <is>
          <t>RNA</t>
        </is>
      </c>
      <c r="V107" s="12" t="inlineStr">
        <is>
          <t>AA1</t>
        </is>
      </c>
      <c r="W107" s="12" t="inlineStr">
        <is>
          <t>ZPR2</t>
        </is>
      </c>
      <c r="X107" s="12" t="inlineStr">
        <is>
          <t>PRE</t>
        </is>
      </c>
      <c r="Y107" s="12" t="n"/>
      <c r="Z107" s="12" t="inlineStr">
        <is>
          <t>USER01</t>
        </is>
      </c>
      <c r="AA107" s="12" t="n">
        <v>763.6900000000001</v>
      </c>
      <c r="AB107" s="12" t="inlineStr">
        <is>
          <t>AA1</t>
        </is>
      </c>
      <c r="AC107" s="12" t="inlineStr">
        <is>
          <t>GG-PREV</t>
        </is>
      </c>
      <c r="AD107" s="12" t="inlineStr">
        <is>
          <t>2</t>
        </is>
      </c>
      <c r="AE107" s="12" t="inlineStr">
        <is>
          <t>Code site</t>
        </is>
      </c>
      <c r="AF107" s="12" t="n"/>
      <c r="AG107" s="12" t="n">
        <v>0</v>
      </c>
      <c r="AH107" s="12" t="n"/>
      <c r="AI107" s="12" t="n">
        <v>70</v>
      </c>
      <c r="AJ107" s="12" t="n"/>
      <c r="AK107" s="12" t="inlineStr">
        <is>
          <t>DEMO_GMAO.xlsx</t>
        </is>
      </c>
      <c r="AL107" s="24" t="n">
        <v>46309.625</v>
      </c>
    </row>
    <row r="108">
      <c r="A108" s="12" t="inlineStr">
        <is>
          <t>910000069</t>
        </is>
      </c>
      <c r="B108" s="12" t="n"/>
      <c r="C108" s="12" t="inlineStr">
        <is>
          <t>RNA</t>
        </is>
      </c>
      <c r="D108" s="12" t="inlineStr">
        <is>
          <t>AA1</t>
        </is>
      </c>
      <c r="E108" s="12" t="inlineStr">
        <is>
          <t>G-I-IIJ35</t>
        </is>
      </c>
      <c r="F108" s="12" t="inlineStr">
        <is>
          <t>G-I-IIJ35</t>
        </is>
      </c>
      <c r="G108" s="12" t="inlineStr">
        <is>
          <t>G-I-IIJ35-FILT01</t>
        </is>
      </c>
      <c r="H108" s="12" t="inlineStr">
        <is>
          <t>Équipement fictif G-I-IIJ35-FILT01</t>
        </is>
      </c>
      <c r="I108" s="12" t="inlineStr">
        <is>
          <t>Maintenance préventive fictive EC+PIS+PILOTAGE+REV+FILTRE - poste G-I-IIJ35</t>
        </is>
      </c>
      <c r="J108" s="23" t="n">
        <v>46323</v>
      </c>
      <c r="K108" s="12" t="n">
        <v>2026</v>
      </c>
      <c r="L108" s="12" t="inlineStr">
        <is>
          <t>EC+PIS+PILOTAGE+REV+FILTRE</t>
        </is>
      </c>
      <c r="M108" s="12" t="inlineStr">
        <is>
          <t>PILOTAGE</t>
        </is>
      </c>
      <c r="N108" s="12" t="inlineStr">
        <is>
          <t>PIQUAGE</t>
        </is>
      </c>
      <c r="O108" s="12" t="inlineStr">
        <is>
          <t>TERM</t>
        </is>
      </c>
      <c r="P108" s="12" t="inlineStr">
        <is>
          <t>STAT_SYS_A</t>
        </is>
      </c>
      <c r="Q108" s="12" t="inlineStr">
        <is>
          <t>EQ-IIJ35-06</t>
        </is>
      </c>
      <c r="R108" s="23" t="n">
        <v>46250</v>
      </c>
      <c r="S108" s="23" t="n">
        <v>46314</v>
      </c>
      <c r="T108" s="12" t="inlineStr">
        <is>
          <t>Poste fictif Lambda II</t>
        </is>
      </c>
      <c r="U108" s="12" t="inlineStr">
        <is>
          <t>RNA</t>
        </is>
      </c>
      <c r="V108" s="12" t="inlineStr">
        <is>
          <t>AA1</t>
        </is>
      </c>
      <c r="W108" s="12" t="inlineStr">
        <is>
          <t>ZPR2</t>
        </is>
      </c>
      <c r="X108" s="12" t="inlineStr">
        <is>
          <t>PRE</t>
        </is>
      </c>
      <c r="Y108" s="12" t="n"/>
      <c r="Z108" s="12" t="inlineStr">
        <is>
          <t>USER01</t>
        </is>
      </c>
      <c r="AA108" s="12" t="n">
        <v>763.6900000000001</v>
      </c>
      <c r="AB108" s="12" t="inlineStr">
        <is>
          <t>AA1</t>
        </is>
      </c>
      <c r="AC108" s="12" t="inlineStr">
        <is>
          <t>GG-PREV</t>
        </is>
      </c>
      <c r="AD108" s="12" t="inlineStr">
        <is>
          <t>2</t>
        </is>
      </c>
      <c r="AE108" s="12" t="inlineStr">
        <is>
          <t>Code site</t>
        </is>
      </c>
      <c r="AF108" s="12" t="n"/>
      <c r="AG108" s="12" t="n">
        <v>0</v>
      </c>
      <c r="AH108" s="12" t="n"/>
      <c r="AI108" s="12" t="n">
        <v>70</v>
      </c>
      <c r="AJ108" s="12" t="n"/>
      <c r="AK108" s="12" t="inlineStr">
        <is>
          <t>DEMO_GMAO.xlsx</t>
        </is>
      </c>
      <c r="AL108" s="24" t="n">
        <v>46309.625</v>
      </c>
    </row>
    <row r="109">
      <c r="A109" s="12" t="inlineStr">
        <is>
          <t>910000069</t>
        </is>
      </c>
      <c r="B109" s="12" t="n"/>
      <c r="C109" s="12" t="inlineStr">
        <is>
          <t>RNA</t>
        </is>
      </c>
      <c r="D109" s="12" t="inlineStr">
        <is>
          <t>AA1</t>
        </is>
      </c>
      <c r="E109" s="12" t="inlineStr">
        <is>
          <t>G-I-IIJ35</t>
        </is>
      </c>
      <c r="F109" s="12" t="inlineStr">
        <is>
          <t>G-I-IIJ35</t>
        </is>
      </c>
      <c r="G109" s="12" t="inlineStr">
        <is>
          <t>G-I-IIJ35-FILT01</t>
        </is>
      </c>
      <c r="H109" s="12" t="inlineStr">
        <is>
          <t>Équipement fictif G-I-IIJ35-FILT01</t>
        </is>
      </c>
      <c r="I109" s="12" t="inlineStr">
        <is>
          <t>Maintenance préventive fictive EC+PIS+PILOTAGE+REV+FILTRE - poste G-I-IIJ35</t>
        </is>
      </c>
      <c r="J109" s="23" t="n">
        <v>46323</v>
      </c>
      <c r="K109" s="12" t="n">
        <v>2026</v>
      </c>
      <c r="L109" s="12" t="inlineStr">
        <is>
          <t>EC+PIS+PILOTAGE+REV+FILTRE</t>
        </is>
      </c>
      <c r="M109" s="12" t="inlineStr">
        <is>
          <t>REV</t>
        </is>
      </c>
      <c r="N109" s="12" t="inlineStr">
        <is>
          <t>PIQUAGE</t>
        </is>
      </c>
      <c r="O109" s="12" t="inlineStr">
        <is>
          <t>TERM</t>
        </is>
      </c>
      <c r="P109" s="12" t="inlineStr">
        <is>
          <t>STAT_SYS_A</t>
        </is>
      </c>
      <c r="Q109" s="12" t="inlineStr">
        <is>
          <t>EQ-IIJ35-06</t>
        </is>
      </c>
      <c r="R109" s="23" t="n">
        <v>46250</v>
      </c>
      <c r="S109" s="23" t="n">
        <v>46314</v>
      </c>
      <c r="T109" s="12" t="inlineStr">
        <is>
          <t>Poste fictif Lambda II</t>
        </is>
      </c>
      <c r="U109" s="12" t="inlineStr">
        <is>
          <t>RNA</t>
        </is>
      </c>
      <c r="V109" s="12" t="inlineStr">
        <is>
          <t>AA1</t>
        </is>
      </c>
      <c r="W109" s="12" t="inlineStr">
        <is>
          <t>ZPR2</t>
        </is>
      </c>
      <c r="X109" s="12" t="inlineStr">
        <is>
          <t>PRE</t>
        </is>
      </c>
      <c r="Y109" s="12" t="n"/>
      <c r="Z109" s="12" t="inlineStr">
        <is>
          <t>USER01</t>
        </is>
      </c>
      <c r="AA109" s="12" t="n">
        <v>763.6900000000001</v>
      </c>
      <c r="AB109" s="12" t="inlineStr">
        <is>
          <t>AA1</t>
        </is>
      </c>
      <c r="AC109" s="12" t="inlineStr">
        <is>
          <t>GG-PREV</t>
        </is>
      </c>
      <c r="AD109" s="12" t="inlineStr">
        <is>
          <t>2</t>
        </is>
      </c>
      <c r="AE109" s="12" t="inlineStr">
        <is>
          <t>Code site</t>
        </is>
      </c>
      <c r="AF109" s="12" t="n"/>
      <c r="AG109" s="12" t="n">
        <v>0</v>
      </c>
      <c r="AH109" s="12" t="n"/>
      <c r="AI109" s="12" t="n">
        <v>70</v>
      </c>
      <c r="AJ109" s="12" t="n"/>
      <c r="AK109" s="12" t="inlineStr">
        <is>
          <t>DEMO_GMAO.xlsx</t>
        </is>
      </c>
      <c r="AL109" s="24" t="n">
        <v>46309.625</v>
      </c>
    </row>
    <row r="110">
      <c r="A110" s="12" t="inlineStr">
        <is>
          <t>910000069</t>
        </is>
      </c>
      <c r="B110" s="12" t="n"/>
      <c r="C110" s="12" t="inlineStr">
        <is>
          <t>RNA</t>
        </is>
      </c>
      <c r="D110" s="12" t="inlineStr">
        <is>
          <t>AA1</t>
        </is>
      </c>
      <c r="E110" s="12" t="inlineStr">
        <is>
          <t>G-I-IIJ35</t>
        </is>
      </c>
      <c r="F110" s="12" t="inlineStr">
        <is>
          <t>G-I-IIJ35</t>
        </is>
      </c>
      <c r="G110" s="12" t="inlineStr">
        <is>
          <t>G-I-IIJ35-FILT01</t>
        </is>
      </c>
      <c r="H110" s="12" t="inlineStr">
        <is>
          <t>Équipement fictif G-I-IIJ35-FILT01</t>
        </is>
      </c>
      <c r="I110" s="12" t="inlineStr">
        <is>
          <t>Maintenance préventive fictive EC+PIS+PILOTAGE+REV+FILTRE - poste G-I-IIJ35</t>
        </is>
      </c>
      <c r="J110" s="23" t="n">
        <v>46323</v>
      </c>
      <c r="K110" s="12" t="n">
        <v>2026</v>
      </c>
      <c r="L110" s="12" t="inlineStr">
        <is>
          <t>EC+PIS+PILOTAGE+REV+FILTRE</t>
        </is>
      </c>
      <c r="M110" s="12" t="inlineStr">
        <is>
          <t>FILTRE</t>
        </is>
      </c>
      <c r="N110" s="12" t="inlineStr">
        <is>
          <t>PIQUAGE</t>
        </is>
      </c>
      <c r="O110" s="12" t="inlineStr">
        <is>
          <t>TERM</t>
        </is>
      </c>
      <c r="P110" s="12" t="inlineStr">
        <is>
          <t>STAT_SYS_A</t>
        </is>
      </c>
      <c r="Q110" s="12" t="inlineStr">
        <is>
          <t>EQ-IIJ35-06</t>
        </is>
      </c>
      <c r="R110" s="23" t="n">
        <v>46250</v>
      </c>
      <c r="S110" s="23" t="n">
        <v>46314</v>
      </c>
      <c r="T110" s="12" t="inlineStr">
        <is>
          <t>Poste fictif Lambda II</t>
        </is>
      </c>
      <c r="U110" s="12" t="inlineStr">
        <is>
          <t>RNA</t>
        </is>
      </c>
      <c r="V110" s="12" t="inlineStr">
        <is>
          <t>AA1</t>
        </is>
      </c>
      <c r="W110" s="12" t="inlineStr">
        <is>
          <t>ZPR2</t>
        </is>
      </c>
      <c r="X110" s="12" t="inlineStr">
        <is>
          <t>PRE</t>
        </is>
      </c>
      <c r="Y110" s="12" t="n"/>
      <c r="Z110" s="12" t="inlineStr">
        <is>
          <t>USER01</t>
        </is>
      </c>
      <c r="AA110" s="12" t="n">
        <v>763.6900000000001</v>
      </c>
      <c r="AB110" s="12" t="inlineStr">
        <is>
          <t>AA1</t>
        </is>
      </c>
      <c r="AC110" s="12" t="inlineStr">
        <is>
          <t>GG-PREV</t>
        </is>
      </c>
      <c r="AD110" s="12" t="inlineStr">
        <is>
          <t>2</t>
        </is>
      </c>
      <c r="AE110" s="12" t="inlineStr">
        <is>
          <t>Code site</t>
        </is>
      </c>
      <c r="AF110" s="12" t="n"/>
      <c r="AG110" s="12" t="n">
        <v>0</v>
      </c>
      <c r="AH110" s="12" t="n"/>
      <c r="AI110" s="12" t="n">
        <v>70</v>
      </c>
      <c r="AJ110" s="12" t="n"/>
      <c r="AK110" s="12" t="inlineStr">
        <is>
          <t>DEMO_GMAO.xlsx</t>
        </is>
      </c>
      <c r="AL110" s="24" t="n">
        <v>46309.625</v>
      </c>
    </row>
    <row r="111">
      <c r="A111" s="12" t="inlineStr">
        <is>
          <t>910000070</t>
        </is>
      </c>
      <c r="B111" s="12" t="n"/>
      <c r="C111" s="12" t="inlineStr">
        <is>
          <t>RNA</t>
        </is>
      </c>
      <c r="D111" s="12" t="inlineStr">
        <is>
          <t>AA1</t>
        </is>
      </c>
      <c r="E111" s="12" t="inlineStr">
        <is>
          <t>G-I-IIJ35</t>
        </is>
      </c>
      <c r="F111" s="12" t="inlineStr">
        <is>
          <t>G-I-IIJ35</t>
        </is>
      </c>
      <c r="G111" s="12" t="inlineStr">
        <is>
          <t>G-I-IIJ35-FILT01</t>
        </is>
      </c>
      <c r="H111" s="12" t="inlineStr">
        <is>
          <t>Équipement fictif G-I-IIJ35-FILT01</t>
        </is>
      </c>
      <c r="I111" s="12" t="inlineStr">
        <is>
          <t>Maintenance préventive fictive PIS - poste G-I-IIJ35</t>
        </is>
      </c>
      <c r="J111" s="23" t="n">
        <v>46633</v>
      </c>
      <c r="K111" s="12" t="n">
        <v>2027</v>
      </c>
      <c r="L111" s="12" t="inlineStr">
        <is>
          <t>PIS</t>
        </is>
      </c>
      <c r="M111" s="12" t="inlineStr">
        <is>
          <t>PIS</t>
        </is>
      </c>
      <c r="N111" s="12" t="inlineStr">
        <is>
          <t>PIQUAGE</t>
        </is>
      </c>
      <c r="O111" s="12" t="inlineStr">
        <is>
          <t>ACTI</t>
        </is>
      </c>
      <c r="P111" s="12" t="inlineStr">
        <is>
          <t>STAT_SYS_A</t>
        </is>
      </c>
      <c r="Q111" s="12" t="inlineStr">
        <is>
          <t>EQ-IIJ35-01</t>
        </is>
      </c>
      <c r="R111" s="23" t="n">
        <v>46583</v>
      </c>
      <c r="S111" s="23" t="n">
        <v>46605</v>
      </c>
      <c r="T111" s="12" t="inlineStr">
        <is>
          <t>Poste fictif Lambda II</t>
        </is>
      </c>
      <c r="U111" s="12" t="inlineStr">
        <is>
          <t>RNA</t>
        </is>
      </c>
      <c r="V111" s="12" t="inlineStr">
        <is>
          <t>AA1</t>
        </is>
      </c>
      <c r="W111" s="12" t="inlineStr">
        <is>
          <t>ZPR2</t>
        </is>
      </c>
      <c r="X111" s="12" t="inlineStr">
        <is>
          <t>PRE</t>
        </is>
      </c>
      <c r="Y111" s="12" t="n"/>
      <c r="Z111" s="12" t="inlineStr">
        <is>
          <t>USER01</t>
        </is>
      </c>
      <c r="AA111" s="12" t="n">
        <v>510.01</v>
      </c>
      <c r="AB111" s="12" t="inlineStr">
        <is>
          <t>AA1</t>
        </is>
      </c>
      <c r="AC111" s="12" t="inlineStr">
        <is>
          <t>GG-PREV</t>
        </is>
      </c>
      <c r="AD111" s="12" t="inlineStr">
        <is>
          <t>2</t>
        </is>
      </c>
      <c r="AE111" s="12" t="inlineStr">
        <is>
          <t>Code site</t>
        </is>
      </c>
      <c r="AF111" s="12" t="n"/>
      <c r="AG111" s="12" t="n">
        <v>1</v>
      </c>
      <c r="AH111" s="12" t="n"/>
      <c r="AI111" s="12" t="n">
        <v>71</v>
      </c>
      <c r="AJ111" s="12" t="n"/>
      <c r="AK111" s="12" t="inlineStr">
        <is>
          <t>DEMO_GMAO.xlsx</t>
        </is>
      </c>
      <c r="AL111" s="24" t="n">
        <v>46309.625</v>
      </c>
    </row>
    <row r="112">
      <c r="A112" s="12" t="inlineStr">
        <is>
          <t>910000071</t>
        </is>
      </c>
      <c r="B112" s="12" t="n"/>
      <c r="C112" s="12" t="inlineStr">
        <is>
          <t>SVI</t>
        </is>
      </c>
      <c r="D112" s="12" t="inlineStr">
        <is>
          <t>AA4</t>
        </is>
      </c>
      <c r="E112" s="12" t="inlineStr">
        <is>
          <t>G-I-JJK36</t>
        </is>
      </c>
      <c r="F112" s="12" t="inlineStr">
        <is>
          <t>G-I-JJK36</t>
        </is>
      </c>
      <c r="G112" s="12" t="inlineStr">
        <is>
          <t>G-I-JJK36-SEC01</t>
        </is>
      </c>
      <c r="H112" s="12" t="inlineStr">
        <is>
          <t>Équipement fictif G-I-JJK36-SEC01</t>
        </is>
      </c>
      <c r="I112" s="12" t="inlineStr">
        <is>
          <t>Maintenance préventive fictive EC+PIS - poste G-I-JJK36</t>
        </is>
      </c>
      <c r="J112" s="23" t="n">
        <v>46648</v>
      </c>
      <c r="K112" s="12" t="n">
        <v>2027</v>
      </c>
      <c r="L112" s="12" t="inlineStr">
        <is>
          <t>EC+PIS</t>
        </is>
      </c>
      <c r="M112" s="12" t="inlineStr">
        <is>
          <t>EC</t>
        </is>
      </c>
      <c r="N112" s="12" t="inlineStr">
        <is>
          <t>COUPURE</t>
        </is>
      </c>
      <c r="O112" s="12" t="inlineStr">
        <is>
          <t>ACTI</t>
        </is>
      </c>
      <c r="P112" s="12" t="inlineStr">
        <is>
          <t>STAT_SYS_A</t>
        </is>
      </c>
      <c r="Q112" s="12" t="inlineStr">
        <is>
          <t>EQ-JJK36-09</t>
        </is>
      </c>
      <c r="R112" s="23" t="n">
        <v>46562</v>
      </c>
      <c r="S112" s="23" t="n">
        <v>46625</v>
      </c>
      <c r="T112" s="12" t="inlineStr">
        <is>
          <t>Poste fictif Mu II</t>
        </is>
      </c>
      <c r="U112" s="12" t="inlineStr">
        <is>
          <t>SVI</t>
        </is>
      </c>
      <c r="V112" s="12" t="inlineStr">
        <is>
          <t>AA4</t>
        </is>
      </c>
      <c r="W112" s="12" t="inlineStr">
        <is>
          <t>ZPR2</t>
        </is>
      </c>
      <c r="X112" s="12" t="inlineStr">
        <is>
          <t>PRE</t>
        </is>
      </c>
      <c r="Y112" s="12" t="n"/>
      <c r="Z112" s="12" t="inlineStr">
        <is>
          <t>USER02</t>
        </is>
      </c>
      <c r="AA112" s="12" t="n">
        <v>253.75</v>
      </c>
      <c r="AB112" s="12" t="inlineStr">
        <is>
          <t>AA4</t>
        </is>
      </c>
      <c r="AC112" s="12" t="inlineStr">
        <is>
          <t>GG-PREV</t>
        </is>
      </c>
      <c r="AD112" s="12" t="inlineStr">
        <is>
          <t>2</t>
        </is>
      </c>
      <c r="AE112" s="12" t="inlineStr">
        <is>
          <t>Code site</t>
        </is>
      </c>
      <c r="AF112" s="12" t="n"/>
      <c r="AG112" s="12" t="n">
        <v>1</v>
      </c>
      <c r="AH112" s="12" t="n"/>
      <c r="AI112" s="12" t="n">
        <v>72</v>
      </c>
      <c r="AJ112" s="12" t="n"/>
      <c r="AK112" s="12" t="inlineStr">
        <is>
          <t>DEMO_GMAO.xlsx</t>
        </is>
      </c>
      <c r="AL112" s="24" t="n">
        <v>46309.625</v>
      </c>
    </row>
    <row r="113">
      <c r="A113" s="12" t="inlineStr">
        <is>
          <t>910000071</t>
        </is>
      </c>
      <c r="B113" s="12" t="n"/>
      <c r="C113" s="12" t="inlineStr">
        <is>
          <t>SVI</t>
        </is>
      </c>
      <c r="D113" s="12" t="inlineStr">
        <is>
          <t>AA4</t>
        </is>
      </c>
      <c r="E113" s="12" t="inlineStr">
        <is>
          <t>G-I-JJK36</t>
        </is>
      </c>
      <c r="F113" s="12" t="inlineStr">
        <is>
          <t>G-I-JJK36</t>
        </is>
      </c>
      <c r="G113" s="12" t="inlineStr">
        <is>
          <t>G-I-JJK36-SEC01</t>
        </is>
      </c>
      <c r="H113" s="12" t="inlineStr">
        <is>
          <t>Équipement fictif G-I-JJK36-SEC01</t>
        </is>
      </c>
      <c r="I113" s="12" t="inlineStr">
        <is>
          <t>Maintenance préventive fictive EC+PIS - poste G-I-JJK36</t>
        </is>
      </c>
      <c r="J113" s="23" t="n">
        <v>46648</v>
      </c>
      <c r="K113" s="12" t="n">
        <v>2027</v>
      </c>
      <c r="L113" s="12" t="inlineStr">
        <is>
          <t>EC+PIS</t>
        </is>
      </c>
      <c r="M113" s="12" t="inlineStr">
        <is>
          <t>PIS</t>
        </is>
      </c>
      <c r="N113" s="12" t="inlineStr">
        <is>
          <t>COUPURE</t>
        </is>
      </c>
      <c r="O113" s="12" t="inlineStr">
        <is>
          <t>ACTI</t>
        </is>
      </c>
      <c r="P113" s="12" t="inlineStr">
        <is>
          <t>STAT_SYS_A</t>
        </is>
      </c>
      <c r="Q113" s="12" t="inlineStr">
        <is>
          <t>EQ-JJK36-09</t>
        </is>
      </c>
      <c r="R113" s="23" t="n">
        <v>46562</v>
      </c>
      <c r="S113" s="23" t="n">
        <v>46625</v>
      </c>
      <c r="T113" s="12" t="inlineStr">
        <is>
          <t>Poste fictif Mu II</t>
        </is>
      </c>
      <c r="U113" s="12" t="inlineStr">
        <is>
          <t>SVI</t>
        </is>
      </c>
      <c r="V113" s="12" t="inlineStr">
        <is>
          <t>AA4</t>
        </is>
      </c>
      <c r="W113" s="12" t="inlineStr">
        <is>
          <t>ZPR2</t>
        </is>
      </c>
      <c r="X113" s="12" t="inlineStr">
        <is>
          <t>PRE</t>
        </is>
      </c>
      <c r="Y113" s="12" t="n"/>
      <c r="Z113" s="12" t="inlineStr">
        <is>
          <t>USER02</t>
        </is>
      </c>
      <c r="AA113" s="12" t="n">
        <v>253.75</v>
      </c>
      <c r="AB113" s="12" t="inlineStr">
        <is>
          <t>AA4</t>
        </is>
      </c>
      <c r="AC113" s="12" t="inlineStr">
        <is>
          <t>GG-PREV</t>
        </is>
      </c>
      <c r="AD113" s="12" t="inlineStr">
        <is>
          <t>2</t>
        </is>
      </c>
      <c r="AE113" s="12" t="inlineStr">
        <is>
          <t>Code site</t>
        </is>
      </c>
      <c r="AF113" s="12" t="n"/>
      <c r="AG113" s="12" t="n">
        <v>0</v>
      </c>
      <c r="AH113" s="12" t="n"/>
      <c r="AI113" s="12" t="n">
        <v>72</v>
      </c>
      <c r="AJ113" s="12" t="n"/>
      <c r="AK113" s="12" t="inlineStr">
        <is>
          <t>DEMO_GMAO.xlsx</t>
        </is>
      </c>
      <c r="AL113" s="24" t="n">
        <v>46309.625</v>
      </c>
    </row>
    <row r="114">
      <c r="A114" s="12" t="inlineStr">
        <is>
          <t>910000072</t>
        </is>
      </c>
      <c r="B114" s="12" t="n"/>
      <c r="C114" s="12" t="inlineStr">
        <is>
          <t>SET</t>
        </is>
      </c>
      <c r="D114" s="12" t="inlineStr">
        <is>
          <t>AA1</t>
        </is>
      </c>
      <c r="E114" s="12" t="inlineStr">
        <is>
          <t>G-I-AAA01</t>
        </is>
      </c>
      <c r="F114" s="12" t="inlineStr">
        <is>
          <t>G-I-AAA01</t>
        </is>
      </c>
      <c r="G114" s="12" t="inlineStr">
        <is>
          <t>G-I-AAA01-REG01</t>
        </is>
      </c>
      <c r="H114" s="12" t="inlineStr">
        <is>
          <t>Équipement fictif G-I-AAA01-REG01</t>
        </is>
      </c>
      <c r="I114" s="12" t="inlineStr">
        <is>
          <t>Maintenance préventive fictive SURV DEC - poste G-I-AAA01</t>
        </is>
      </c>
      <c r="J114" s="23" t="n">
        <v>46436</v>
      </c>
      <c r="K114" s="12" t="n">
        <v>2027</v>
      </c>
      <c r="L114" s="12" t="inlineStr">
        <is>
          <t>SURV DEC</t>
        </is>
      </c>
      <c r="M114" s="12" t="inlineStr">
        <is>
          <t>SURV DEC</t>
        </is>
      </c>
      <c r="N114" s="12" t="inlineStr">
        <is>
          <t>DETENTE</t>
        </is>
      </c>
      <c r="O114" s="12" t="inlineStr">
        <is>
          <t>ACTI</t>
        </is>
      </c>
      <c r="P114" s="12" t="inlineStr">
        <is>
          <t>STAT_SYS_A</t>
        </is>
      </c>
      <c r="Q114" s="12" t="inlineStr">
        <is>
          <t>EQ-AAA01-05</t>
        </is>
      </c>
      <c r="R114" s="23" t="n">
        <v>46385</v>
      </c>
      <c r="S114" s="23" t="n">
        <v>46428</v>
      </c>
      <c r="T114" s="12" t="inlineStr">
        <is>
          <t>Poste fictif Alpha</t>
        </is>
      </c>
      <c r="U114" s="12" t="inlineStr">
        <is>
          <t>SET</t>
        </is>
      </c>
      <c r="V114" s="12" t="inlineStr">
        <is>
          <t>AA1</t>
        </is>
      </c>
      <c r="W114" s="12" t="inlineStr">
        <is>
          <t>ZPR2</t>
        </is>
      </c>
      <c r="X114" s="12" t="inlineStr">
        <is>
          <t>PRE</t>
        </is>
      </c>
      <c r="Y114" s="12" t="n"/>
      <c r="Z114" s="12" t="inlineStr">
        <is>
          <t>USER03</t>
        </is>
      </c>
      <c r="AA114" s="12" t="n">
        <v>614.75</v>
      </c>
      <c r="AB114" s="12" t="inlineStr">
        <is>
          <t>AA1</t>
        </is>
      </c>
      <c r="AC114" s="12" t="inlineStr">
        <is>
          <t>GG-PREV</t>
        </is>
      </c>
      <c r="AD114" s="12" t="inlineStr">
        <is>
          <t>2</t>
        </is>
      </c>
      <c r="AE114" s="12" t="inlineStr">
        <is>
          <t>Code site</t>
        </is>
      </c>
      <c r="AF114" s="12" t="n"/>
      <c r="AG114" s="12" t="n">
        <v>1</v>
      </c>
      <c r="AH114" s="12" t="n"/>
      <c r="AI114" s="12" t="n">
        <v>73</v>
      </c>
      <c r="AJ114" s="12" t="n"/>
      <c r="AK114" s="12" t="inlineStr">
        <is>
          <t>DEMO_GMAO.xlsx</t>
        </is>
      </c>
      <c r="AL114" s="24" t="n">
        <v>46309.625</v>
      </c>
    </row>
    <row r="115">
      <c r="A115" s="12" t="inlineStr">
        <is>
          <t>910000073</t>
        </is>
      </c>
      <c r="B115" s="12" t="n"/>
      <c r="C115" s="12" t="inlineStr">
        <is>
          <t>RNA</t>
        </is>
      </c>
      <c r="D115" s="12" t="inlineStr">
        <is>
          <t>AA3</t>
        </is>
      </c>
      <c r="E115" s="12" t="inlineStr">
        <is>
          <t>G-I-HHH08</t>
        </is>
      </c>
      <c r="F115" s="12" t="inlineStr">
        <is>
          <t>G-I-HHH08</t>
        </is>
      </c>
      <c r="G115" s="12" t="inlineStr">
        <is>
          <t>G-I-HHH08-SEC01</t>
        </is>
      </c>
      <c r="H115" s="12" t="inlineStr">
        <is>
          <t>Équipement fictif G-I-HHH08-SEC01</t>
        </is>
      </c>
      <c r="I115" s="12" t="inlineStr">
        <is>
          <t>Maintenance préventive fictive SURV DEC - poste G-I-HHH08</t>
        </is>
      </c>
      <c r="J115" s="23" t="n">
        <v>46554</v>
      </c>
      <c r="K115" s="12" t="n">
        <v>2027</v>
      </c>
      <c r="L115" s="12" t="inlineStr">
        <is>
          <t>SURV DEC</t>
        </is>
      </c>
      <c r="M115" s="12" t="inlineStr">
        <is>
          <t>SURV DEC</t>
        </is>
      </c>
      <c r="N115" s="12" t="inlineStr">
        <is>
          <t>COMPTAGE</t>
        </is>
      </c>
      <c r="O115" s="12" t="inlineStr">
        <is>
          <t>TERM</t>
        </is>
      </c>
      <c r="P115" s="12" t="inlineStr">
        <is>
          <t>STAT_SYS_A</t>
        </is>
      </c>
      <c r="Q115" s="12" t="inlineStr">
        <is>
          <t>EQ-HHH08-04</t>
        </is>
      </c>
      <c r="R115" s="23" t="n">
        <v>46506</v>
      </c>
      <c r="S115" s="23" t="n">
        <v>46535</v>
      </c>
      <c r="T115" s="12" t="inlineStr">
        <is>
          <t>Poste fictif Theta</t>
        </is>
      </c>
      <c r="U115" s="12" t="inlineStr">
        <is>
          <t>RNA</t>
        </is>
      </c>
      <c r="V115" s="12" t="inlineStr">
        <is>
          <t>AA3</t>
        </is>
      </c>
      <c r="W115" s="12" t="inlineStr">
        <is>
          <t>ZPR2</t>
        </is>
      </c>
      <c r="X115" s="12" t="inlineStr">
        <is>
          <t>PRE</t>
        </is>
      </c>
      <c r="Y115" s="12" t="n"/>
      <c r="Z115" s="12" t="inlineStr">
        <is>
          <t>USER01</t>
        </is>
      </c>
      <c r="AA115" s="12" t="n">
        <v>1016.83</v>
      </c>
      <c r="AB115" s="12" t="inlineStr">
        <is>
          <t>AA3</t>
        </is>
      </c>
      <c r="AC115" s="12" t="inlineStr">
        <is>
          <t>GG-PREV</t>
        </is>
      </c>
      <c r="AD115" s="12" t="inlineStr">
        <is>
          <t>2</t>
        </is>
      </c>
      <c r="AE115" s="12" t="inlineStr">
        <is>
          <t>Code site</t>
        </is>
      </c>
      <c r="AF115" s="12" t="n"/>
      <c r="AG115" s="12" t="n">
        <v>1</v>
      </c>
      <c r="AH115" s="12" t="n"/>
      <c r="AI115" s="12" t="n">
        <v>74</v>
      </c>
      <c r="AJ115" s="12" t="n"/>
      <c r="AK115" s="12" t="inlineStr">
        <is>
          <t>DEMO_GMAO.xlsx</t>
        </is>
      </c>
      <c r="AL115" s="24" t="n">
        <v>46309.625</v>
      </c>
    </row>
    <row r="116">
      <c r="A116" s="12" t="inlineStr">
        <is>
          <t>910000074</t>
        </is>
      </c>
      <c r="B116" s="12" t="n"/>
      <c r="C116" s="12" t="inlineStr">
        <is>
          <t>SPS</t>
        </is>
      </c>
      <c r="D116" s="12" t="inlineStr">
        <is>
          <t>AA1</t>
        </is>
      </c>
      <c r="E116" s="12" t="inlineStr">
        <is>
          <t>G-I-DDD04</t>
        </is>
      </c>
      <c r="F116" s="12" t="inlineStr">
        <is>
          <t>G-I-DDD04</t>
        </is>
      </c>
      <c r="G116" s="12" t="inlineStr">
        <is>
          <t>G-I-DDD04-SEC01</t>
        </is>
      </c>
      <c r="H116" s="12" t="inlineStr">
        <is>
          <t>Équipement fictif G-I-DDD04-SEC01</t>
        </is>
      </c>
      <c r="I116" s="12" t="inlineStr">
        <is>
          <t>Maintenance préventive fictive INSPECTION TSF - poste G-I-DDD04</t>
        </is>
      </c>
      <c r="J116" s="23" t="n">
        <v>46542</v>
      </c>
      <c r="K116" s="12" t="n">
        <v>2027</v>
      </c>
      <c r="L116" s="12" t="inlineStr">
        <is>
          <t>INSPECTION TSF</t>
        </is>
      </c>
      <c r="M116" s="12" t="inlineStr">
        <is>
          <t>INSPECTION TSF</t>
        </is>
      </c>
      <c r="N116" s="12" t="inlineStr">
        <is>
          <t>LIVRAISON</t>
        </is>
      </c>
      <c r="O116" s="12" t="inlineStr">
        <is>
          <t>ACTI</t>
        </is>
      </c>
      <c r="P116" s="12" t="inlineStr">
        <is>
          <t>STAT_SYS_A</t>
        </is>
      </c>
      <c r="Q116" s="12" t="inlineStr">
        <is>
          <t>EQ-DDD04-04</t>
        </is>
      </c>
      <c r="R116" s="23" t="n">
        <v>46499</v>
      </c>
      <c r="S116" s="23" t="n">
        <v>46512</v>
      </c>
      <c r="T116" s="12" t="inlineStr">
        <is>
          <t>Poste fictif Delta</t>
        </is>
      </c>
      <c r="U116" s="12" t="inlineStr">
        <is>
          <t>SPS</t>
        </is>
      </c>
      <c r="V116" s="12" t="inlineStr">
        <is>
          <t>AA1</t>
        </is>
      </c>
      <c r="W116" s="12" t="inlineStr">
        <is>
          <t>ZPR2</t>
        </is>
      </c>
      <c r="X116" s="12" t="inlineStr">
        <is>
          <t>PRE</t>
        </is>
      </c>
      <c r="Y116" s="12" t="n"/>
      <c r="Z116" s="12" t="inlineStr">
        <is>
          <t>USER01</t>
        </is>
      </c>
      <c r="AA116" s="12" t="n">
        <v>1160.07</v>
      </c>
      <c r="AB116" s="12" t="inlineStr">
        <is>
          <t>AA1</t>
        </is>
      </c>
      <c r="AC116" s="12" t="inlineStr">
        <is>
          <t>GG-PREV</t>
        </is>
      </c>
      <c r="AD116" s="12" t="inlineStr">
        <is>
          <t>1</t>
        </is>
      </c>
      <c r="AE116" s="12" t="inlineStr">
        <is>
          <t>Code site</t>
        </is>
      </c>
      <c r="AF116" s="12" t="n"/>
      <c r="AG116" s="12" t="n">
        <v>1</v>
      </c>
      <c r="AH116" s="12" t="n"/>
      <c r="AI116" s="12" t="n">
        <v>75</v>
      </c>
      <c r="AJ116" s="12" t="n"/>
      <c r="AK116" s="12" t="inlineStr">
        <is>
          <t>DEMO_GMAO.xlsx</t>
        </is>
      </c>
      <c r="AL116" s="24" t="n">
        <v>46309.625</v>
      </c>
    </row>
    <row r="117">
      <c r="A117" s="12" t="inlineStr">
        <is>
          <t>910000075</t>
        </is>
      </c>
      <c r="B117" s="12" t="n"/>
      <c r="C117" s="12" t="inlineStr">
        <is>
          <t>VRS</t>
        </is>
      </c>
      <c r="D117" s="12" t="inlineStr">
        <is>
          <t>AA3</t>
        </is>
      </c>
      <c r="E117" s="12" t="inlineStr">
        <is>
          <t>G-I-KKK11</t>
        </is>
      </c>
      <c r="F117" s="12" t="inlineStr">
        <is>
          <t>G-I-KKK11</t>
        </is>
      </c>
      <c r="G117" s="12" t="inlineStr">
        <is>
          <t>G-I-KKK11-FILT01</t>
        </is>
      </c>
      <c r="H117" s="12" t="inlineStr">
        <is>
          <t>Équipement fictif G-I-KKK11-FILT01</t>
        </is>
      </c>
      <c r="I117" s="12" t="inlineStr">
        <is>
          <t>Maintenance préventive fictive INSPECTION TA - poste G-I-KKK11</t>
        </is>
      </c>
      <c r="J117" s="23" t="n">
        <v>46428</v>
      </c>
      <c r="K117" s="12" t="n">
        <v>2027</v>
      </c>
      <c r="L117" s="12" t="inlineStr">
        <is>
          <t>INSPECTION TA</t>
        </is>
      </c>
      <c r="M117" s="12" t="inlineStr">
        <is>
          <t>INSPECTION TA</t>
        </is>
      </c>
      <c r="N117" s="12" t="inlineStr">
        <is>
          <t>COUPURE</t>
        </is>
      </c>
      <c r="O117" s="12" t="inlineStr">
        <is>
          <t>TERM</t>
        </is>
      </c>
      <c r="P117" s="12" t="inlineStr">
        <is>
          <t>STAT_SYS_A</t>
        </is>
      </c>
      <c r="Q117" s="12" t="inlineStr">
        <is>
          <t>EQ-KKK11-08</t>
        </is>
      </c>
      <c r="R117" s="23" t="n">
        <v>46338</v>
      </c>
      <c r="S117" s="23" t="n">
        <v>46413</v>
      </c>
      <c r="T117" s="12" t="inlineStr">
        <is>
          <t>Poste fictif Lambda</t>
        </is>
      </c>
      <c r="U117" s="12" t="inlineStr">
        <is>
          <t>VRS</t>
        </is>
      </c>
      <c r="V117" s="12" t="inlineStr">
        <is>
          <t>AA3</t>
        </is>
      </c>
      <c r="W117" s="12" t="inlineStr">
        <is>
          <t>ZPR2</t>
        </is>
      </c>
      <c r="X117" s="12" t="inlineStr">
        <is>
          <t>PRE</t>
        </is>
      </c>
      <c r="Y117" s="12" t="n"/>
      <c r="Z117" s="12" t="inlineStr">
        <is>
          <t>USER03</t>
        </is>
      </c>
      <c r="AA117" s="12" t="n">
        <v>660.8</v>
      </c>
      <c r="AB117" s="12" t="inlineStr">
        <is>
          <t>AA3</t>
        </is>
      </c>
      <c r="AC117" s="12" t="inlineStr">
        <is>
          <t>GG-PREV</t>
        </is>
      </c>
      <c r="AD117" s="12" t="inlineStr">
        <is>
          <t>2</t>
        </is>
      </c>
      <c r="AE117" s="12" t="inlineStr">
        <is>
          <t>Code site</t>
        </is>
      </c>
      <c r="AF117" s="12" t="n"/>
      <c r="AG117" s="12" t="n">
        <v>1</v>
      </c>
      <c r="AH117" s="12" t="n"/>
      <c r="AI117" s="12" t="n">
        <v>76</v>
      </c>
      <c r="AJ117" s="12" t="n"/>
      <c r="AK117" s="12" t="inlineStr">
        <is>
          <t>DEMO_GMAO.xlsx</t>
        </is>
      </c>
      <c r="AL117" s="24" t="n">
        <v>46309.625</v>
      </c>
    </row>
    <row r="118">
      <c r="A118" s="12" t="inlineStr">
        <is>
          <t>910000076</t>
        </is>
      </c>
      <c r="B118" s="12" t="n"/>
      <c r="C118" s="12" t="inlineStr">
        <is>
          <t>DEI</t>
        </is>
      </c>
      <c r="D118" s="12" t="inlineStr">
        <is>
          <t>AA1</t>
        </is>
      </c>
      <c r="E118" s="12" t="inlineStr">
        <is>
          <t>G-I-VVV22</t>
        </is>
      </c>
      <c r="F118" s="12" t="inlineStr">
        <is>
          <t>G-I-VVV22</t>
        </is>
      </c>
      <c r="G118" s="12" t="inlineStr">
        <is>
          <t>G-I-VVV22-VAN01</t>
        </is>
      </c>
      <c r="H118" s="12" t="inlineStr">
        <is>
          <t>Équipement fictif G-I-VVV22-VAN01</t>
        </is>
      </c>
      <c r="I118" s="12" t="inlineStr">
        <is>
          <t>Maintenance préventive fictive ENDO - poste G-I-VVV22</t>
        </is>
      </c>
      <c r="J118" s="23" t="n">
        <v>46500</v>
      </c>
      <c r="K118" s="12" t="n">
        <v>2027</v>
      </c>
      <c r="L118" s="12" t="inlineStr">
        <is>
          <t>ENDO</t>
        </is>
      </c>
      <c r="M118" s="12" t="inlineStr">
        <is>
          <t>ENDO</t>
        </is>
      </c>
      <c r="N118" s="12" t="inlineStr">
        <is>
          <t>COMPTAGE</t>
        </is>
      </c>
      <c r="O118" s="12" t="inlineStr">
        <is>
          <t>ACTI</t>
        </is>
      </c>
      <c r="P118" s="12" t="inlineStr">
        <is>
          <t>STAT_SYS_A</t>
        </is>
      </c>
      <c r="Q118" s="12" t="inlineStr">
        <is>
          <t>EQ-VVV22-06</t>
        </is>
      </c>
      <c r="R118" s="23" t="n">
        <v>46444</v>
      </c>
      <c r="S118" s="23" t="n">
        <v>46472</v>
      </c>
      <c r="T118" s="12" t="inlineStr">
        <is>
          <t>Poste fictif Chi</t>
        </is>
      </c>
      <c r="U118" s="12" t="inlineStr">
        <is>
          <t>DEI</t>
        </is>
      </c>
      <c r="V118" s="12" t="inlineStr">
        <is>
          <t>AA1</t>
        </is>
      </c>
      <c r="W118" s="12" t="inlineStr">
        <is>
          <t>ZPR2</t>
        </is>
      </c>
      <c r="X118" s="12" t="inlineStr">
        <is>
          <t>PRE</t>
        </is>
      </c>
      <c r="Y118" s="12" t="n"/>
      <c r="Z118" s="12" t="inlineStr">
        <is>
          <t>USER03</t>
        </is>
      </c>
      <c r="AA118" s="12" t="n">
        <v>1001.26</v>
      </c>
      <c r="AB118" s="12" t="inlineStr">
        <is>
          <t>AA1</t>
        </is>
      </c>
      <c r="AC118" s="12" t="inlineStr">
        <is>
          <t>GG-PREV</t>
        </is>
      </c>
      <c r="AD118" s="12" t="inlineStr">
        <is>
          <t>3</t>
        </is>
      </c>
      <c r="AE118" s="12" t="inlineStr">
        <is>
          <t>Code site</t>
        </is>
      </c>
      <c r="AF118" s="12" t="n"/>
      <c r="AG118" s="12" t="n">
        <v>1</v>
      </c>
      <c r="AH118" s="12" t="n"/>
      <c r="AI118" s="12" t="n">
        <v>77</v>
      </c>
      <c r="AJ118" s="12" t="n"/>
      <c r="AK118" s="12" t="inlineStr">
        <is>
          <t>DEMO_GMAO.xlsx</t>
        </is>
      </c>
      <c r="AL118" s="24" t="n">
        <v>46309.625</v>
      </c>
    </row>
    <row r="119">
      <c r="A119" s="12" t="inlineStr">
        <is>
          <t>910000080</t>
        </is>
      </c>
      <c r="B119" s="12" t="n"/>
      <c r="C119" s="12" t="inlineStr">
        <is>
          <t>SPS</t>
        </is>
      </c>
      <c r="D119" s="12" t="inlineStr">
        <is>
          <t>AA3</t>
        </is>
      </c>
      <c r="E119" s="12" t="inlineStr">
        <is>
          <t>G-I-EEE05</t>
        </is>
      </c>
      <c r="F119" s="12" t="inlineStr">
        <is>
          <t>G-I-EEE05</t>
        </is>
      </c>
      <c r="G119" s="12" t="inlineStr">
        <is>
          <t>G-I-EEE05-REG01</t>
        </is>
      </c>
      <c r="H119" s="12" t="inlineStr">
        <is>
          <t>Équipement fictif G-I-EEE05-REG01</t>
        </is>
      </c>
      <c r="I119" s="12" t="inlineStr">
        <is>
          <t>Maintenance préventive fictive EC+PIS - poste G-I-EEE05</t>
        </is>
      </c>
      <c r="J119" s="23" t="n">
        <v>46121</v>
      </c>
      <c r="K119" s="12" t="n">
        <v>2026</v>
      </c>
      <c r="L119" s="12" t="inlineStr">
        <is>
          <t>EC+PIS</t>
        </is>
      </c>
      <c r="M119" s="12" t="inlineStr">
        <is>
          <t>EC</t>
        </is>
      </c>
      <c r="N119" s="12" t="inlineStr">
        <is>
          <t>COUPURE</t>
        </is>
      </c>
      <c r="O119" s="12" t="inlineStr">
        <is>
          <t>ACTI</t>
        </is>
      </c>
      <c r="P119" s="12" t="inlineStr">
        <is>
          <t>STAT_SYS_A</t>
        </is>
      </c>
      <c r="Q119" s="12" t="inlineStr">
        <is>
          <t>EQ-EEE05-04</t>
        </is>
      </c>
      <c r="R119" s="23" t="n">
        <v>46064</v>
      </c>
      <c r="S119" s="23" t="n">
        <v>46097</v>
      </c>
      <c r="T119" s="12" t="inlineStr">
        <is>
          <t>Poste fictif Epsilon</t>
        </is>
      </c>
      <c r="U119" s="12" t="inlineStr">
        <is>
          <t>SPS</t>
        </is>
      </c>
      <c r="V119" s="12" t="inlineStr">
        <is>
          <t>AA3</t>
        </is>
      </c>
      <c r="W119" s="12" t="inlineStr">
        <is>
          <t>ZPR2</t>
        </is>
      </c>
      <c r="X119" s="12" t="inlineStr">
        <is>
          <t>PRE</t>
        </is>
      </c>
      <c r="Y119" s="12" t="n"/>
      <c r="Z119" s="12" t="inlineStr">
        <is>
          <t>USER02</t>
        </is>
      </c>
      <c r="AA119" s="12" t="n">
        <v>950.79</v>
      </c>
      <c r="AB119" s="12" t="inlineStr">
        <is>
          <t>AA3</t>
        </is>
      </c>
      <c r="AC119" s="12" t="inlineStr">
        <is>
          <t>GG-PREV</t>
        </is>
      </c>
      <c r="AD119" s="12" t="inlineStr">
        <is>
          <t>3</t>
        </is>
      </c>
      <c r="AE119" s="12" t="inlineStr">
        <is>
          <t>Code site</t>
        </is>
      </c>
      <c r="AF119" s="12" t="n"/>
      <c r="AG119" s="12" t="n">
        <v>1</v>
      </c>
      <c r="AH119" s="12" t="inlineStr">
        <is>
          <t>Doublon OT éventuel ; Couple Ordre + Activité en double</t>
        </is>
      </c>
      <c r="AI119" s="12" t="n">
        <v>81</v>
      </c>
      <c r="AJ119" s="12" t="inlineStr">
        <is>
          <t>81, 82</t>
        </is>
      </c>
      <c r="AK119" s="12" t="inlineStr">
        <is>
          <t>DEMO_GMAO.xlsx</t>
        </is>
      </c>
      <c r="AL119" s="24" t="n">
        <v>46309.625</v>
      </c>
    </row>
    <row r="120">
      <c r="A120" s="12" t="inlineStr">
        <is>
          <t>910000080</t>
        </is>
      </c>
      <c r="B120" s="12" t="n"/>
      <c r="C120" s="12" t="inlineStr">
        <is>
          <t>SPS</t>
        </is>
      </c>
      <c r="D120" s="12" t="inlineStr">
        <is>
          <t>AA3</t>
        </is>
      </c>
      <c r="E120" s="12" t="inlineStr">
        <is>
          <t>G-I-EEE05</t>
        </is>
      </c>
      <c r="F120" s="12" t="inlineStr">
        <is>
          <t>G-I-EEE05</t>
        </is>
      </c>
      <c r="G120" s="12" t="inlineStr">
        <is>
          <t>G-I-EEE05-REG01</t>
        </is>
      </c>
      <c r="H120" s="12" t="inlineStr">
        <is>
          <t>Équipement fictif G-I-EEE05-REG01</t>
        </is>
      </c>
      <c r="I120" s="12" t="inlineStr">
        <is>
          <t>Maintenance préventive fictive EC+PIS - poste G-I-EEE05</t>
        </is>
      </c>
      <c r="J120" s="23" t="n">
        <v>46121</v>
      </c>
      <c r="K120" s="12" t="n">
        <v>2026</v>
      </c>
      <c r="L120" s="12" t="inlineStr">
        <is>
          <t>EC+PIS</t>
        </is>
      </c>
      <c r="M120" s="12" t="inlineStr">
        <is>
          <t>PIS</t>
        </is>
      </c>
      <c r="N120" s="12" t="inlineStr">
        <is>
          <t>COUPURE</t>
        </is>
      </c>
      <c r="O120" s="12" t="inlineStr">
        <is>
          <t>ACTI</t>
        </is>
      </c>
      <c r="P120" s="12" t="inlineStr">
        <is>
          <t>STAT_SYS_A</t>
        </is>
      </c>
      <c r="Q120" s="12" t="inlineStr">
        <is>
          <t>EQ-EEE05-04</t>
        </is>
      </c>
      <c r="R120" s="23" t="n">
        <v>46064</v>
      </c>
      <c r="S120" s="23" t="n">
        <v>46097</v>
      </c>
      <c r="T120" s="12" t="inlineStr">
        <is>
          <t>Poste fictif Epsilon</t>
        </is>
      </c>
      <c r="U120" s="12" t="inlineStr">
        <is>
          <t>SPS</t>
        </is>
      </c>
      <c r="V120" s="12" t="inlineStr">
        <is>
          <t>AA3</t>
        </is>
      </c>
      <c r="W120" s="12" t="inlineStr">
        <is>
          <t>ZPR2</t>
        </is>
      </c>
      <c r="X120" s="12" t="inlineStr">
        <is>
          <t>PRE</t>
        </is>
      </c>
      <c r="Y120" s="12" t="n"/>
      <c r="Z120" s="12" t="inlineStr">
        <is>
          <t>USER02</t>
        </is>
      </c>
      <c r="AA120" s="12" t="n">
        <v>950.79</v>
      </c>
      <c r="AB120" s="12" t="inlineStr">
        <is>
          <t>AA3</t>
        </is>
      </c>
      <c r="AC120" s="12" t="inlineStr">
        <is>
          <t>GG-PREV</t>
        </is>
      </c>
      <c r="AD120" s="12" t="inlineStr">
        <is>
          <t>3</t>
        </is>
      </c>
      <c r="AE120" s="12" t="inlineStr">
        <is>
          <t>Code site</t>
        </is>
      </c>
      <c r="AF120" s="12" t="n"/>
      <c r="AG120" s="12" t="n">
        <v>0</v>
      </c>
      <c r="AH120" s="12" t="inlineStr">
        <is>
          <t>Doublon OT éventuel ; Couple Ordre + Activité en double</t>
        </is>
      </c>
      <c r="AI120" s="12" t="n">
        <v>81</v>
      </c>
      <c r="AJ120" s="12" t="inlineStr">
        <is>
          <t>81, 82</t>
        </is>
      </c>
      <c r="AK120" s="12" t="inlineStr">
        <is>
          <t>DEMO_GMAO.xlsx</t>
        </is>
      </c>
      <c r="AL120" s="24" t="n">
        <v>46309.625</v>
      </c>
    </row>
    <row r="121">
      <c r="A121" s="12" t="inlineStr">
        <is>
          <t>910000081</t>
        </is>
      </c>
      <c r="B121" s="12" t="n"/>
      <c r="C121" s="12" t="inlineStr">
        <is>
          <t>SPS</t>
        </is>
      </c>
      <c r="D121" s="12" t="inlineStr">
        <is>
          <t>AA4</t>
        </is>
      </c>
      <c r="E121" s="12" t="inlineStr">
        <is>
          <t>G-I-FFF06</t>
        </is>
      </c>
      <c r="F121" s="12" t="n"/>
      <c r="G121" s="12" t="inlineStr">
        <is>
          <t>G-I-FFF06-VAN01</t>
        </is>
      </c>
      <c r="H121" s="12" t="inlineStr">
        <is>
          <t>Équipement fictif G-I-FFF06-VAN01</t>
        </is>
      </c>
      <c r="I121" s="12" t="inlineStr">
        <is>
          <t>Maintenance préventive fictive PIS - poste G-I-FFF06</t>
        </is>
      </c>
      <c r="J121" s="23" t="n">
        <v>46581</v>
      </c>
      <c r="K121" s="12" t="n">
        <v>2027</v>
      </c>
      <c r="L121" s="12" t="inlineStr">
        <is>
          <t>PIS</t>
        </is>
      </c>
      <c r="M121" s="12" t="inlineStr">
        <is>
          <t>PIS</t>
        </is>
      </c>
      <c r="N121" s="12" t="inlineStr">
        <is>
          <t>SECTIONNEMENT</t>
        </is>
      </c>
      <c r="O121" s="12" t="inlineStr">
        <is>
          <t>TERM</t>
        </is>
      </c>
      <c r="P121" s="12" t="inlineStr">
        <is>
          <t>STAT_SYS_A</t>
        </is>
      </c>
      <c r="Q121" s="12" t="inlineStr">
        <is>
          <t>EQ-FFF06-04</t>
        </is>
      </c>
      <c r="R121" s="23" t="n">
        <v>46498</v>
      </c>
      <c r="S121" s="23" t="n">
        <v>46560</v>
      </c>
      <c r="T121" s="12" t="inlineStr">
        <is>
          <t>Poste fictif Zeta</t>
        </is>
      </c>
      <c r="U121" s="12" t="inlineStr">
        <is>
          <t>SPS</t>
        </is>
      </c>
      <c r="V121" s="12" t="inlineStr">
        <is>
          <t>AA4</t>
        </is>
      </c>
      <c r="W121" s="12" t="inlineStr">
        <is>
          <t>ZPR2</t>
        </is>
      </c>
      <c r="X121" s="12" t="inlineStr">
        <is>
          <t>PRE</t>
        </is>
      </c>
      <c r="Y121" s="12" t="n"/>
      <c r="Z121" s="12" t="inlineStr">
        <is>
          <t>USER02</t>
        </is>
      </c>
      <c r="AA121" s="12" t="n">
        <v>1121.71</v>
      </c>
      <c r="AB121" s="12" t="inlineStr">
        <is>
          <t>AA4</t>
        </is>
      </c>
      <c r="AC121" s="12" t="inlineStr">
        <is>
          <t>GG-PREV</t>
        </is>
      </c>
      <c r="AD121" s="12" t="inlineStr">
        <is>
          <t>2</t>
        </is>
      </c>
      <c r="AE121" s="12" t="inlineStr">
        <is>
          <t>Poste technique (9 car.)</t>
        </is>
      </c>
      <c r="AF121" s="12" t="n"/>
      <c r="AG121" s="12" t="n">
        <v>1</v>
      </c>
      <c r="AH121" s="12" t="inlineStr">
        <is>
          <t>Code site vide : code poste repris du Poste technique</t>
        </is>
      </c>
      <c r="AI121" s="12" t="n">
        <v>83</v>
      </c>
      <c r="AJ121" s="12" t="n"/>
      <c r="AK121" s="12" t="inlineStr">
        <is>
          <t>DEMO_GMAO.xlsx</t>
        </is>
      </c>
      <c r="AL121" s="24" t="n">
        <v>46309.625</v>
      </c>
    </row>
    <row r="122">
      <c r="A122" s="12" t="inlineStr">
        <is>
          <t>910000082</t>
        </is>
      </c>
      <c r="B122" s="12" t="n"/>
      <c r="C122" s="12" t="inlineStr">
        <is>
          <t>RNA</t>
        </is>
      </c>
      <c r="D122" s="12" t="inlineStr">
        <is>
          <t>AA1</t>
        </is>
      </c>
      <c r="E122" s="12" t="inlineStr">
        <is>
          <t>G-I-GGG07</t>
        </is>
      </c>
      <c r="F122" s="12" t="inlineStr">
        <is>
          <t>G-I-GGG07</t>
        </is>
      </c>
      <c r="G122" s="12" t="inlineStr">
        <is>
          <t>G-I-GGX07-VAN01</t>
        </is>
      </c>
      <c r="H122" s="12" t="inlineStr">
        <is>
          <t>Équipement fictif G-I-GGX07-VAN01</t>
        </is>
      </c>
      <c r="I122" s="12" t="inlineStr">
        <is>
          <t>Maintenance préventive fictive EC - poste G-I-GGX07</t>
        </is>
      </c>
      <c r="J122" s="23" t="n">
        <v>46633</v>
      </c>
      <c r="K122" s="12" t="n">
        <v>2027</v>
      </c>
      <c r="L122" s="12" t="inlineStr">
        <is>
          <t>EC</t>
        </is>
      </c>
      <c r="M122" s="12" t="inlineStr">
        <is>
          <t>EC</t>
        </is>
      </c>
      <c r="N122" s="12" t="inlineStr">
        <is>
          <t>DETENTE</t>
        </is>
      </c>
      <c r="O122" s="12" t="inlineStr">
        <is>
          <t>ACTI</t>
        </is>
      </c>
      <c r="P122" s="12" t="inlineStr">
        <is>
          <t>STAT_SYS_A</t>
        </is>
      </c>
      <c r="Q122" s="12" t="inlineStr">
        <is>
          <t>EQ-GGX07-07</t>
        </is>
      </c>
      <c r="R122" s="23" t="n">
        <v>46583</v>
      </c>
      <c r="S122" s="23" t="n">
        <v>46608</v>
      </c>
      <c r="T122" s="12" t="inlineStr">
        <is>
          <t>Poste fictif Eta</t>
        </is>
      </c>
      <c r="U122" s="12" t="inlineStr">
        <is>
          <t>RNA</t>
        </is>
      </c>
      <c r="V122" s="12" t="inlineStr">
        <is>
          <t>AA1</t>
        </is>
      </c>
      <c r="W122" s="12" t="inlineStr">
        <is>
          <t>ZPR2</t>
        </is>
      </c>
      <c r="X122" s="12" t="inlineStr">
        <is>
          <t>PRE</t>
        </is>
      </c>
      <c r="Y122" s="12" t="n"/>
      <c r="Z122" s="12" t="inlineStr">
        <is>
          <t>USER01</t>
        </is>
      </c>
      <c r="AA122" s="12" t="n">
        <v>607.78</v>
      </c>
      <c r="AB122" s="12" t="inlineStr">
        <is>
          <t>AA1</t>
        </is>
      </c>
      <c r="AC122" s="12" t="inlineStr">
        <is>
          <t>GG-PREV</t>
        </is>
      </c>
      <c r="AD122" s="12" t="inlineStr">
        <is>
          <t>1</t>
        </is>
      </c>
      <c r="AE122" s="12" t="inlineStr">
        <is>
          <t>Code site</t>
        </is>
      </c>
      <c r="AF122" s="12" t="n"/>
      <c r="AG122" s="12" t="n">
        <v>1</v>
      </c>
      <c r="AH122" s="12" t="inlineStr">
        <is>
          <t>Code site ≠ GAUCHE(Poste technique;9)</t>
        </is>
      </c>
      <c r="AI122" s="12" t="n">
        <v>84</v>
      </c>
      <c r="AJ122" s="12" t="n"/>
      <c r="AK122" s="12" t="inlineStr">
        <is>
          <t>DEMO_GMAO.xlsx</t>
        </is>
      </c>
      <c r="AL122" s="24" t="n">
        <v>46309.625</v>
      </c>
    </row>
    <row r="123">
      <c r="A123" s="12" t="inlineStr">
        <is>
          <t>910000083</t>
        </is>
      </c>
      <c r="B123" s="12" t="n"/>
      <c r="C123" s="12" t="inlineStr">
        <is>
          <t>VRS</t>
        </is>
      </c>
      <c r="D123" s="12" t="inlineStr">
        <is>
          <t>AA1</t>
        </is>
      </c>
      <c r="E123" s="12" t="inlineStr">
        <is>
          <t>G-I-JJJ10</t>
        </is>
      </c>
      <c r="F123" s="12" t="inlineStr">
        <is>
          <t>G-I-JJJ10</t>
        </is>
      </c>
      <c r="G123" s="12" t="inlineStr">
        <is>
          <t>G-I-JJJ10-VAN01</t>
        </is>
      </c>
      <c r="H123" s="12" t="inlineStr">
        <is>
          <t>Équipement fictif G-I-JJJ10-VAN01</t>
        </is>
      </c>
      <c r="I123" s="12" t="inlineStr">
        <is>
          <t>Maintenance préventive fictive PIS+CONTROLE VISUEL - poste G-I-JJJ10</t>
        </is>
      </c>
      <c r="J123" s="23" t="n">
        <v>46489</v>
      </c>
      <c r="K123" s="12" t="n">
        <v>2027</v>
      </c>
      <c r="L123" s="12" t="inlineStr">
        <is>
          <t>PIS+CONTROLE VISUEL</t>
        </is>
      </c>
      <c r="M123" s="12" t="inlineStr">
        <is>
          <t>PIS</t>
        </is>
      </c>
      <c r="N123" s="12" t="inlineStr">
        <is>
          <t>COMPTAGE</t>
        </is>
      </c>
      <c r="O123" s="12" t="inlineStr">
        <is>
          <t>ACTI</t>
        </is>
      </c>
      <c r="P123" s="12" t="inlineStr">
        <is>
          <t>STAT_SYS_A</t>
        </is>
      </c>
      <c r="Q123" s="12" t="inlineStr">
        <is>
          <t>EQ-JJJ10-04</t>
        </is>
      </c>
      <c r="R123" s="23" t="n">
        <v>46405</v>
      </c>
      <c r="S123" s="23" t="n">
        <v>46468</v>
      </c>
      <c r="T123" s="12" t="inlineStr">
        <is>
          <t>Poste fictif Kappa</t>
        </is>
      </c>
      <c r="U123" s="12" t="inlineStr">
        <is>
          <t>VRS</t>
        </is>
      </c>
      <c r="V123" s="12" t="inlineStr">
        <is>
          <t>AA1</t>
        </is>
      </c>
      <c r="W123" s="12" t="inlineStr">
        <is>
          <t>ZPR2</t>
        </is>
      </c>
      <c r="X123" s="12" t="inlineStr">
        <is>
          <t>PRE</t>
        </is>
      </c>
      <c r="Y123" s="12" t="n"/>
      <c r="Z123" s="12" t="inlineStr">
        <is>
          <t>USER02</t>
        </is>
      </c>
      <c r="AA123" s="12" t="n">
        <v>480.35</v>
      </c>
      <c r="AB123" s="12" t="inlineStr">
        <is>
          <t>AA1</t>
        </is>
      </c>
      <c r="AC123" s="12" t="inlineStr">
        <is>
          <t>GG-PREV</t>
        </is>
      </c>
      <c r="AD123" s="12" t="inlineStr">
        <is>
          <t>3</t>
        </is>
      </c>
      <c r="AE123" s="12" t="inlineStr">
        <is>
          <t>Code site</t>
        </is>
      </c>
      <c r="AF123" s="12" t="n"/>
      <c r="AG123" s="12" t="n">
        <v>1</v>
      </c>
      <c r="AH123" s="12" t="inlineStr">
        <is>
          <t>Activité inconnue (à valider)</t>
        </is>
      </c>
      <c r="AI123" s="12" t="n">
        <v>85</v>
      </c>
      <c r="AJ123" s="12" t="n"/>
      <c r="AK123" s="12" t="inlineStr">
        <is>
          <t>DEMO_GMAO.xlsx</t>
        </is>
      </c>
      <c r="AL123" s="24" t="n">
        <v>46309.625</v>
      </c>
    </row>
    <row r="124">
      <c r="A124" s="12" t="inlineStr">
        <is>
          <t>910000083</t>
        </is>
      </c>
      <c r="B124" s="12" t="n"/>
      <c r="C124" s="12" t="inlineStr">
        <is>
          <t>VRS</t>
        </is>
      </c>
      <c r="D124" s="12" t="inlineStr">
        <is>
          <t>AA1</t>
        </is>
      </c>
      <c r="E124" s="12" t="inlineStr">
        <is>
          <t>G-I-JJJ10</t>
        </is>
      </c>
      <c r="F124" s="12" t="inlineStr">
        <is>
          <t>G-I-JJJ10</t>
        </is>
      </c>
      <c r="G124" s="12" t="inlineStr">
        <is>
          <t>G-I-JJJ10-VAN01</t>
        </is>
      </c>
      <c r="H124" s="12" t="inlineStr">
        <is>
          <t>Équipement fictif G-I-JJJ10-VAN01</t>
        </is>
      </c>
      <c r="I124" s="12" t="inlineStr">
        <is>
          <t>Maintenance préventive fictive PIS+CONTROLE VISUEL - poste G-I-JJJ10</t>
        </is>
      </c>
      <c r="J124" s="23" t="n">
        <v>46489</v>
      </c>
      <c r="K124" s="12" t="n">
        <v>2027</v>
      </c>
      <c r="L124" s="12" t="inlineStr">
        <is>
          <t>PIS+CONTROLE VISUEL</t>
        </is>
      </c>
      <c r="M124" s="12" t="inlineStr">
        <is>
          <t>CONTROLE VISUEL</t>
        </is>
      </c>
      <c r="N124" s="12" t="inlineStr">
        <is>
          <t>COMPTAGE</t>
        </is>
      </c>
      <c r="O124" s="12" t="inlineStr">
        <is>
          <t>ACTI</t>
        </is>
      </c>
      <c r="P124" s="12" t="inlineStr">
        <is>
          <t>STAT_SYS_A</t>
        </is>
      </c>
      <c r="Q124" s="12" t="inlineStr">
        <is>
          <t>EQ-JJJ10-04</t>
        </is>
      </c>
      <c r="R124" s="23" t="n">
        <v>46405</v>
      </c>
      <c r="S124" s="23" t="n">
        <v>46468</v>
      </c>
      <c r="T124" s="12" t="inlineStr">
        <is>
          <t>Poste fictif Kappa</t>
        </is>
      </c>
      <c r="U124" s="12" t="inlineStr">
        <is>
          <t>VRS</t>
        </is>
      </c>
      <c r="V124" s="12" t="inlineStr">
        <is>
          <t>AA1</t>
        </is>
      </c>
      <c r="W124" s="12" t="inlineStr">
        <is>
          <t>ZPR2</t>
        </is>
      </c>
      <c r="X124" s="12" t="inlineStr">
        <is>
          <t>PRE</t>
        </is>
      </c>
      <c r="Y124" s="12" t="n"/>
      <c r="Z124" s="12" t="inlineStr">
        <is>
          <t>USER02</t>
        </is>
      </c>
      <c r="AA124" s="12" t="n">
        <v>480.35</v>
      </c>
      <c r="AB124" s="12" t="inlineStr">
        <is>
          <t>AA1</t>
        </is>
      </c>
      <c r="AC124" s="12" t="inlineStr">
        <is>
          <t>GG-PREV</t>
        </is>
      </c>
      <c r="AD124" s="12" t="inlineStr">
        <is>
          <t>3</t>
        </is>
      </c>
      <c r="AE124" s="12" t="inlineStr">
        <is>
          <t>Code site</t>
        </is>
      </c>
      <c r="AF124" s="12" t="n"/>
      <c r="AG124" s="12" t="n">
        <v>0</v>
      </c>
      <c r="AH124" s="12" t="inlineStr">
        <is>
          <t>Activité inconnue (à valider)</t>
        </is>
      </c>
      <c r="AI124" s="12" t="n">
        <v>85</v>
      </c>
      <c r="AJ124" s="12" t="n"/>
      <c r="AK124" s="12" t="inlineStr">
        <is>
          <t>DEMO_GMAO.xlsx</t>
        </is>
      </c>
      <c r="AL124" s="24" t="n">
        <v>46309.625</v>
      </c>
    </row>
    <row r="125">
      <c r="A125" s="12" t="inlineStr">
        <is>
          <t>910000084</t>
        </is>
      </c>
      <c r="B125" s="12" t="n"/>
      <c r="C125" s="12" t="inlineStr">
        <is>
          <t>VRS</t>
        </is>
      </c>
      <c r="D125" s="12" t="inlineStr">
        <is>
          <t>AA4</t>
        </is>
      </c>
      <c r="E125" s="12" t="inlineStr">
        <is>
          <t>G-I-LLL12</t>
        </is>
      </c>
      <c r="F125" s="12" t="inlineStr">
        <is>
          <t>G-I-LLL12</t>
        </is>
      </c>
      <c r="G125" s="12" t="inlineStr">
        <is>
          <t>G-I-LLL12-SEC01</t>
        </is>
      </c>
      <c r="H125" s="12" t="inlineStr">
        <is>
          <t>Équipement fictif G-I-LLL12-SEC01</t>
        </is>
      </c>
      <c r="I125" s="12" t="inlineStr">
        <is>
          <t>Maintenance préventive fictive PIS - poste G-I-LLL12</t>
        </is>
      </c>
      <c r="J125" s="23" t="n">
        <v>46553</v>
      </c>
      <c r="K125" s="12" t="n">
        <v>2027</v>
      </c>
      <c r="L125" s="12" t="n"/>
      <c r="M125" s="12" t="n"/>
      <c r="N125" s="12" t="inlineStr">
        <is>
          <t>COMPTAGE</t>
        </is>
      </c>
      <c r="O125" s="12" t="inlineStr">
        <is>
          <t>ACTI</t>
        </is>
      </c>
      <c r="P125" s="12" t="inlineStr">
        <is>
          <t>STAT_SYS_A</t>
        </is>
      </c>
      <c r="Q125" s="12" t="inlineStr">
        <is>
          <t>EQ-LLL12-05</t>
        </is>
      </c>
      <c r="R125" s="23" t="n">
        <v>46502</v>
      </c>
      <c r="S125" s="23" t="n">
        <v>46542</v>
      </c>
      <c r="T125" s="12" t="inlineStr">
        <is>
          <t>Poste fictif Mu</t>
        </is>
      </c>
      <c r="U125" s="12" t="inlineStr">
        <is>
          <t>VRS</t>
        </is>
      </c>
      <c r="V125" s="12" t="inlineStr">
        <is>
          <t>AA4</t>
        </is>
      </c>
      <c r="W125" s="12" t="inlineStr">
        <is>
          <t>ZPR2</t>
        </is>
      </c>
      <c r="X125" s="12" t="inlineStr">
        <is>
          <t>PRE</t>
        </is>
      </c>
      <c r="Y125" s="12" t="n"/>
      <c r="Z125" s="12" t="inlineStr">
        <is>
          <t>USER03</t>
        </is>
      </c>
      <c r="AA125" s="12" t="n">
        <v>289.38</v>
      </c>
      <c r="AB125" s="12" t="inlineStr">
        <is>
          <t>AA4</t>
        </is>
      </c>
      <c r="AC125" s="12" t="inlineStr">
        <is>
          <t>GG-PREV</t>
        </is>
      </c>
      <c r="AD125" s="12" t="inlineStr">
        <is>
          <t>1</t>
        </is>
      </c>
      <c r="AE125" s="12" t="inlineStr">
        <is>
          <t>Code site</t>
        </is>
      </c>
      <c r="AF125" s="12" t="n"/>
      <c r="AG125" s="12" t="n">
        <v>1</v>
      </c>
      <c r="AH125" s="12" t="inlineStr">
        <is>
          <t>Activité source vide alors que Désignation est renseignée</t>
        </is>
      </c>
      <c r="AI125" s="12" t="n">
        <v>86</v>
      </c>
      <c r="AJ125" s="12" t="n"/>
      <c r="AK125" s="12" t="inlineStr">
        <is>
          <t>DEMO_GMAO.xlsx</t>
        </is>
      </c>
      <c r="AL125" s="24" t="n">
        <v>46309.625</v>
      </c>
    </row>
  </sheetData>
  <pageMargins left="0.4" right="0.4" top="1" bottom="1" header="0.5" footer="0.5"/>
  <pageSetup orientation="landscape" paperSize="9" fitToHeight="0" fitToWidth="3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6" customWidth="1" min="3" max="3"/>
    <col width="62" customWidth="1" min="4" max="4"/>
  </cols>
  <sheetData>
    <row r="1" ht="30" customHeight="1">
      <c r="A1" s="25" t="inlineStr">
        <is>
          <t>PARAMÈTRES</t>
        </is>
      </c>
      <c r="B1" s="1" t="n"/>
      <c r="C1" s="1" t="n"/>
      <c r="D1" s="3" t="inlineStr">
        <is>
          <t>PROTOTYPE V0.4</t>
        </is>
      </c>
    </row>
    <row r="2" ht="18" customHeight="1">
      <c r="A2" s="26" t="inlineStr">
        <is>
          <t>Quatre réglages, puis Données › Actualiser tout.</t>
        </is>
      </c>
      <c r="B2" s="1" t="n"/>
      <c r="C2" s="1" t="n"/>
      <c r="D2" s="5" t="inlineStr">
        <is>
          <t>Données 100 % fictives</t>
        </is>
      </c>
    </row>
    <row r="3" ht="3" customHeight="1">
      <c r="A3" s="6" t="n"/>
      <c r="B3" s="6" t="n"/>
      <c r="C3" s="6" t="n"/>
      <c r="D3" s="6" t="n"/>
    </row>
    <row r="5" ht="30" customHeight="1">
      <c r="B5" s="27" t="inlineStr">
        <is>
          <t>Fichier programme (PDM)</t>
        </is>
      </c>
      <c r="C5" s="28" t="inlineStr">
        <is>
          <t>DEMO_PDM.xlsx</t>
        </is>
      </c>
      <c r="D5" s="29" t="inlineStr">
        <is>
          <t>Nom du fichier placé dans le même dossier que ce classeur, ou chemin complet (C:\…\PDM.xlsx).</t>
        </is>
      </c>
    </row>
    <row r="6" ht="30" customHeight="1">
      <c r="B6" s="27" t="inlineStr">
        <is>
          <t>Fichier GMAO</t>
        </is>
      </c>
      <c r="C6" s="28" t="inlineStr">
        <is>
          <t>DEMO_GMAO.xlsx</t>
        </is>
      </c>
      <c r="D6" s="29" t="inlineStr">
        <is>
          <t>Export GMAO aux 24 colonnes habituelles (.xlsx ou .csv ;). Même règle que ci-dessus.</t>
        </is>
      </c>
    </row>
    <row r="7" ht="30" customHeight="1">
      <c r="B7" s="27" t="inlineStr">
        <is>
          <t>Année de référence</t>
        </is>
      </c>
      <c r="C7" s="30" t="n">
        <v>2027</v>
      </c>
      <c r="D7" s="29" t="inlineStr">
        <is>
          <t>Colonne mise en évidence dans 01 et compteur d'opérations.</t>
        </is>
      </c>
    </row>
    <row r="8" ht="30" customHeight="1">
      <c r="B8" s="27" t="inlineStr">
        <is>
          <t>Dernière actualisation</t>
        </is>
      </c>
      <c r="C8" s="31">
        <f>MAX(T_Controles[Actualisé le])</f>
        <v>46309.625</v>
      </c>
      <c r="D8" s="29" t="inlineStr">
        <is>
          <t>Écrite par les requêtes à chaque Données › Actualiser tout.</t>
        </is>
      </c>
    </row>
    <row r="10" ht="34" customHeight="1">
      <c r="B10" s="32" t="inlineStr">
        <is>
          <t>Contrôles à vérifier</t>
        </is>
      </c>
      <c r="C10" s="33">
        <f>COUNTIF(T_Controles[Statut],"À VÉRIFIER")</f>
        <v>7</v>
      </c>
      <c r="D10" s="29" t="inlineStr">
        <is>
          <t>Détail dans l'onglet masqué 90_CONTROLES (clic droit sur un onglet › Afficher…).</t>
        </is>
      </c>
    </row>
    <row r="13">
      <c r="B13" s="34" t="inlineStr">
        <is>
          <t>Réglages techniques (ne pas modifier sans raison)</t>
        </is>
      </c>
    </row>
    <row r="14">
      <c r="B14" s="35" t="inlineStr">
        <is>
          <t>Dossier de ce classeur (automatique)</t>
        </is>
      </c>
      <c r="C14" s="36" t="str">
        <f>IFERROR(LEFT(CELL("filename",$A$1),FIND("[",CELL("filename",$A$1))-1),"")</f>
        <v/>
      </c>
    </row>
    <row r="15">
      <c r="B15" s="35" t="inlineStr">
        <is>
          <t>Chemin lu pour le programme</t>
        </is>
      </c>
      <c r="C15" s="36" t="str">
        <f>IF(OR(ISNUMBER(SEARCH(":\",P_FichierPDM)),LEFT(P_FichierPDM,2)="\\",LEFT(P_FichierPDM,1)="/"),P_FichierPDM,P_Dossier&amp;P_FichierPDM)</f>
        <v>DEMO_PDM.xlsx</v>
      </c>
    </row>
    <row r="16">
      <c r="B16" s="35" t="inlineStr">
        <is>
          <t>Chemin lu pour la GMAO</t>
        </is>
      </c>
      <c r="C16" s="36" t="str">
        <f>IF(OR(ISNUMBER(SEARCH(":\",P_FichierGMAO)),LEFT(P_FichierGMAO,2)="\\",LEFT(P_FichierGMAO,1)="/"),P_FichierGMAO,P_Dossier&amp;P_FichierGMAO)</f>
        <v>DEMO_GMAO.xlsx</v>
      </c>
    </row>
    <row r="17">
      <c r="B17" s="35" t="inlineStr">
        <is>
          <t>Feuille du fichier PDM (vide = première)</t>
        </is>
      </c>
      <c r="C17" s="37" t="n"/>
    </row>
    <row r="18">
      <c r="B18" s="35" t="inlineStr">
        <is>
          <t>Feuille de l'export GMAO (vide = première)</t>
        </is>
      </c>
      <c r="C18" s="37" t="n"/>
    </row>
    <row r="19">
      <c r="B19" s="35" t="inlineStr">
        <is>
          <t>Longueur du code poste (repli sur Poste technique)</t>
        </is>
      </c>
      <c r="C19" s="38" t="n">
        <v>9</v>
      </c>
    </row>
    <row r="20" ht="30" customHeight="1">
      <c r="B20" s="35" t="inlineStr">
        <is>
          <t>Reconstruire l'activité depuis la Désignation (secours)</t>
        </is>
      </c>
      <c r="C20" s="37" t="inlineStr">
        <is>
          <t>Non</t>
        </is>
      </c>
      <c r="D20" s="39" t="inlineStr">
        <is>
          <t>Non par défaut. « Oui » déduit l'activité de mots-clés de la Désignation quand la colonne Activité est vide : règle de secours à valider (94_REFERENTIELS).</t>
        </is>
      </c>
    </row>
  </sheetData>
  <conditionalFormatting sqref="C10">
    <cfRule type="expression" priority="1" dxfId="3">
      <formula>C10&gt;0</formula>
    </cfRule>
  </conditionalFormatting>
  <dataValidations count="2">
    <dataValidation sqref="C20" showDropDown="0" showInputMessage="0" showErrorMessage="0" allowBlank="0" type="list">
      <formula1>"Non,Oui"</formula1>
    </dataValidation>
    <dataValidation sqref="C7" showDropDown="0" showInputMessage="0" showErrorMessage="1" allowBlank="0" errorTitle="Année" error="Année sur 4 chiffres." type="whole" operator="between">
      <formula1>2000</formula1>
      <formula2>2100</formula2>
    </dataValidation>
  </dataValidations>
  <pageMargins left="0.4" right="0.4" top="1" bottom="1" header="0.5" footer="0.5"/>
  <pageSetup orientation="portrait" paperSize="9" fitToHeight="0" fitToWidth="1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4B4D"/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22" customWidth="1" min="3" max="3"/>
  </cols>
  <sheetData>
    <row r="1" ht="30" customHeight="1">
      <c r="A1" s="1" t="n"/>
      <c r="B1" s="25" t="inlineStr">
        <is>
          <t>MODE D'EMPLOI</t>
        </is>
      </c>
      <c r="C1" s="3" t="inlineStr">
        <is>
          <t>PROTOTYPE V0.4</t>
        </is>
      </c>
    </row>
    <row r="2" ht="18" customHeight="1">
      <c r="A2" s="1" t="n"/>
      <c r="B2" s="26" t="inlineStr">
        <is>
          <t>L'essentiel en une page.</t>
        </is>
      </c>
      <c r="C2" s="5" t="inlineStr">
        <is>
          <t>Données 100 % fictives</t>
        </is>
      </c>
    </row>
    <row r="3" ht="3" customHeight="1">
      <c r="A3" s="6" t="n"/>
      <c r="B3" s="6" t="n"/>
      <c r="C3" s="6" t="n"/>
    </row>
    <row r="5" ht="24" customHeight="1">
      <c r="B5" s="40" t="inlineStr">
        <is>
          <t>À quoi sert ce fichier</t>
        </is>
      </c>
    </row>
    <row r="6" ht="20" customHeight="1">
      <c r="B6" s="41" t="inlineStr">
        <is>
          <t>Voir, poste par poste, la maintenance préventive prévue cette année et les suivantes (01).</t>
        </is>
      </c>
    </row>
    <row r="7" ht="20" customHeight="1">
      <c r="B7" s="41" t="inlineStr">
        <is>
          <t>En complément : vérifier que les OT préventifs correspondants existent dans la GMAO (02, 03).</t>
        </is>
      </c>
    </row>
    <row r="8" ht="20" customHeight="1">
      <c r="B8" s="41" t="inlineStr">
        <is>
          <t>Uniquement du préventif : les OT dont le Type de travail n'est pas PRE sont exclus des vues.</t>
        </is>
      </c>
    </row>
    <row r="10" ht="24" customHeight="1">
      <c r="B10" s="40" t="inlineStr">
        <is>
          <t>Utiliser</t>
        </is>
      </c>
    </row>
    <row r="11" ht="34" customHeight="1">
      <c r="B11" s="41" t="inlineStr">
        <is>
          <t>01_VISION_GLOBALE : cliquez sur SITE, ÉQUIPE, TYPOLOGIE (Ctrl + clic pour plusieurs). Une ligne = un poste.</t>
        </is>
      </c>
    </row>
    <row r="12" ht="34" customHeight="1">
      <c r="B12" s="41" t="inlineStr">
        <is>
          <t>02_COUVERTURE_OT : choisissez SITE, ÉQUIPE, ANNÉE. Chaque nombre = OT distincts. Double-cliquez sur un nombre : Excel ouvre une nouvelle feuille avec les OT concernés (à supprimer après lecture).</t>
        </is>
      </c>
    </row>
    <row r="13" ht="20" customHeight="1">
      <c r="B13" s="41" t="inlineStr">
        <is>
          <t>03_DETAIL_OT : tous les OT préventifs, filtres Excel standards (ex. filtrer un numéro d'Ordre).</t>
        </is>
      </c>
    </row>
    <row r="15" ht="24" customHeight="1">
      <c r="B15" s="40" t="inlineStr">
        <is>
          <t>Mettre à jour (à chaque nouveau PDM ou export GMAO)</t>
        </is>
      </c>
    </row>
    <row r="16" ht="20" customHeight="1">
      <c r="B16" s="41" t="inlineStr">
        <is>
          <t>1. Remplacer DEMO_PDM.xlsx / DEMO_GMAO.xlsx par les nouveaux fichiers (ou saisir leur nom dans 04).</t>
        </is>
      </c>
    </row>
    <row r="17" ht="34" customHeight="1">
      <c r="B17" s="41" t="inlineStr">
        <is>
          <t>2. Données › Actualiser tout. Les vues 01, 02 et 03, les contrôles et la date d'actualisation se mettent à jour.</t>
        </is>
      </c>
    </row>
    <row r="18" ht="20" customHeight="1">
      <c r="B18" s="41" t="inlineStr">
        <is>
          <t>3. Lire « Contrôles à vérifier » dans 04.</t>
        </is>
      </c>
    </row>
    <row r="19" ht="34" customHeight="1">
      <c r="B19" s="41" t="inlineStr">
        <is>
          <t>Première fois : si Excel demande les niveaux de confidentialité, choisir « Organisationnel » pour les deux fichiers et pour ce classeur.</t>
        </is>
      </c>
    </row>
    <row r="21" ht="24" customHeight="1">
      <c r="B21" s="40" t="inlineStr">
        <is>
          <t>Règles appliquées</t>
        </is>
      </c>
    </row>
    <row r="22" ht="34" customHeight="1">
      <c r="B22" s="41" t="inlineStr">
        <is>
          <t>Site = Groupe gestionnaires ; Équipe = Poste travail princ. ; Année planifiée = année de Date début planifiée.</t>
        </is>
      </c>
    </row>
    <row r="23" ht="20" customHeight="1">
      <c r="B23" s="41" t="inlineStr">
        <is>
          <t>Code poste GMAO = Code site ; s'il est vide, 9 premiers caractères du Poste technique (signalé).</t>
        </is>
      </c>
    </row>
    <row r="24" ht="34" customHeight="1">
      <c r="B24" s="41" t="inlineStr">
        <is>
          <t>Code poste programme = Code Emprise ; s'il est vide, 9 premiers caractères du Code Installation (signalé).</t>
        </is>
      </c>
    </row>
    <row r="25" ht="34" customHeight="1">
      <c r="B25" s="41" t="inlineStr">
        <is>
          <t>Activité découpée sur « + » (EC+PIS = 1 OT compté en EC et en PIS, une seule fois au total). Activité inconnue gardée et signalée « à valider ».</t>
        </is>
      </c>
    </row>
    <row r="26" ht="34" customHeight="1">
      <c r="B26" s="41" t="inlineStr">
        <is>
          <t>Comptage = nombre d'Ordres distincts. Ordre vide : signalé, jamais compté. Lignes vides de fin d'export : ignorées.</t>
        </is>
      </c>
    </row>
    <row r="27" ht="34" customHeight="1">
      <c r="B27" s="41" t="inlineStr">
        <is>
          <t>Rapprochement : Code Emprise = Code site, exceptions dans T_Correspondance (94). Aucun diagnostic prévu / OT.</t>
        </is>
      </c>
    </row>
    <row r="29" ht="24" customHeight="1">
      <c r="B29" s="40" t="inlineStr">
        <is>
          <t>Onglets techniques (masqués)</t>
        </is>
      </c>
    </row>
    <row r="30" ht="34" customHeight="1">
      <c r="B30" s="41" t="inlineStr">
        <is>
          <t>90_CONTROLES, 91_ANOMALIES, 92_PROGRAMME, 93_RAPPROCHEMENT, 94_REFERENTIELS, 95_CODE_M. Clic droit sur un onglet › Afficher… pour les ouvrir (référentiels, correspondances, règles à valider).</t>
        </is>
      </c>
    </row>
  </sheetData>
  <pageMargins left="0.4" right="0.4" top="1" bottom="1" header="0.5" footer="0.5"/>
  <pageSetup orientation="portrait" paperSize="9" fitToHeight="0" fitToWidth="1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3DBDB"/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8" customWidth="1" min="3" max="3"/>
    <col width="10" customWidth="1" min="4" max="4"/>
    <col width="10" customWidth="1" min="5" max="5"/>
    <col width="10" customWidth="1" min="6" max="6"/>
    <col width="44" customWidth="1" min="7" max="7"/>
    <col width="16" customWidth="1" min="8" max="8"/>
  </cols>
  <sheetData>
    <row r="1" ht="32" customHeight="1">
      <c r="A1" s="11" t="inlineStr">
        <is>
          <t>N°</t>
        </is>
      </c>
      <c r="B1" s="11" t="inlineStr">
        <is>
          <t>Source</t>
        </is>
      </c>
      <c r="C1" s="11" t="inlineStr">
        <is>
          <t>Contrôle</t>
        </is>
      </c>
      <c r="D1" s="11" t="inlineStr">
        <is>
          <t>Niveau</t>
        </is>
      </c>
      <c r="E1" s="11" t="inlineStr">
        <is>
          <t>Nombre</t>
        </is>
      </c>
      <c r="F1" s="11" t="inlineStr">
        <is>
          <t>Statut</t>
        </is>
      </c>
      <c r="G1" s="11" t="inlineStr">
        <is>
          <t>Exemples</t>
        </is>
      </c>
      <c r="H1" s="11" t="inlineStr">
        <is>
          <t>Actualisé le</t>
        </is>
      </c>
    </row>
    <row r="2">
      <c r="A2" s="12" t="n">
        <v>1</v>
      </c>
      <c r="B2" s="12" t="inlineStr">
        <is>
          <t>PDM</t>
        </is>
      </c>
      <c r="C2" s="12" t="inlineStr">
        <is>
          <t>Lignes du programme lues</t>
        </is>
      </c>
      <c r="D2" s="12" t="inlineStr">
        <is>
          <t>Info</t>
        </is>
      </c>
      <c r="E2" s="12" t="n">
        <v>359</v>
      </c>
      <c r="F2" s="12" t="inlineStr">
        <is>
          <t>INFO</t>
        </is>
      </c>
      <c r="G2" s="12" t="inlineStr"/>
      <c r="H2" s="24" t="n">
        <v>46309.625</v>
      </c>
    </row>
    <row r="3">
      <c r="A3" s="12" t="n">
        <v>2</v>
      </c>
      <c r="B3" s="12" t="inlineStr">
        <is>
          <t>PDM</t>
        </is>
      </c>
      <c r="C3" s="12" t="inlineStr">
        <is>
          <t>Postes du programme</t>
        </is>
      </c>
      <c r="D3" s="12" t="inlineStr">
        <is>
          <t>Info</t>
        </is>
      </c>
      <c r="E3" s="12" t="n">
        <v>36</v>
      </c>
      <c r="F3" s="12" t="inlineStr">
        <is>
          <t>INFO</t>
        </is>
      </c>
      <c r="G3" s="12" t="inlineStr"/>
      <c r="H3" s="24" t="n">
        <v>46309.625</v>
      </c>
    </row>
    <row r="4">
      <c r="A4" s="12" t="n">
        <v>3</v>
      </c>
      <c r="B4" s="12" t="inlineStr">
        <is>
          <t>PDM</t>
        </is>
      </c>
      <c r="C4" s="12" t="inlineStr">
        <is>
          <t>PDM : Code Emprise vide (code repris du Code Installation)</t>
        </is>
      </c>
      <c r="D4" s="12" t="inlineStr">
        <is>
          <t>Info</t>
        </is>
      </c>
      <c r="E4" s="12" t="n">
        <v>18</v>
      </c>
      <c r="F4" s="12" t="inlineStr">
        <is>
          <t>INFO</t>
        </is>
      </c>
      <c r="G4" s="12" t="inlineStr">
        <is>
          <t>G-I-EEE05 2026, G-I-EEE05 2027, G-I-EEE05 2028, G-I-EEE05 2029, G-I-EEE05 2030, G-I-EEE05 2031, G-I-EEE05 2032, G-I-RRR18 2026, G-I-RRR18 2027, G-I-RRR18 2028</t>
        </is>
      </c>
      <c r="H4" s="24" t="n">
        <v>46309.625</v>
      </c>
    </row>
    <row r="5">
      <c r="A5" s="12" t="n">
        <v>4</v>
      </c>
      <c r="B5" s="12" t="inlineStr">
        <is>
          <t>PDM</t>
        </is>
      </c>
      <c r="C5" s="12" t="inlineStr">
        <is>
          <t>PDM : code poste impossible à déterminer</t>
        </is>
      </c>
      <c r="D5" s="12" t="inlineStr">
        <is>
          <t>À vérifier</t>
        </is>
      </c>
      <c r="E5" s="12" t="n">
        <v>0</v>
      </c>
      <c r="F5" s="12" t="inlineStr">
        <is>
          <t>OK</t>
        </is>
      </c>
      <c r="G5" s="12" t="inlineStr"/>
      <c r="H5" s="24" t="n">
        <v>46309.625</v>
      </c>
    </row>
    <row r="6">
      <c r="A6" s="12" t="n">
        <v>5</v>
      </c>
      <c r="B6" s="12" t="inlineStr">
        <is>
          <t>PDM</t>
        </is>
      </c>
      <c r="C6" s="12" t="inlineStr">
        <is>
          <t>PDM : année vide ou invalide</t>
        </is>
      </c>
      <c r="D6" s="12" t="inlineStr">
        <is>
          <t>À vérifier</t>
        </is>
      </c>
      <c r="E6" s="12" t="n">
        <v>0</v>
      </c>
      <c r="F6" s="12" t="inlineStr">
        <is>
          <t>OK</t>
        </is>
      </c>
      <c r="G6" s="12" t="inlineStr"/>
      <c r="H6" s="24" t="n">
        <v>46309.625</v>
      </c>
    </row>
    <row r="7">
      <c r="A7" s="12" t="n">
        <v>6</v>
      </c>
      <c r="B7" s="12" t="inlineStr">
        <is>
          <t>PDM</t>
        </is>
      </c>
      <c r="C7" s="12" t="inlineStr">
        <is>
          <t>PDM : opération vide</t>
        </is>
      </c>
      <c r="D7" s="12" t="inlineStr">
        <is>
          <t>À vérifier</t>
        </is>
      </c>
      <c r="E7" s="12" t="n">
        <v>0</v>
      </c>
      <c r="F7" s="12" t="inlineStr">
        <is>
          <t>OK</t>
        </is>
      </c>
      <c r="G7" s="12" t="inlineStr"/>
      <c r="H7" s="24" t="n">
        <v>46309.625</v>
      </c>
    </row>
    <row r="8">
      <c r="A8" s="12" t="n">
        <v>7</v>
      </c>
      <c r="B8" s="12" t="inlineStr">
        <is>
          <t>PDM</t>
        </is>
      </c>
      <c r="C8" s="12" t="inlineStr">
        <is>
          <t>PDM : opération inconnue (à valider)</t>
        </is>
      </c>
      <c r="D8" s="12" t="inlineStr">
        <is>
          <t>À vérifier</t>
        </is>
      </c>
      <c r="E8" s="12" t="n">
        <v>0</v>
      </c>
      <c r="F8" s="12" t="inlineStr">
        <is>
          <t>OK</t>
        </is>
      </c>
      <c r="G8" s="12" t="inlineStr"/>
      <c r="H8" s="24" t="n">
        <v>46309.625</v>
      </c>
    </row>
    <row r="9">
      <c r="A9" s="12" t="n">
        <v>8</v>
      </c>
      <c r="B9" s="12" t="inlineStr">
        <is>
          <t>PDM</t>
        </is>
      </c>
      <c r="C9" s="12" t="inlineStr">
        <is>
          <t>PDM : opération en double</t>
        </is>
      </c>
      <c r="D9" s="12" t="inlineStr">
        <is>
          <t>À vérifier</t>
        </is>
      </c>
      <c r="E9" s="12" t="n">
        <v>0</v>
      </c>
      <c r="F9" s="12" t="inlineStr">
        <is>
          <t>OK</t>
        </is>
      </c>
      <c r="G9" s="12" t="inlineStr"/>
      <c r="H9" s="24" t="n">
        <v>46309.625</v>
      </c>
    </row>
    <row r="10">
      <c r="A10" s="12" t="n">
        <v>9</v>
      </c>
      <c r="B10" s="12" t="inlineStr">
        <is>
          <t>PDM</t>
        </is>
      </c>
      <c r="C10" s="12" t="inlineStr">
        <is>
          <t>PDM : site inconnu</t>
        </is>
      </c>
      <c r="D10" s="12" t="inlineStr">
        <is>
          <t>À vérifier</t>
        </is>
      </c>
      <c r="E10" s="12" t="n">
        <v>0</v>
      </c>
      <c r="F10" s="12" t="inlineStr">
        <is>
          <t>OK</t>
        </is>
      </c>
      <c r="G10" s="12" t="inlineStr"/>
      <c r="H10" s="24" t="n">
        <v>46309.625</v>
      </c>
    </row>
    <row r="11">
      <c r="A11" s="12" t="n">
        <v>10</v>
      </c>
      <c r="B11" s="12" t="inlineStr">
        <is>
          <t>PDM</t>
        </is>
      </c>
      <c r="C11" s="12" t="inlineStr">
        <is>
          <t>PDM : site à valider</t>
        </is>
      </c>
      <c r="D11" s="12" t="inlineStr">
        <is>
          <t>À vérifier</t>
        </is>
      </c>
      <c r="E11" s="12" t="n">
        <v>0</v>
      </c>
      <c r="F11" s="12" t="inlineStr">
        <is>
          <t>OK</t>
        </is>
      </c>
      <c r="G11" s="12" t="inlineStr"/>
      <c r="H11" s="24" t="n">
        <v>46309.625</v>
      </c>
    </row>
    <row r="12">
      <c r="A12" s="12" t="n">
        <v>11</v>
      </c>
      <c r="B12" s="12" t="inlineStr">
        <is>
          <t>PDM</t>
        </is>
      </c>
      <c r="C12" s="12" t="inlineStr">
        <is>
          <t>PDM : équipe inconnue</t>
        </is>
      </c>
      <c r="D12" s="12" t="inlineStr">
        <is>
          <t>À vérifier</t>
        </is>
      </c>
      <c r="E12" s="12" t="n">
        <v>0</v>
      </c>
      <c r="F12" s="12" t="inlineStr">
        <is>
          <t>OK</t>
        </is>
      </c>
      <c r="G12" s="12" t="inlineStr"/>
      <c r="H12" s="24" t="n">
        <v>46309.625</v>
      </c>
    </row>
    <row r="13">
      <c r="A13" s="12" t="n">
        <v>12</v>
      </c>
      <c r="B13" s="12" t="inlineStr">
        <is>
          <t>PDM</t>
        </is>
      </c>
      <c r="C13" s="12" t="inlineStr">
        <is>
          <t>PDM : équipe à valider</t>
        </is>
      </c>
      <c r="D13" s="12" t="inlineStr">
        <is>
          <t>À vérifier</t>
        </is>
      </c>
      <c r="E13" s="12" t="n">
        <v>0</v>
      </c>
      <c r="F13" s="12" t="inlineStr">
        <is>
          <t>OK</t>
        </is>
      </c>
      <c r="G13" s="12" t="inlineStr"/>
      <c r="H13" s="24" t="n">
        <v>46309.625</v>
      </c>
    </row>
    <row r="14">
      <c r="A14" s="12" t="n">
        <v>13</v>
      </c>
      <c r="B14" s="12" t="inlineStr">
        <is>
          <t>GMAO</t>
        </is>
      </c>
      <c r="C14" s="12" t="inlineStr">
        <is>
          <t>Lignes lues dans l'export (hors lignes vides)</t>
        </is>
      </c>
      <c r="D14" s="12" t="inlineStr">
        <is>
          <t>Info</t>
        </is>
      </c>
      <c r="E14" s="12" t="n">
        <v>85</v>
      </c>
      <c r="F14" s="12" t="inlineStr">
        <is>
          <t>INFO</t>
        </is>
      </c>
      <c r="G14" s="12" t="inlineStr"/>
      <c r="H14" s="24" t="n">
        <v>46309.625</v>
      </c>
    </row>
    <row r="15">
      <c r="A15" s="12" t="n">
        <v>14</v>
      </c>
      <c r="B15" s="12" t="inlineStr">
        <is>
          <t>GMAO</t>
        </is>
      </c>
      <c r="C15" s="12" t="inlineStr">
        <is>
          <t>Lignes techniques vides ignorées</t>
        </is>
      </c>
      <c r="D15" s="12" t="inlineStr">
        <is>
          <t>Info</t>
        </is>
      </c>
      <c r="E15" s="12" t="n">
        <v>3</v>
      </c>
      <c r="F15" s="12" t="inlineStr">
        <is>
          <t>INFO</t>
        </is>
      </c>
      <c r="G15" s="12" t="inlineStr"/>
      <c r="H15" s="24" t="n">
        <v>46309.625</v>
      </c>
    </row>
    <row r="16">
      <c r="A16" s="12" t="n">
        <v>15</v>
      </c>
      <c r="B16" s="12" t="inlineStr">
        <is>
          <t>GMAO</t>
        </is>
      </c>
      <c r="C16" s="12" t="inlineStr">
        <is>
          <t>OT préventifs retenus (PRE, Ordre renseigné)</t>
        </is>
      </c>
      <c r="D16" s="12" t="inlineStr">
        <is>
          <t>Info</t>
        </is>
      </c>
      <c r="E16" s="12" t="n">
        <v>81</v>
      </c>
      <c r="F16" s="12" t="inlineStr">
        <is>
          <t>INFO</t>
        </is>
      </c>
      <c r="G16" s="12" t="inlineStr"/>
      <c r="H16" s="24" t="n">
        <v>46309.625</v>
      </c>
    </row>
    <row r="17">
      <c r="A17" s="12" t="n">
        <v>16</v>
      </c>
      <c r="B17" s="12" t="inlineStr">
        <is>
          <t>GMAO</t>
        </is>
      </c>
      <c r="C17" s="12" t="inlineStr">
        <is>
          <t>Colonnes absentes de l'export</t>
        </is>
      </c>
      <c r="D17" s="12" t="inlineStr">
        <is>
          <t>À vérifier</t>
        </is>
      </c>
      <c r="E17" s="12" t="n">
        <v>0</v>
      </c>
      <c r="F17" s="12" t="inlineStr">
        <is>
          <t>OK</t>
        </is>
      </c>
      <c r="G17" s="12" t="inlineStr"/>
      <c r="H17" s="24" t="n">
        <v>46309.625</v>
      </c>
    </row>
    <row r="18">
      <c r="A18" s="12" t="n">
        <v>17</v>
      </c>
      <c r="B18" s="12" t="inlineStr">
        <is>
          <t>GMAO</t>
        </is>
      </c>
      <c r="C18" s="12" t="inlineStr">
        <is>
          <t>Ordre vide</t>
        </is>
      </c>
      <c r="D18" s="12" t="inlineStr">
        <is>
          <t>À vérifier</t>
        </is>
      </c>
      <c r="E18" s="12" t="n">
        <v>1</v>
      </c>
      <c r="F18" s="12" t="inlineStr">
        <is>
          <t>À VÉRIFIER</t>
        </is>
      </c>
      <c r="G18" s="12" t="inlineStr">
        <is>
          <t>ligne 80</t>
        </is>
      </c>
      <c r="H18" s="24" t="n">
        <v>46309.625</v>
      </c>
    </row>
    <row r="19">
      <c r="A19" s="12" t="n">
        <v>18</v>
      </c>
      <c r="B19" s="12" t="inlineStr">
        <is>
          <t>GMAO</t>
        </is>
      </c>
      <c r="C19" s="12" t="inlineStr">
        <is>
          <t>Doublon OT éventuel</t>
        </is>
      </c>
      <c r="D19" s="12" t="inlineStr">
        <is>
          <t>À vérifier</t>
        </is>
      </c>
      <c r="E19" s="12" t="n">
        <v>2</v>
      </c>
      <c r="F19" s="12" t="inlineStr">
        <is>
          <t>À VÉRIFIER</t>
        </is>
      </c>
      <c r="G19" s="12" t="inlineStr">
        <is>
          <t>910000080</t>
        </is>
      </c>
      <c r="H19" s="24" t="n">
        <v>46309.625</v>
      </c>
    </row>
    <row r="20">
      <c r="A20" s="12" t="n">
        <v>19</v>
      </c>
      <c r="B20" s="12" t="inlineStr">
        <is>
          <t>GMAO</t>
        </is>
      </c>
      <c r="C20" s="12" t="inlineStr">
        <is>
          <t>Code poste impossible à déterminer</t>
        </is>
      </c>
      <c r="D20" s="12" t="inlineStr">
        <is>
          <t>À vérifier</t>
        </is>
      </c>
      <c r="E20" s="12" t="n">
        <v>0</v>
      </c>
      <c r="F20" s="12" t="inlineStr">
        <is>
          <t>OK</t>
        </is>
      </c>
      <c r="G20" s="12" t="inlineStr"/>
      <c r="H20" s="24" t="n">
        <v>46309.625</v>
      </c>
    </row>
    <row r="21">
      <c r="A21" s="12" t="n">
        <v>20</v>
      </c>
      <c r="B21" s="12" t="inlineStr">
        <is>
          <t>GMAO</t>
        </is>
      </c>
      <c r="C21" s="12" t="inlineStr">
        <is>
          <t>Code site vide : code poste repris du Poste technique</t>
        </is>
      </c>
      <c r="D21" s="12" t="inlineStr">
        <is>
          <t>Info</t>
        </is>
      </c>
      <c r="E21" s="12" t="n">
        <v>1</v>
      </c>
      <c r="F21" s="12" t="inlineStr">
        <is>
          <t>INFO</t>
        </is>
      </c>
      <c r="G21" s="12" t="inlineStr">
        <is>
          <t>910000081</t>
        </is>
      </c>
      <c r="H21" s="24" t="n">
        <v>46309.625</v>
      </c>
    </row>
    <row r="22">
      <c r="A22" s="12" t="n">
        <v>21</v>
      </c>
      <c r="B22" s="12" t="inlineStr">
        <is>
          <t>GMAO</t>
        </is>
      </c>
      <c r="C22" s="12" t="inlineStr">
        <is>
          <t>Poste technique vide</t>
        </is>
      </c>
      <c r="D22" s="12" t="inlineStr">
        <is>
          <t>À vérifier</t>
        </is>
      </c>
      <c r="E22" s="12" t="n">
        <v>0</v>
      </c>
      <c r="F22" s="12" t="inlineStr">
        <is>
          <t>OK</t>
        </is>
      </c>
      <c r="G22" s="12" t="inlineStr"/>
      <c r="H22" s="24" t="n">
        <v>46309.625</v>
      </c>
    </row>
    <row r="23">
      <c r="A23" s="12" t="n">
        <v>22</v>
      </c>
      <c r="B23" s="12" t="inlineStr">
        <is>
          <t>GMAO</t>
        </is>
      </c>
      <c r="C23" s="12" t="inlineStr">
        <is>
          <t>Code site ≠ GAUCHE(Poste technique;9)</t>
        </is>
      </c>
      <c r="D23" s="12" t="inlineStr">
        <is>
          <t>À vérifier</t>
        </is>
      </c>
      <c r="E23" s="12" t="n">
        <v>1</v>
      </c>
      <c r="F23" s="12" t="inlineStr">
        <is>
          <t>À VÉRIFIER</t>
        </is>
      </c>
      <c r="G23" s="12" t="inlineStr">
        <is>
          <t>910000082</t>
        </is>
      </c>
      <c r="H23" s="24" t="n">
        <v>46309.625</v>
      </c>
    </row>
    <row r="24">
      <c r="A24" s="12" t="n">
        <v>23</v>
      </c>
      <c r="B24" s="12" t="inlineStr">
        <is>
          <t>GMAO</t>
        </is>
      </c>
      <c r="C24" s="12" t="inlineStr">
        <is>
          <t>Date début planifiée vide</t>
        </is>
      </c>
      <c r="D24" s="12" t="inlineStr">
        <is>
          <t>À vérifier</t>
        </is>
      </c>
      <c r="E24" s="12" t="n">
        <v>0</v>
      </c>
      <c r="F24" s="12" t="inlineStr">
        <is>
          <t>OK</t>
        </is>
      </c>
      <c r="G24" s="12" t="inlineStr"/>
      <c r="H24" s="24" t="n">
        <v>46309.625</v>
      </c>
    </row>
    <row r="25">
      <c r="A25" s="12" t="n">
        <v>24</v>
      </c>
      <c r="B25" s="12" t="inlineStr">
        <is>
          <t>GMAO</t>
        </is>
      </c>
      <c r="C25" s="12" t="inlineStr">
        <is>
          <t>Date début planifiée invalide</t>
        </is>
      </c>
      <c r="D25" s="12" t="inlineStr">
        <is>
          <t>À vérifier</t>
        </is>
      </c>
      <c r="E25" s="12" t="n">
        <v>0</v>
      </c>
      <c r="F25" s="12" t="inlineStr">
        <is>
          <t>OK</t>
        </is>
      </c>
      <c r="G25" s="12" t="inlineStr"/>
      <c r="H25" s="24" t="n">
        <v>46309.625</v>
      </c>
    </row>
    <row r="26">
      <c r="A26" s="12" t="n">
        <v>25</v>
      </c>
      <c r="B26" s="12" t="inlineStr">
        <is>
          <t>GMAO</t>
        </is>
      </c>
      <c r="C26" s="12" t="inlineStr">
        <is>
          <t>Activité vide</t>
        </is>
      </c>
      <c r="D26" s="12" t="inlineStr">
        <is>
          <t>À vérifier</t>
        </is>
      </c>
      <c r="E26" s="12" t="n">
        <v>0</v>
      </c>
      <c r="F26" s="12" t="inlineStr">
        <is>
          <t>OK</t>
        </is>
      </c>
      <c r="G26" s="12" t="inlineStr"/>
      <c r="H26" s="24" t="n">
        <v>46309.625</v>
      </c>
    </row>
    <row r="27">
      <c r="A27" s="12" t="n">
        <v>26</v>
      </c>
      <c r="B27" s="12" t="inlineStr">
        <is>
          <t>GMAO</t>
        </is>
      </c>
      <c r="C27" s="12" t="inlineStr">
        <is>
          <t>Activité source vide alors que Désignation est renseignée</t>
        </is>
      </c>
      <c r="D27" s="12" t="inlineStr">
        <is>
          <t>À vérifier</t>
        </is>
      </c>
      <c r="E27" s="12" t="n">
        <v>1</v>
      </c>
      <c r="F27" s="12" t="inlineStr">
        <is>
          <t>À VÉRIFIER</t>
        </is>
      </c>
      <c r="G27" s="12" t="inlineStr">
        <is>
          <t>910000084</t>
        </is>
      </c>
      <c r="H27" s="24" t="n">
        <v>46309.625</v>
      </c>
    </row>
    <row r="28">
      <c r="A28" s="12" t="n">
        <v>27</v>
      </c>
      <c r="B28" s="12" t="inlineStr">
        <is>
          <t>GMAO</t>
        </is>
      </c>
      <c r="C28" s="12" t="inlineStr">
        <is>
          <t>Activité reconstruite depuis la Désignation (secours)</t>
        </is>
      </c>
      <c r="D28" s="12" t="inlineStr">
        <is>
          <t>Info</t>
        </is>
      </c>
      <c r="E28" s="12" t="n">
        <v>0</v>
      </c>
      <c r="F28" s="12" t="inlineStr">
        <is>
          <t>INFO</t>
        </is>
      </c>
      <c r="G28" s="12" t="inlineStr"/>
      <c r="H28" s="24" t="n">
        <v>46309.625</v>
      </c>
    </row>
    <row r="29">
      <c r="A29" s="12" t="n">
        <v>28</v>
      </c>
      <c r="B29" s="12" t="inlineStr">
        <is>
          <t>GMAO</t>
        </is>
      </c>
      <c r="C29" s="12" t="inlineStr">
        <is>
          <t>Activité mal formée</t>
        </is>
      </c>
      <c r="D29" s="12" t="inlineStr">
        <is>
          <t>À vérifier</t>
        </is>
      </c>
      <c r="E29" s="12" t="n">
        <v>0</v>
      </c>
      <c r="F29" s="12" t="inlineStr">
        <is>
          <t>OK</t>
        </is>
      </c>
      <c r="G29" s="12" t="inlineStr"/>
      <c r="H29" s="24" t="n">
        <v>46309.625</v>
      </c>
    </row>
    <row r="30">
      <c r="A30" s="12" t="n">
        <v>29</v>
      </c>
      <c r="B30" s="12" t="inlineStr">
        <is>
          <t>GMAO</t>
        </is>
      </c>
      <c r="C30" s="12" t="inlineStr">
        <is>
          <t>Activité inconnue (à valider)</t>
        </is>
      </c>
      <c r="D30" s="12" t="inlineStr">
        <is>
          <t>À vérifier</t>
        </is>
      </c>
      <c r="E30" s="12" t="n">
        <v>1</v>
      </c>
      <c r="F30" s="12" t="inlineStr">
        <is>
          <t>À VÉRIFIER</t>
        </is>
      </c>
      <c r="G30" s="12" t="inlineStr">
        <is>
          <t>910000083</t>
        </is>
      </c>
      <c r="H30" s="24" t="n">
        <v>46309.625</v>
      </c>
    </row>
    <row r="31">
      <c r="A31" s="12" t="n">
        <v>30</v>
      </c>
      <c r="B31" s="12" t="inlineStr">
        <is>
          <t>GMAO</t>
        </is>
      </c>
      <c r="C31" s="12" t="inlineStr">
        <is>
          <t>Site inconnu</t>
        </is>
      </c>
      <c r="D31" s="12" t="inlineStr">
        <is>
          <t>À vérifier</t>
        </is>
      </c>
      <c r="E31" s="12" t="n">
        <v>0</v>
      </c>
      <c r="F31" s="12" t="inlineStr">
        <is>
          <t>OK</t>
        </is>
      </c>
      <c r="G31" s="12" t="inlineStr"/>
      <c r="H31" s="24" t="n">
        <v>46309.625</v>
      </c>
    </row>
    <row r="32">
      <c r="A32" s="12" t="n">
        <v>31</v>
      </c>
      <c r="B32" s="12" t="inlineStr">
        <is>
          <t>GMAO</t>
        </is>
      </c>
      <c r="C32" s="12" t="inlineStr">
        <is>
          <t>Site à valider</t>
        </is>
      </c>
      <c r="D32" s="12" t="inlineStr">
        <is>
          <t>À vérifier</t>
        </is>
      </c>
      <c r="E32" s="12" t="n">
        <v>0</v>
      </c>
      <c r="F32" s="12" t="inlineStr">
        <is>
          <t>OK</t>
        </is>
      </c>
      <c r="G32" s="12" t="inlineStr"/>
      <c r="H32" s="24" t="n">
        <v>46309.625</v>
      </c>
    </row>
    <row r="33">
      <c r="A33" s="12" t="n">
        <v>32</v>
      </c>
      <c r="B33" s="12" t="inlineStr">
        <is>
          <t>GMAO</t>
        </is>
      </c>
      <c r="C33" s="12" t="inlineStr">
        <is>
          <t>Site vide</t>
        </is>
      </c>
      <c r="D33" s="12" t="inlineStr">
        <is>
          <t>À vérifier</t>
        </is>
      </c>
      <c r="E33" s="12" t="n">
        <v>0</v>
      </c>
      <c r="F33" s="12" t="inlineStr">
        <is>
          <t>OK</t>
        </is>
      </c>
      <c r="G33" s="12" t="inlineStr"/>
      <c r="H33" s="24" t="n">
        <v>46309.625</v>
      </c>
    </row>
    <row r="34">
      <c r="A34" s="12" t="n">
        <v>33</v>
      </c>
      <c r="B34" s="12" t="inlineStr">
        <is>
          <t>GMAO</t>
        </is>
      </c>
      <c r="C34" s="12" t="inlineStr">
        <is>
          <t>Équipe inconnue</t>
        </is>
      </c>
      <c r="D34" s="12" t="inlineStr">
        <is>
          <t>À vérifier</t>
        </is>
      </c>
      <c r="E34" s="12" t="n">
        <v>0</v>
      </c>
      <c r="F34" s="12" t="inlineStr">
        <is>
          <t>OK</t>
        </is>
      </c>
      <c r="G34" s="12" t="inlineStr"/>
      <c r="H34" s="24" t="n">
        <v>46309.625</v>
      </c>
    </row>
    <row r="35">
      <c r="A35" s="12" t="n">
        <v>34</v>
      </c>
      <c r="B35" s="12" t="inlineStr">
        <is>
          <t>GMAO</t>
        </is>
      </c>
      <c r="C35" s="12" t="inlineStr">
        <is>
          <t>Équipe à valider</t>
        </is>
      </c>
      <c r="D35" s="12" t="inlineStr">
        <is>
          <t>À vérifier</t>
        </is>
      </c>
      <c r="E35" s="12" t="n">
        <v>0</v>
      </c>
      <c r="F35" s="12" t="inlineStr">
        <is>
          <t>OK</t>
        </is>
      </c>
      <c r="G35" s="12" t="inlineStr"/>
      <c r="H35" s="24" t="n">
        <v>46309.625</v>
      </c>
    </row>
    <row r="36">
      <c r="A36" s="12" t="n">
        <v>35</v>
      </c>
      <c r="B36" s="12" t="inlineStr">
        <is>
          <t>GMAO</t>
        </is>
      </c>
      <c r="C36" s="12" t="inlineStr">
        <is>
          <t>Équipe vide</t>
        </is>
      </c>
      <c r="D36" s="12" t="inlineStr">
        <is>
          <t>À vérifier</t>
        </is>
      </c>
      <c r="E36" s="12" t="n">
        <v>0</v>
      </c>
      <c r="F36" s="12" t="inlineStr">
        <is>
          <t>OK</t>
        </is>
      </c>
      <c r="G36" s="12" t="inlineStr"/>
      <c r="H36" s="24" t="n">
        <v>46309.625</v>
      </c>
    </row>
    <row r="37">
      <c r="A37" s="12" t="n">
        <v>36</v>
      </c>
      <c r="B37" s="12" t="inlineStr">
        <is>
          <t>GMAO</t>
        </is>
      </c>
      <c r="C37" s="12" t="inlineStr">
        <is>
          <t>Type de travail différent de PRE (exclu de la couverture)</t>
        </is>
      </c>
      <c r="D37" s="12" t="inlineStr">
        <is>
          <t>À vérifier</t>
        </is>
      </c>
      <c r="E37" s="12" t="n">
        <v>2</v>
      </c>
      <c r="F37" s="12" t="inlineStr">
        <is>
          <t>À VÉRIFIER</t>
        </is>
      </c>
      <c r="G37" s="12" t="inlineStr">
        <is>
          <t>910000077, 910000078</t>
        </is>
      </c>
      <c r="H37" s="24" t="n">
        <v>46309.625</v>
      </c>
    </row>
    <row r="38">
      <c r="A38" s="12" t="n">
        <v>37</v>
      </c>
      <c r="B38" s="12" t="inlineStr">
        <is>
          <t>GMAO</t>
        </is>
      </c>
      <c r="C38" s="12" t="inlineStr">
        <is>
          <t>Couple Ordre + Activité en double (compté une fois)</t>
        </is>
      </c>
      <c r="D38" s="12" t="inlineStr">
        <is>
          <t>Info</t>
        </is>
      </c>
      <c r="E38" s="12" t="n">
        <v>2</v>
      </c>
      <c r="F38" s="12" t="inlineStr">
        <is>
          <t>INFO</t>
        </is>
      </c>
      <c r="G38" s="12" t="inlineStr">
        <is>
          <t>910000080</t>
        </is>
      </c>
      <c r="H38" s="24" t="n">
        <v>46309.625</v>
      </c>
    </row>
    <row r="39">
      <c r="A39" s="12" t="n">
        <v>38</v>
      </c>
      <c r="B39" s="12" t="inlineStr">
        <is>
          <t>Rapprochement</t>
        </is>
      </c>
      <c r="C39" s="12" t="inlineStr">
        <is>
          <t>Postes : correspondance automatique</t>
        </is>
      </c>
      <c r="D39" s="12" t="inlineStr">
        <is>
          <t>Info</t>
        </is>
      </c>
      <c r="E39" s="12" t="n">
        <v>34</v>
      </c>
      <c r="F39" s="12" t="inlineStr">
        <is>
          <t>INFO</t>
        </is>
      </c>
      <c r="G39" s="12" t="inlineStr"/>
      <c r="H39" s="24" t="n">
        <v>46309.625</v>
      </c>
    </row>
    <row r="40">
      <c r="A40" s="12" t="n">
        <v>39</v>
      </c>
      <c r="B40" s="12" t="inlineStr">
        <is>
          <t>Rapprochement</t>
        </is>
      </c>
      <c r="C40" s="12" t="inlineStr">
        <is>
          <t>Postes : correspondance manuelle (T_Correspondance)</t>
        </is>
      </c>
      <c r="D40" s="12" t="inlineStr">
        <is>
          <t>Info</t>
        </is>
      </c>
      <c r="E40" s="12" t="n">
        <v>1</v>
      </c>
      <c r="F40" s="12" t="inlineStr">
        <is>
          <t>INFO</t>
        </is>
      </c>
      <c r="G40" s="12" t="inlineStr">
        <is>
          <t>G-I-MMM13</t>
        </is>
      </c>
      <c r="H40" s="24" t="n">
        <v>46309.625</v>
      </c>
    </row>
    <row r="41">
      <c r="A41" s="12" t="n">
        <v>40</v>
      </c>
      <c r="B41" s="12" t="inlineStr">
        <is>
          <t>Rapprochement</t>
        </is>
      </c>
      <c r="C41" s="12" t="inlineStr">
        <is>
          <t>Rapprochement PDM/GMAO impossible : poste sans OT préventif</t>
        </is>
      </c>
      <c r="D41" s="12" t="inlineStr">
        <is>
          <t>À vérifier</t>
        </is>
      </c>
      <c r="E41" s="12" t="n">
        <v>1</v>
      </c>
      <c r="F41" s="12" t="inlineStr">
        <is>
          <t>À VÉRIFIER</t>
        </is>
      </c>
      <c r="G41" s="12" t="inlineStr">
        <is>
          <t>G-I-ZZZ26</t>
        </is>
      </c>
      <c r="H41" s="24" t="n">
        <v>46309.625</v>
      </c>
    </row>
    <row r="42">
      <c r="A42" s="12" t="n">
        <v>41</v>
      </c>
      <c r="B42" s="12" t="inlineStr">
        <is>
          <t>Rapprochement</t>
        </is>
      </c>
      <c r="C42" s="12" t="inlineStr">
        <is>
          <t>Rapprochement PDM/GMAO impossible : OT sans poste au programme</t>
        </is>
      </c>
      <c r="D42" s="12" t="inlineStr">
        <is>
          <t>À vérifier</t>
        </is>
      </c>
      <c r="E42" s="12" t="n">
        <v>0</v>
      </c>
      <c r="F42" s="12" t="inlineStr">
        <is>
          <t>OK</t>
        </is>
      </c>
      <c r="G42" s="12" t="inlineStr"/>
      <c r="H42" s="24" t="n">
        <v>46309.625</v>
      </c>
    </row>
  </sheetData>
  <pageMargins left="0.75" right="0.75" top="1" bottom="1" header="0.5" footer="0.5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3DBDB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50" customWidth="1" min="7" max="7"/>
    <col width="50" customWidth="1" min="8" max="8"/>
  </cols>
  <sheetData>
    <row r="1" ht="32" customHeight="1">
      <c r="A1" s="11" t="inlineStr">
        <is>
          <t>Source</t>
        </is>
      </c>
      <c r="B1" s="11" t="inlineStr">
        <is>
          <t>Ligne</t>
        </is>
      </c>
      <c r="C1" s="11" t="inlineStr">
        <is>
          <t>Ordre</t>
        </is>
      </c>
      <c r="D1" s="11" t="inlineStr">
        <is>
          <t>Code poste</t>
        </is>
      </c>
      <c r="E1" s="11" t="inlineStr">
        <is>
          <t>Site</t>
        </is>
      </c>
      <c r="F1" s="11" t="inlineStr">
        <is>
          <t>Équipe</t>
        </is>
      </c>
      <c r="G1" s="11" t="inlineStr">
        <is>
          <t>Contrôle</t>
        </is>
      </c>
      <c r="H1" s="11" t="inlineStr">
        <is>
          <t>Détail</t>
        </is>
      </c>
    </row>
    <row r="2">
      <c r="A2" s="12" t="inlineStr">
        <is>
          <t>PDM</t>
        </is>
      </c>
      <c r="B2" s="12" t="n">
        <v>36</v>
      </c>
      <c r="C2" s="12" t="n"/>
      <c r="D2" s="12" t="inlineStr">
        <is>
          <t>G-I-EEE05</t>
        </is>
      </c>
      <c r="E2" s="12" t="inlineStr">
        <is>
          <t>SPS</t>
        </is>
      </c>
      <c r="F2" s="12" t="inlineStr">
        <is>
          <t>AA3</t>
        </is>
      </c>
      <c r="G2" s="12" t="inlineStr">
        <is>
          <t>PDM : Code Emprise vide (code repris du Code Installation)</t>
        </is>
      </c>
      <c r="H2" s="12" t="inlineStr">
        <is>
          <t>2026 Révision</t>
        </is>
      </c>
    </row>
    <row r="3">
      <c r="A3" s="12" t="inlineStr">
        <is>
          <t>PDM</t>
        </is>
      </c>
      <c r="B3" s="12" t="n">
        <v>37</v>
      </c>
      <c r="C3" s="12" t="n"/>
      <c r="D3" s="12" t="inlineStr">
        <is>
          <t>G-I-EEE05</t>
        </is>
      </c>
      <c r="E3" s="12" t="inlineStr">
        <is>
          <t>SPS</t>
        </is>
      </c>
      <c r="F3" s="12" t="inlineStr">
        <is>
          <t>AA3</t>
        </is>
      </c>
      <c r="G3" s="12" t="inlineStr">
        <is>
          <t>PDM : Code Emprise vide (code repris du Code Installation)</t>
        </is>
      </c>
      <c r="H3" s="12" t="inlineStr">
        <is>
          <t>2027 PIS</t>
        </is>
      </c>
    </row>
    <row r="4">
      <c r="A4" s="12" t="inlineStr">
        <is>
          <t>PDM</t>
        </is>
      </c>
      <c r="B4" s="12" t="n">
        <v>38</v>
      </c>
      <c r="C4" s="12" t="n"/>
      <c r="D4" s="12" t="inlineStr">
        <is>
          <t>G-I-EEE05</t>
        </is>
      </c>
      <c r="E4" s="12" t="inlineStr">
        <is>
          <t>SPS</t>
        </is>
      </c>
      <c r="F4" s="12" t="inlineStr">
        <is>
          <t>AA3</t>
        </is>
      </c>
      <c r="G4" s="12" t="inlineStr">
        <is>
          <t>PDM : Code Emprise vide (code repris du Code Installation)</t>
        </is>
      </c>
      <c r="H4" s="12" t="inlineStr">
        <is>
          <t>2028 PIS</t>
        </is>
      </c>
    </row>
    <row r="5">
      <c r="A5" s="12" t="inlineStr">
        <is>
          <t>PDM</t>
        </is>
      </c>
      <c r="B5" s="12" t="n">
        <v>39</v>
      </c>
      <c r="C5" s="12" t="n"/>
      <c r="D5" s="12" t="inlineStr">
        <is>
          <t>G-I-EEE05</t>
        </is>
      </c>
      <c r="E5" s="12" t="inlineStr">
        <is>
          <t>SPS</t>
        </is>
      </c>
      <c r="F5" s="12" t="inlineStr">
        <is>
          <t>AA3</t>
        </is>
      </c>
      <c r="G5" s="12" t="inlineStr">
        <is>
          <t>PDM : Code Emprise vide (code repris du Code Installation)</t>
        </is>
      </c>
      <c r="H5" s="12" t="inlineStr">
        <is>
          <t>2028 EC Simple</t>
        </is>
      </c>
    </row>
    <row r="6">
      <c r="A6" s="12" t="inlineStr">
        <is>
          <t>PDM</t>
        </is>
      </c>
      <c r="B6" s="12" t="n">
        <v>40</v>
      </c>
      <c r="C6" s="12" t="n"/>
      <c r="D6" s="12" t="inlineStr">
        <is>
          <t>G-I-EEE05</t>
        </is>
      </c>
      <c r="E6" s="12" t="inlineStr">
        <is>
          <t>SPS</t>
        </is>
      </c>
      <c r="F6" s="12" t="inlineStr">
        <is>
          <t>AA3</t>
        </is>
      </c>
      <c r="G6" s="12" t="inlineStr">
        <is>
          <t>PDM : Code Emprise vide (code repris du Code Installation)</t>
        </is>
      </c>
      <c r="H6" s="12" t="inlineStr">
        <is>
          <t>2029 PIS</t>
        </is>
      </c>
    </row>
    <row r="7">
      <c r="A7" s="12" t="inlineStr">
        <is>
          <t>PDM</t>
        </is>
      </c>
      <c r="B7" s="12" t="n">
        <v>41</v>
      </c>
      <c r="C7" s="12" t="n"/>
      <c r="D7" s="12" t="inlineStr">
        <is>
          <t>G-I-EEE05</t>
        </is>
      </c>
      <c r="E7" s="12" t="inlineStr">
        <is>
          <t>SPS</t>
        </is>
      </c>
      <c r="F7" s="12" t="inlineStr">
        <is>
          <t>AA3</t>
        </is>
      </c>
      <c r="G7" s="12" t="inlineStr">
        <is>
          <t>PDM : Code Emprise vide (code repris du Code Installation)</t>
        </is>
      </c>
      <c r="H7" s="12" t="inlineStr">
        <is>
          <t>2030 PIS</t>
        </is>
      </c>
    </row>
    <row r="8">
      <c r="A8" s="12" t="inlineStr">
        <is>
          <t>PDM</t>
        </is>
      </c>
      <c r="B8" s="12" t="n">
        <v>42</v>
      </c>
      <c r="C8" s="12" t="n"/>
      <c r="D8" s="12" t="inlineStr">
        <is>
          <t>G-I-EEE05</t>
        </is>
      </c>
      <c r="E8" s="12" t="inlineStr">
        <is>
          <t>SPS</t>
        </is>
      </c>
      <c r="F8" s="12" t="inlineStr">
        <is>
          <t>AA3</t>
        </is>
      </c>
      <c r="G8" s="12" t="inlineStr">
        <is>
          <t>PDM : Code Emprise vide (code repris du Code Installation)</t>
        </is>
      </c>
      <c r="H8" s="12" t="inlineStr">
        <is>
          <t>2030 EC Simple</t>
        </is>
      </c>
    </row>
    <row r="9">
      <c r="A9" s="12" t="inlineStr">
        <is>
          <t>PDM</t>
        </is>
      </c>
      <c r="B9" s="12" t="n">
        <v>43</v>
      </c>
      <c r="C9" s="12" t="n"/>
      <c r="D9" s="12" t="inlineStr">
        <is>
          <t>G-I-EEE05</t>
        </is>
      </c>
      <c r="E9" s="12" t="inlineStr">
        <is>
          <t>SPS</t>
        </is>
      </c>
      <c r="F9" s="12" t="inlineStr">
        <is>
          <t>AA3</t>
        </is>
      </c>
      <c r="G9" s="12" t="inlineStr">
        <is>
          <t>PDM : Code Emprise vide (code repris du Code Installation)</t>
        </is>
      </c>
      <c r="H9" s="12" t="inlineStr">
        <is>
          <t>2031 PIS</t>
        </is>
      </c>
    </row>
    <row r="10">
      <c r="A10" s="12" t="inlineStr">
        <is>
          <t>PDM</t>
        </is>
      </c>
      <c r="B10" s="12" t="n">
        <v>44</v>
      </c>
      <c r="C10" s="12" t="n"/>
      <c r="D10" s="12" t="inlineStr">
        <is>
          <t>G-I-EEE05</t>
        </is>
      </c>
      <c r="E10" s="12" t="inlineStr">
        <is>
          <t>SPS</t>
        </is>
      </c>
      <c r="F10" s="12" t="inlineStr">
        <is>
          <t>AA3</t>
        </is>
      </c>
      <c r="G10" s="12" t="inlineStr">
        <is>
          <t>PDM : Code Emprise vide (code repris du Code Installation)</t>
        </is>
      </c>
      <c r="H10" s="12" t="inlineStr">
        <is>
          <t>2032 Révision</t>
        </is>
      </c>
    </row>
    <row r="11">
      <c r="A11" s="12" t="inlineStr">
        <is>
          <t>PDM</t>
        </is>
      </c>
      <c r="B11" s="12" t="n">
        <v>164</v>
      </c>
      <c r="C11" s="12" t="n"/>
      <c r="D11" s="12" t="inlineStr">
        <is>
          <t>G-I-RRR18</t>
        </is>
      </c>
      <c r="E11" s="12" t="inlineStr">
        <is>
          <t>ALZ</t>
        </is>
      </c>
      <c r="F11" s="12" t="inlineStr">
        <is>
          <t>AA4</t>
        </is>
      </c>
      <c r="G11" s="12" t="inlineStr">
        <is>
          <t>PDM : Code Emprise vide (code repris du Code Installation)</t>
        </is>
      </c>
      <c r="H11" s="12" t="inlineStr">
        <is>
          <t>2026 PIS</t>
        </is>
      </c>
    </row>
    <row r="12">
      <c r="A12" s="12" t="inlineStr">
        <is>
          <t>PDM</t>
        </is>
      </c>
      <c r="B12" s="12" t="n">
        <v>165</v>
      </c>
      <c r="C12" s="12" t="n"/>
      <c r="D12" s="12" t="inlineStr">
        <is>
          <t>G-I-RRR18</t>
        </is>
      </c>
      <c r="E12" s="12" t="inlineStr">
        <is>
          <t>ALZ</t>
        </is>
      </c>
      <c r="F12" s="12" t="inlineStr">
        <is>
          <t>AA4</t>
        </is>
      </c>
      <c r="G12" s="12" t="inlineStr">
        <is>
          <t>PDM : Code Emprise vide (code repris du Code Installation)</t>
        </is>
      </c>
      <c r="H12" s="12" t="inlineStr">
        <is>
          <t>2027 PIS</t>
        </is>
      </c>
    </row>
    <row r="13">
      <c r="A13" s="12" t="inlineStr">
        <is>
          <t>PDM</t>
        </is>
      </c>
      <c r="B13" s="12" t="n">
        <v>166</v>
      </c>
      <c r="C13" s="12" t="n"/>
      <c r="D13" s="12" t="inlineStr">
        <is>
          <t>G-I-RRR18</t>
        </is>
      </c>
      <c r="E13" s="12" t="inlineStr">
        <is>
          <t>ALZ</t>
        </is>
      </c>
      <c r="F13" s="12" t="inlineStr">
        <is>
          <t>AA4</t>
        </is>
      </c>
      <c r="G13" s="12" t="inlineStr">
        <is>
          <t>PDM : Code Emprise vide (code repris du Code Installation)</t>
        </is>
      </c>
      <c r="H13" s="12" t="inlineStr">
        <is>
          <t>2028 PIS</t>
        </is>
      </c>
    </row>
    <row r="14">
      <c r="A14" s="12" t="inlineStr">
        <is>
          <t>PDM</t>
        </is>
      </c>
      <c r="B14" s="12" t="n">
        <v>167</v>
      </c>
      <c r="C14" s="12" t="n"/>
      <c r="D14" s="12" t="inlineStr">
        <is>
          <t>G-I-RRR18</t>
        </is>
      </c>
      <c r="E14" s="12" t="inlineStr">
        <is>
          <t>ALZ</t>
        </is>
      </c>
      <c r="F14" s="12" t="inlineStr">
        <is>
          <t>AA4</t>
        </is>
      </c>
      <c r="G14" s="12" t="inlineStr">
        <is>
          <t>PDM : Code Emprise vide (code repris du Code Installation)</t>
        </is>
      </c>
      <c r="H14" s="12" t="inlineStr">
        <is>
          <t>2028 EC Simple</t>
        </is>
      </c>
    </row>
    <row r="15">
      <c r="A15" s="12" t="inlineStr">
        <is>
          <t>PDM</t>
        </is>
      </c>
      <c r="B15" s="12" t="n">
        <v>168</v>
      </c>
      <c r="C15" s="12" t="n"/>
      <c r="D15" s="12" t="inlineStr">
        <is>
          <t>G-I-RRR18</t>
        </is>
      </c>
      <c r="E15" s="12" t="inlineStr">
        <is>
          <t>ALZ</t>
        </is>
      </c>
      <c r="F15" s="12" t="inlineStr">
        <is>
          <t>AA4</t>
        </is>
      </c>
      <c r="G15" s="12" t="inlineStr">
        <is>
          <t>PDM : Code Emprise vide (code repris du Code Installation)</t>
        </is>
      </c>
      <c r="H15" s="12" t="inlineStr">
        <is>
          <t>2029 PIS</t>
        </is>
      </c>
    </row>
    <row r="16">
      <c r="A16" s="12" t="inlineStr">
        <is>
          <t>PDM</t>
        </is>
      </c>
      <c r="B16" s="12" t="n">
        <v>169</v>
      </c>
      <c r="C16" s="12" t="n"/>
      <c r="D16" s="12" t="inlineStr">
        <is>
          <t>G-I-RRR18</t>
        </is>
      </c>
      <c r="E16" s="12" t="inlineStr">
        <is>
          <t>ALZ</t>
        </is>
      </c>
      <c r="F16" s="12" t="inlineStr">
        <is>
          <t>AA4</t>
        </is>
      </c>
      <c r="G16" s="12" t="inlineStr">
        <is>
          <t>PDM : Code Emprise vide (code repris du Code Installation)</t>
        </is>
      </c>
      <c r="H16" s="12" t="inlineStr">
        <is>
          <t>2030 Révision</t>
        </is>
      </c>
    </row>
    <row r="17">
      <c r="A17" s="12" t="inlineStr">
        <is>
          <t>PDM</t>
        </is>
      </c>
      <c r="B17" s="12" t="n">
        <v>170</v>
      </c>
      <c r="C17" s="12" t="n"/>
      <c r="D17" s="12" t="inlineStr">
        <is>
          <t>G-I-RRR18</t>
        </is>
      </c>
      <c r="E17" s="12" t="inlineStr">
        <is>
          <t>ALZ</t>
        </is>
      </c>
      <c r="F17" s="12" t="inlineStr">
        <is>
          <t>AA4</t>
        </is>
      </c>
      <c r="G17" s="12" t="inlineStr">
        <is>
          <t>PDM : Code Emprise vide (code repris du Code Installation)</t>
        </is>
      </c>
      <c r="H17" s="12" t="inlineStr">
        <is>
          <t>2031 PIS</t>
        </is>
      </c>
    </row>
    <row r="18">
      <c r="A18" s="12" t="inlineStr">
        <is>
          <t>PDM</t>
        </is>
      </c>
      <c r="B18" s="12" t="n">
        <v>171</v>
      </c>
      <c r="C18" s="12" t="n"/>
      <c r="D18" s="12" t="inlineStr">
        <is>
          <t>G-I-RRR18</t>
        </is>
      </c>
      <c r="E18" s="12" t="inlineStr">
        <is>
          <t>ALZ</t>
        </is>
      </c>
      <c r="F18" s="12" t="inlineStr">
        <is>
          <t>AA4</t>
        </is>
      </c>
      <c r="G18" s="12" t="inlineStr">
        <is>
          <t>PDM : Code Emprise vide (code repris du Code Installation)</t>
        </is>
      </c>
      <c r="H18" s="12" t="inlineStr">
        <is>
          <t>2031 EC Simple</t>
        </is>
      </c>
    </row>
    <row r="19">
      <c r="A19" s="12" t="inlineStr">
        <is>
          <t>PDM</t>
        </is>
      </c>
      <c r="B19" s="12" t="n">
        <v>172</v>
      </c>
      <c r="C19" s="12" t="n"/>
      <c r="D19" s="12" t="inlineStr">
        <is>
          <t>G-I-RRR18</t>
        </is>
      </c>
      <c r="E19" s="12" t="inlineStr">
        <is>
          <t>ALZ</t>
        </is>
      </c>
      <c r="F19" s="12" t="inlineStr">
        <is>
          <t>AA4</t>
        </is>
      </c>
      <c r="G19" s="12" t="inlineStr">
        <is>
          <t>PDM : Code Emprise vide (code repris du Code Installation)</t>
        </is>
      </c>
      <c r="H19" s="12" t="inlineStr">
        <is>
          <t>2032 PIS</t>
        </is>
      </c>
    </row>
    <row r="20">
      <c r="A20" s="12" t="inlineStr">
        <is>
          <t>GMAO</t>
        </is>
      </c>
      <c r="B20" s="12" t="n">
        <v>78</v>
      </c>
      <c r="C20" s="12" t="inlineStr">
        <is>
          <t>910000077</t>
        </is>
      </c>
      <c r="D20" s="12" t="inlineStr">
        <is>
          <t>G-I-BBB02</t>
        </is>
      </c>
      <c r="E20" s="12" t="inlineStr">
        <is>
          <t>SET</t>
        </is>
      </c>
      <c r="F20" s="12" t="inlineStr">
        <is>
          <t>AA3</t>
        </is>
      </c>
      <c r="G20" s="12" t="inlineStr">
        <is>
          <t>Type de travail différent de PRE (exclu de la couverture)</t>
        </is>
      </c>
      <c r="H20" s="12" t="inlineStr">
        <is>
          <t>Maintenance corrective fictive EC - poste G-I-BBB02</t>
        </is>
      </c>
    </row>
    <row r="21">
      <c r="A21" s="12" t="inlineStr">
        <is>
          <t>GMAO</t>
        </is>
      </c>
      <c r="B21" s="12" t="n">
        <v>79</v>
      </c>
      <c r="C21" s="12" t="inlineStr">
        <is>
          <t>910000078</t>
        </is>
      </c>
      <c r="D21" s="12" t="inlineStr">
        <is>
          <t>G-I-QQQ17</t>
        </is>
      </c>
      <c r="E21" s="12" t="inlineStr">
        <is>
          <t>ALZ</t>
        </is>
      </c>
      <c r="F21" s="12" t="inlineStr">
        <is>
          <t>AA3</t>
        </is>
      </c>
      <c r="G21" s="12" t="inlineStr">
        <is>
          <t>Type de travail différent de PRE (exclu de la couverture)</t>
        </is>
      </c>
      <c r="H21" s="12" t="inlineStr">
        <is>
          <t>Maintenance corrective fictive PIS - poste G-I-QQQ17</t>
        </is>
      </c>
    </row>
    <row r="22">
      <c r="A22" s="12" t="inlineStr">
        <is>
          <t>GMAO</t>
        </is>
      </c>
      <c r="B22" s="12" t="n">
        <v>80</v>
      </c>
      <c r="C22" s="12" t="n"/>
      <c r="D22" s="12" t="inlineStr">
        <is>
          <t>G-I-CCC03</t>
        </is>
      </c>
      <c r="E22" s="12" t="inlineStr">
        <is>
          <t>SET</t>
        </is>
      </c>
      <c r="F22" s="12" t="inlineStr">
        <is>
          <t>AA4</t>
        </is>
      </c>
      <c r="G22" s="12" t="inlineStr">
        <is>
          <t>Ordre vide</t>
        </is>
      </c>
      <c r="H22" s="12" t="inlineStr">
        <is>
          <t>Maintenance préventive fictive PIS - poste G-I-CCC03</t>
        </is>
      </c>
    </row>
    <row r="23">
      <c r="A23" s="12" t="inlineStr">
        <is>
          <t>GMAO</t>
        </is>
      </c>
      <c r="B23" s="12" t="n">
        <v>81</v>
      </c>
      <c r="C23" s="12" t="inlineStr">
        <is>
          <t>910000080</t>
        </is>
      </c>
      <c r="D23" s="12" t="inlineStr">
        <is>
          <t>G-I-EEE05</t>
        </is>
      </c>
      <c r="E23" s="12" t="inlineStr">
        <is>
          <t>SPS</t>
        </is>
      </c>
      <c r="F23" s="12" t="inlineStr">
        <is>
          <t>AA3</t>
        </is>
      </c>
      <c r="G23" s="12" t="inlineStr">
        <is>
          <t>Doublon OT éventuel</t>
        </is>
      </c>
      <c r="H23" s="12" t="inlineStr">
        <is>
          <t>Maintenance préventive fictive EC+PIS - poste G-I-EEE05</t>
        </is>
      </c>
    </row>
    <row r="24">
      <c r="A24" s="12" t="inlineStr">
        <is>
          <t>GMAO</t>
        </is>
      </c>
      <c r="B24" s="12" t="n">
        <v>82</v>
      </c>
      <c r="C24" s="12" t="inlineStr">
        <is>
          <t>910000080</t>
        </is>
      </c>
      <c r="D24" s="12" t="inlineStr">
        <is>
          <t>G-I-EEE05</t>
        </is>
      </c>
      <c r="E24" s="12" t="inlineStr">
        <is>
          <t>SPS</t>
        </is>
      </c>
      <c r="F24" s="12" t="inlineStr">
        <is>
          <t>AA3</t>
        </is>
      </c>
      <c r="G24" s="12" t="inlineStr">
        <is>
          <t>Doublon OT éventuel</t>
        </is>
      </c>
      <c r="H24" s="12" t="inlineStr">
        <is>
          <t>Maintenance préventive fictive EC+PIS - poste G-I-EEE05</t>
        </is>
      </c>
    </row>
    <row r="25">
      <c r="A25" s="12" t="inlineStr">
        <is>
          <t>GMAO</t>
        </is>
      </c>
      <c r="B25" s="12" t="n">
        <v>83</v>
      </c>
      <c r="C25" s="12" t="inlineStr">
        <is>
          <t>910000081</t>
        </is>
      </c>
      <c r="D25" s="12" t="inlineStr">
        <is>
          <t>G-I-FFF06</t>
        </is>
      </c>
      <c r="E25" s="12" t="inlineStr">
        <is>
          <t>SPS</t>
        </is>
      </c>
      <c r="F25" s="12" t="inlineStr">
        <is>
          <t>AA4</t>
        </is>
      </c>
      <c r="G25" s="12" t="inlineStr">
        <is>
          <t>Code site vide : code poste repris du Poste technique</t>
        </is>
      </c>
      <c r="H25" s="12" t="inlineStr">
        <is>
          <t>Maintenance préventive fictive PIS - poste G-I-FFF06</t>
        </is>
      </c>
    </row>
    <row r="26">
      <c r="A26" s="12" t="inlineStr">
        <is>
          <t>GMAO</t>
        </is>
      </c>
      <c r="B26" s="12" t="n">
        <v>84</v>
      </c>
      <c r="C26" s="12" t="inlineStr">
        <is>
          <t>910000082</t>
        </is>
      </c>
      <c r="D26" s="12" t="inlineStr">
        <is>
          <t>G-I-GGG07</t>
        </is>
      </c>
      <c r="E26" s="12" t="inlineStr">
        <is>
          <t>RNA</t>
        </is>
      </c>
      <c r="F26" s="12" t="inlineStr">
        <is>
          <t>AA1</t>
        </is>
      </c>
      <c r="G26" s="12" t="inlineStr">
        <is>
          <t>Code site ≠ GAUCHE(Poste technique;9)</t>
        </is>
      </c>
      <c r="H26" s="12" t="inlineStr">
        <is>
          <t>Maintenance préventive fictive EC - poste G-I-GGX07</t>
        </is>
      </c>
    </row>
    <row r="27">
      <c r="A27" s="12" t="inlineStr">
        <is>
          <t>GMAO</t>
        </is>
      </c>
      <c r="B27" s="12" t="n">
        <v>85</v>
      </c>
      <c r="C27" s="12" t="inlineStr">
        <is>
          <t>910000083</t>
        </is>
      </c>
      <c r="D27" s="12" t="inlineStr">
        <is>
          <t>G-I-JJJ10</t>
        </is>
      </c>
      <c r="E27" s="12" t="inlineStr">
        <is>
          <t>VRS</t>
        </is>
      </c>
      <c r="F27" s="12" t="inlineStr">
        <is>
          <t>AA1</t>
        </is>
      </c>
      <c r="G27" s="12" t="inlineStr">
        <is>
          <t>Activité inconnue (à valider)</t>
        </is>
      </c>
      <c r="H27" s="12" t="inlineStr">
        <is>
          <t>Maintenance préventive fictive PIS+CONTROLE VISUEL - poste G-I-JJJ10</t>
        </is>
      </c>
    </row>
    <row r="28">
      <c r="A28" s="12" t="inlineStr">
        <is>
          <t>GMAO</t>
        </is>
      </c>
      <c r="B28" s="12" t="n">
        <v>86</v>
      </c>
      <c r="C28" s="12" t="inlineStr">
        <is>
          <t>910000084</t>
        </is>
      </c>
      <c r="D28" s="12" t="inlineStr">
        <is>
          <t>G-I-LLL12</t>
        </is>
      </c>
      <c r="E28" s="12" t="inlineStr">
        <is>
          <t>VRS</t>
        </is>
      </c>
      <c r="F28" s="12" t="inlineStr">
        <is>
          <t>AA4</t>
        </is>
      </c>
      <c r="G28" s="12" t="inlineStr">
        <is>
          <t>Activité source vide alors que Désignation est renseignée</t>
        </is>
      </c>
      <c r="H28" s="12" t="inlineStr">
        <is>
          <t>Maintenance préventive fictive PIS - poste G-I-LLL12</t>
        </is>
      </c>
    </row>
  </sheetData>
  <pageMargins left="0.75" right="0.75" top="1" bottom="1" header="0.5" footer="0.5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DBDB"/>
    <outlinePr summaryBelow="1" summaryRight="1"/>
    <pageSetUpPr/>
  </sheetPr>
  <dimension ref="A1:S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3" customWidth="1" min="5" max="5"/>
    <col width="10" customWidth="1" min="6" max="6"/>
    <col width="22" customWidth="1" min="7" max="7"/>
    <col width="19" customWidth="1" min="8" max="8"/>
    <col width="13" customWidth="1" min="9" max="9"/>
    <col width="16" customWidth="1" min="10" max="10"/>
    <col width="21" customWidth="1" min="11" max="11"/>
    <col width="21" customWidth="1" min="12" max="12"/>
    <col width="19" customWidth="1" min="13" max="13"/>
    <col width="27" customWidth="1" min="14" max="14"/>
    <col width="20" customWidth="1" min="15" max="15"/>
    <col width="13" customWidth="1" min="16" max="16"/>
    <col width="25" customWidth="1" min="17" max="17"/>
    <col width="18" customWidth="1" min="18" max="18"/>
    <col width="14" customWidth="1" min="19" max="19"/>
  </cols>
  <sheetData>
    <row r="1" ht="32" customHeight="1">
      <c r="A1" s="11" t="inlineStr">
        <is>
          <t>Site</t>
        </is>
      </c>
      <c r="B1" s="11" t="inlineStr">
        <is>
          <t>Équipe</t>
        </is>
      </c>
      <c r="C1" s="11" t="inlineStr">
        <is>
          <t>Code poste</t>
        </is>
      </c>
      <c r="D1" s="11" t="inlineStr">
        <is>
          <t>Désignation</t>
        </is>
      </c>
      <c r="E1" s="11" t="inlineStr">
        <is>
          <t>Typologie</t>
        </is>
      </c>
      <c r="F1" s="11" t="inlineStr">
        <is>
          <t>Année</t>
        </is>
      </c>
      <c r="G1" s="11" t="inlineStr">
        <is>
          <t>Opération affichée</t>
        </is>
      </c>
      <c r="H1" s="11" t="inlineStr">
        <is>
          <t>Ordre opération</t>
        </is>
      </c>
      <c r="I1" s="11" t="inlineStr">
        <is>
          <t>Opération</t>
        </is>
      </c>
      <c r="J1" s="11" t="inlineStr">
        <is>
          <t>Code Emprise</t>
        </is>
      </c>
      <c r="K1" s="11" t="inlineStr">
        <is>
          <t>Code Installation</t>
        </is>
      </c>
      <c r="L1" s="11" t="inlineStr">
        <is>
          <t>Source code poste</t>
        </is>
      </c>
      <c r="M1" s="11" t="inlineStr">
        <is>
          <t>Code poste GMAO</t>
        </is>
      </c>
      <c r="N1" s="11" t="inlineStr">
        <is>
          <t>Correspondance déclarée</t>
        </is>
      </c>
      <c r="O1" s="11" t="inlineStr">
        <is>
          <t>Contrôle qualité</t>
        </is>
      </c>
      <c r="P1" s="11" t="inlineStr">
        <is>
          <t>Ligne PDM</t>
        </is>
      </c>
      <c r="Q1" s="11" t="inlineStr">
        <is>
          <t>Lignes vides ignorées</t>
        </is>
      </c>
      <c r="R1" s="11" t="inlineStr">
        <is>
          <t>Fichier source</t>
        </is>
      </c>
      <c r="S1" s="11" t="inlineStr">
        <is>
          <t>Importé le</t>
        </is>
      </c>
    </row>
    <row r="2">
      <c r="A2" s="12" t="inlineStr">
        <is>
          <t>SET</t>
        </is>
      </c>
      <c r="B2" s="12" t="inlineStr">
        <is>
          <t>AA1</t>
        </is>
      </c>
      <c r="C2" s="12" t="inlineStr">
        <is>
          <t>G-I-AAA01</t>
        </is>
      </c>
      <c r="D2" s="12" t="inlineStr">
        <is>
          <t>Poste fictif Alpha</t>
        </is>
      </c>
      <c r="E2" s="12" t="inlineStr">
        <is>
          <t>DETENTE</t>
        </is>
      </c>
      <c r="F2" s="12" t="n">
        <v>2026</v>
      </c>
      <c r="G2" s="12" t="inlineStr">
        <is>
          <t>PIS</t>
        </is>
      </c>
      <c r="H2" s="12" t="n">
        <v>1</v>
      </c>
      <c r="I2" s="12" t="inlineStr">
        <is>
          <t>PIS</t>
        </is>
      </c>
      <c r="J2" s="12" t="inlineStr">
        <is>
          <t>G-I-AAA01</t>
        </is>
      </c>
      <c r="K2" s="12" t="inlineStr">
        <is>
          <t>G-I-AAA01-INS01</t>
        </is>
      </c>
      <c r="L2" s="12" t="inlineStr">
        <is>
          <t>Code Emprise</t>
        </is>
      </c>
      <c r="M2" s="12" t="inlineStr">
        <is>
          <t>G-I-AAA01</t>
        </is>
      </c>
      <c r="N2" s="12" t="b">
        <v>0</v>
      </c>
      <c r="O2" s="12" t="n"/>
      <c r="P2" s="12" t="n">
        <v>2</v>
      </c>
      <c r="Q2" s="12" t="n">
        <v>0</v>
      </c>
      <c r="R2" s="12" t="inlineStr">
        <is>
          <t>DEMO_PDM.xlsx</t>
        </is>
      </c>
      <c r="S2" s="24" t="n">
        <v>46309.625</v>
      </c>
    </row>
    <row r="3">
      <c r="A3" s="12" t="inlineStr">
        <is>
          <t>SET</t>
        </is>
      </c>
      <c r="B3" s="12" t="inlineStr">
        <is>
          <t>AA1</t>
        </is>
      </c>
      <c r="C3" s="12" t="inlineStr">
        <is>
          <t>G-I-AAA01</t>
        </is>
      </c>
      <c r="D3" s="12" t="inlineStr">
        <is>
          <t>Poste fictif Alpha</t>
        </is>
      </c>
      <c r="E3" s="12" t="inlineStr">
        <is>
          <t>DETENTE</t>
        </is>
      </c>
      <c r="F3" s="12" t="n">
        <v>2026</v>
      </c>
      <c r="G3" s="12" t="inlineStr">
        <is>
          <t>EC SIMPLE</t>
        </is>
      </c>
      <c r="H3" s="12" t="n">
        <v>2</v>
      </c>
      <c r="I3" s="12" t="inlineStr">
        <is>
          <t>EC Simple</t>
        </is>
      </c>
      <c r="J3" s="12" t="inlineStr">
        <is>
          <t>G-I-AAA01</t>
        </is>
      </c>
      <c r="K3" s="12" t="inlineStr">
        <is>
          <t>G-I-AAA01-INS01</t>
        </is>
      </c>
      <c r="L3" s="12" t="inlineStr">
        <is>
          <t>Code Emprise</t>
        </is>
      </c>
      <c r="M3" s="12" t="inlineStr">
        <is>
          <t>G-I-AAA01</t>
        </is>
      </c>
      <c r="N3" s="12" t="b">
        <v>0</v>
      </c>
      <c r="O3" s="12" t="n"/>
      <c r="P3" s="12" t="n">
        <v>3</v>
      </c>
      <c r="Q3" s="12" t="n">
        <v>0</v>
      </c>
      <c r="R3" s="12" t="inlineStr">
        <is>
          <t>DEMO_PDM.xlsx</t>
        </is>
      </c>
      <c r="S3" s="24" t="n">
        <v>46309.625</v>
      </c>
    </row>
    <row r="4">
      <c r="A4" s="12" t="inlineStr">
        <is>
          <t>SET</t>
        </is>
      </c>
      <c r="B4" s="12" t="inlineStr">
        <is>
          <t>AA1</t>
        </is>
      </c>
      <c r="C4" s="12" t="inlineStr">
        <is>
          <t>G-I-AAA01</t>
        </is>
      </c>
      <c r="D4" s="12" t="inlineStr">
        <is>
          <t>Poste fictif Alpha</t>
        </is>
      </c>
      <c r="E4" s="12" t="inlineStr">
        <is>
          <t>DETENTE</t>
        </is>
      </c>
      <c r="F4" s="12" t="n">
        <v>2028</v>
      </c>
      <c r="G4" s="12" t="inlineStr">
        <is>
          <t>PIS</t>
        </is>
      </c>
      <c r="H4" s="12" t="n">
        <v>1</v>
      </c>
      <c r="I4" s="12" t="inlineStr">
        <is>
          <t>PIS</t>
        </is>
      </c>
      <c r="J4" s="12" t="inlineStr">
        <is>
          <t>G-I-AAA01</t>
        </is>
      </c>
      <c r="K4" s="12" t="inlineStr">
        <is>
          <t>G-I-AAA01-INS01</t>
        </is>
      </c>
      <c r="L4" s="12" t="inlineStr">
        <is>
          <t>Code Emprise</t>
        </is>
      </c>
      <c r="M4" s="12" t="inlineStr">
        <is>
          <t>G-I-AAA01</t>
        </is>
      </c>
      <c r="N4" s="12" t="b">
        <v>0</v>
      </c>
      <c r="O4" s="12" t="n"/>
      <c r="P4" s="12" t="n">
        <v>4</v>
      </c>
      <c r="Q4" s="12" t="n">
        <v>0</v>
      </c>
      <c r="R4" s="12" t="inlineStr">
        <is>
          <t>DEMO_PDM.xlsx</t>
        </is>
      </c>
      <c r="S4" s="24" t="n">
        <v>46309.625</v>
      </c>
    </row>
    <row r="5">
      <c r="A5" s="12" t="inlineStr">
        <is>
          <t>SET</t>
        </is>
      </c>
      <c r="B5" s="12" t="inlineStr">
        <is>
          <t>AA1</t>
        </is>
      </c>
      <c r="C5" s="12" t="inlineStr">
        <is>
          <t>G-I-AAA01</t>
        </is>
      </c>
      <c r="D5" s="12" t="inlineStr">
        <is>
          <t>Poste fictif Alpha</t>
        </is>
      </c>
      <c r="E5" s="12" t="inlineStr">
        <is>
          <t>DETENTE</t>
        </is>
      </c>
      <c r="F5" s="12" t="n">
        <v>2028</v>
      </c>
      <c r="G5" s="12" t="inlineStr">
        <is>
          <t>EC FILTRE</t>
        </is>
      </c>
      <c r="H5" s="12" t="n">
        <v>3</v>
      </c>
      <c r="I5" s="12" t="inlineStr">
        <is>
          <t>EC Filtre</t>
        </is>
      </c>
      <c r="J5" s="12" t="inlineStr">
        <is>
          <t>G-I-AAA01</t>
        </is>
      </c>
      <c r="K5" s="12" t="inlineStr">
        <is>
          <t>G-I-AAA01-INS01</t>
        </is>
      </c>
      <c r="L5" s="12" t="inlineStr">
        <is>
          <t>Code Emprise</t>
        </is>
      </c>
      <c r="M5" s="12" t="inlineStr">
        <is>
          <t>G-I-AAA01</t>
        </is>
      </c>
      <c r="N5" s="12" t="b">
        <v>0</v>
      </c>
      <c r="O5" s="12" t="n"/>
      <c r="P5" s="12" t="n">
        <v>5</v>
      </c>
      <c r="Q5" s="12" t="n">
        <v>0</v>
      </c>
      <c r="R5" s="12" t="inlineStr">
        <is>
          <t>DEMO_PDM.xlsx</t>
        </is>
      </c>
      <c r="S5" s="24" t="n">
        <v>46309.625</v>
      </c>
    </row>
    <row r="6">
      <c r="A6" s="12" t="inlineStr">
        <is>
          <t>SET</t>
        </is>
      </c>
      <c r="B6" s="12" t="inlineStr">
        <is>
          <t>AA1</t>
        </is>
      </c>
      <c r="C6" s="12" t="inlineStr">
        <is>
          <t>G-I-AAA01</t>
        </is>
      </c>
      <c r="D6" s="12" t="inlineStr">
        <is>
          <t>Poste fictif Alpha</t>
        </is>
      </c>
      <c r="E6" s="12" t="inlineStr">
        <is>
          <t>DETENTE</t>
        </is>
      </c>
      <c r="F6" s="12" t="n">
        <v>2029</v>
      </c>
      <c r="G6" s="12" t="inlineStr">
        <is>
          <t>REVISION</t>
        </is>
      </c>
      <c r="H6" s="12" t="n">
        <v>4</v>
      </c>
      <c r="I6" s="12" t="inlineStr">
        <is>
          <t>Révision</t>
        </is>
      </c>
      <c r="J6" s="12" t="inlineStr">
        <is>
          <t>G-I-AAA01</t>
        </is>
      </c>
      <c r="K6" s="12" t="inlineStr">
        <is>
          <t>G-I-AAA01-INS01</t>
        </is>
      </c>
      <c r="L6" s="12" t="inlineStr">
        <is>
          <t>Code Emprise</t>
        </is>
      </c>
      <c r="M6" s="12" t="inlineStr">
        <is>
          <t>G-I-AAA01</t>
        </is>
      </c>
      <c r="N6" s="12" t="b">
        <v>0</v>
      </c>
      <c r="O6" s="12" t="n"/>
      <c r="P6" s="12" t="n">
        <v>6</v>
      </c>
      <c r="Q6" s="12" t="n">
        <v>0</v>
      </c>
      <c r="R6" s="12" t="inlineStr">
        <is>
          <t>DEMO_PDM.xlsx</t>
        </is>
      </c>
      <c r="S6" s="24" t="n">
        <v>46309.625</v>
      </c>
    </row>
    <row r="7">
      <c r="A7" s="12" t="inlineStr">
        <is>
          <t>SET</t>
        </is>
      </c>
      <c r="B7" s="12" t="inlineStr">
        <is>
          <t>AA1</t>
        </is>
      </c>
      <c r="C7" s="12" t="inlineStr">
        <is>
          <t>G-I-AAA01</t>
        </is>
      </c>
      <c r="D7" s="12" t="inlineStr">
        <is>
          <t>Poste fictif Alpha</t>
        </is>
      </c>
      <c r="E7" s="12" t="inlineStr">
        <is>
          <t>DETENTE</t>
        </is>
      </c>
      <c r="F7" s="12" t="n">
        <v>2030</v>
      </c>
      <c r="G7" s="12" t="inlineStr">
        <is>
          <t>PIS</t>
        </is>
      </c>
      <c r="H7" s="12" t="n">
        <v>1</v>
      </c>
      <c r="I7" s="12" t="inlineStr">
        <is>
          <t>PIS</t>
        </is>
      </c>
      <c r="J7" s="12" t="inlineStr">
        <is>
          <t>G-I-AAA01</t>
        </is>
      </c>
      <c r="K7" s="12" t="inlineStr">
        <is>
          <t>G-I-AAA01-INS01</t>
        </is>
      </c>
      <c r="L7" s="12" t="inlineStr">
        <is>
          <t>Code Emprise</t>
        </is>
      </c>
      <c r="M7" s="12" t="inlineStr">
        <is>
          <t>G-I-AAA01</t>
        </is>
      </c>
      <c r="N7" s="12" t="b">
        <v>0</v>
      </c>
      <c r="O7" s="12" t="n"/>
      <c r="P7" s="12" t="n">
        <v>7</v>
      </c>
      <c r="Q7" s="12" t="n">
        <v>0</v>
      </c>
      <c r="R7" s="12" t="inlineStr">
        <is>
          <t>DEMO_PDM.xlsx</t>
        </is>
      </c>
      <c r="S7" s="24" t="n">
        <v>46309.625</v>
      </c>
    </row>
    <row r="8">
      <c r="A8" s="12" t="inlineStr">
        <is>
          <t>SET</t>
        </is>
      </c>
      <c r="B8" s="12" t="inlineStr">
        <is>
          <t>AA1</t>
        </is>
      </c>
      <c r="C8" s="12" t="inlineStr">
        <is>
          <t>G-I-AAA01</t>
        </is>
      </c>
      <c r="D8" s="12" t="inlineStr">
        <is>
          <t>Poste fictif Alpha</t>
        </is>
      </c>
      <c r="E8" s="12" t="inlineStr">
        <is>
          <t>DETENTE</t>
        </is>
      </c>
      <c r="F8" s="12" t="n">
        <v>2030</v>
      </c>
      <c r="G8" s="12" t="inlineStr">
        <is>
          <t>EC SIMPLE</t>
        </is>
      </c>
      <c r="H8" s="12" t="n">
        <v>2</v>
      </c>
      <c r="I8" s="12" t="inlineStr">
        <is>
          <t>EC Simple</t>
        </is>
      </c>
      <c r="J8" s="12" t="inlineStr">
        <is>
          <t>G-I-AAA01</t>
        </is>
      </c>
      <c r="K8" s="12" t="inlineStr">
        <is>
          <t>G-I-AAA01-INS01</t>
        </is>
      </c>
      <c r="L8" s="12" t="inlineStr">
        <is>
          <t>Code Emprise</t>
        </is>
      </c>
      <c r="M8" s="12" t="inlineStr">
        <is>
          <t>G-I-AAA01</t>
        </is>
      </c>
      <c r="N8" s="12" t="b">
        <v>0</v>
      </c>
      <c r="O8" s="12" t="n"/>
      <c r="P8" s="12" t="n">
        <v>8</v>
      </c>
      <c r="Q8" s="12" t="n">
        <v>0</v>
      </c>
      <c r="R8" s="12" t="inlineStr">
        <is>
          <t>DEMO_PDM.xlsx</t>
        </is>
      </c>
      <c r="S8" s="24" t="n">
        <v>46309.625</v>
      </c>
    </row>
    <row r="9">
      <c r="A9" s="12" t="inlineStr">
        <is>
          <t>SET</t>
        </is>
      </c>
      <c r="B9" s="12" t="inlineStr">
        <is>
          <t>AA1</t>
        </is>
      </c>
      <c r="C9" s="12" t="inlineStr">
        <is>
          <t>G-I-AAA01</t>
        </is>
      </c>
      <c r="D9" s="12" t="inlineStr">
        <is>
          <t>Poste fictif Alpha</t>
        </is>
      </c>
      <c r="E9" s="12" t="inlineStr">
        <is>
          <t>DETENTE</t>
        </is>
      </c>
      <c r="F9" s="12" t="n">
        <v>2032</v>
      </c>
      <c r="G9" s="12" t="inlineStr">
        <is>
          <t>PIS</t>
        </is>
      </c>
      <c r="H9" s="12" t="n">
        <v>1</v>
      </c>
      <c r="I9" s="12" t="inlineStr">
        <is>
          <t>PIS</t>
        </is>
      </c>
      <c r="J9" s="12" t="inlineStr">
        <is>
          <t>G-I-AAA01</t>
        </is>
      </c>
      <c r="K9" s="12" t="inlineStr">
        <is>
          <t>G-I-AAA01-INS01</t>
        </is>
      </c>
      <c r="L9" s="12" t="inlineStr">
        <is>
          <t>Code Emprise</t>
        </is>
      </c>
      <c r="M9" s="12" t="inlineStr">
        <is>
          <t>G-I-AAA01</t>
        </is>
      </c>
      <c r="N9" s="12" t="b">
        <v>0</v>
      </c>
      <c r="O9" s="12" t="n"/>
      <c r="P9" s="12" t="n">
        <v>9</v>
      </c>
      <c r="Q9" s="12" t="n">
        <v>0</v>
      </c>
      <c r="R9" s="12" t="inlineStr">
        <is>
          <t>DEMO_PDM.xlsx</t>
        </is>
      </c>
      <c r="S9" s="24" t="n">
        <v>46309.625</v>
      </c>
    </row>
    <row r="10">
      <c r="A10" s="12" t="inlineStr">
        <is>
          <t>SET</t>
        </is>
      </c>
      <c r="B10" s="12" t="inlineStr">
        <is>
          <t>AA1</t>
        </is>
      </c>
      <c r="C10" s="12" t="inlineStr">
        <is>
          <t>G-I-AAA01</t>
        </is>
      </c>
      <c r="D10" s="12" t="inlineStr">
        <is>
          <t>Poste fictif Alpha</t>
        </is>
      </c>
      <c r="E10" s="12" t="inlineStr">
        <is>
          <t>DETENTE</t>
        </is>
      </c>
      <c r="F10" s="12" t="n">
        <v>2032</v>
      </c>
      <c r="G10" s="12" t="inlineStr">
        <is>
          <t>EC FILTRE</t>
        </is>
      </c>
      <c r="H10" s="12" t="n">
        <v>3</v>
      </c>
      <c r="I10" s="12" t="inlineStr">
        <is>
          <t>EC Filtre</t>
        </is>
      </c>
      <c r="J10" s="12" t="inlineStr">
        <is>
          <t>G-I-AAA01</t>
        </is>
      </c>
      <c r="K10" s="12" t="inlineStr">
        <is>
          <t>G-I-AAA01-INS01</t>
        </is>
      </c>
      <c r="L10" s="12" t="inlineStr">
        <is>
          <t>Code Emprise</t>
        </is>
      </c>
      <c r="M10" s="12" t="inlineStr">
        <is>
          <t>G-I-AAA01</t>
        </is>
      </c>
      <c r="N10" s="12" t="b">
        <v>0</v>
      </c>
      <c r="O10" s="12" t="n"/>
      <c r="P10" s="12" t="n">
        <v>10</v>
      </c>
      <c r="Q10" s="12" t="n">
        <v>0</v>
      </c>
      <c r="R10" s="12" t="inlineStr">
        <is>
          <t>DEMO_PDM.xlsx</t>
        </is>
      </c>
      <c r="S10" s="24" t="n">
        <v>46309.625</v>
      </c>
    </row>
    <row r="11">
      <c r="A11" s="12" t="inlineStr">
        <is>
          <t>SET</t>
        </is>
      </c>
      <c r="B11" s="12" t="inlineStr">
        <is>
          <t>AA3</t>
        </is>
      </c>
      <c r="C11" s="12" t="inlineStr">
        <is>
          <t>G-I-BBB02</t>
        </is>
      </c>
      <c r="D11" s="12" t="inlineStr">
        <is>
          <t>Poste fictif Beta</t>
        </is>
      </c>
      <c r="E11" s="12" t="inlineStr">
        <is>
          <t>LIVRAISON</t>
        </is>
      </c>
      <c r="F11" s="12" t="n">
        <v>2026</v>
      </c>
      <c r="G11" s="12" t="inlineStr">
        <is>
          <t>PIS</t>
        </is>
      </c>
      <c r="H11" s="12" t="n">
        <v>1</v>
      </c>
      <c r="I11" s="12" t="inlineStr">
        <is>
          <t>PIS</t>
        </is>
      </c>
      <c r="J11" s="12" t="inlineStr">
        <is>
          <t>G-I-BBB02</t>
        </is>
      </c>
      <c r="K11" s="12" t="inlineStr">
        <is>
          <t>G-I-BBB02-INS02</t>
        </is>
      </c>
      <c r="L11" s="12" t="inlineStr">
        <is>
          <t>Code Emprise</t>
        </is>
      </c>
      <c r="M11" s="12" t="inlineStr">
        <is>
          <t>G-I-BBB02</t>
        </is>
      </c>
      <c r="N11" s="12" t="b">
        <v>0</v>
      </c>
      <c r="O11" s="12" t="n"/>
      <c r="P11" s="12" t="n">
        <v>11</v>
      </c>
      <c r="Q11" s="12" t="n">
        <v>0</v>
      </c>
      <c r="R11" s="12" t="inlineStr">
        <is>
          <t>DEMO_PDM.xlsx</t>
        </is>
      </c>
      <c r="S11" s="24" t="n">
        <v>46309.625</v>
      </c>
    </row>
    <row r="12">
      <c r="A12" s="12" t="inlineStr">
        <is>
          <t>SET</t>
        </is>
      </c>
      <c r="B12" s="12" t="inlineStr">
        <is>
          <t>AA3</t>
        </is>
      </c>
      <c r="C12" s="12" t="inlineStr">
        <is>
          <t>G-I-BBB02</t>
        </is>
      </c>
      <c r="D12" s="12" t="inlineStr">
        <is>
          <t>Poste fictif Beta</t>
        </is>
      </c>
      <c r="E12" s="12" t="inlineStr">
        <is>
          <t>LIVRAISON</t>
        </is>
      </c>
      <c r="F12" s="12" t="n">
        <v>2027</v>
      </c>
      <c r="G12" s="12" t="inlineStr">
        <is>
          <t>PIS</t>
        </is>
      </c>
      <c r="H12" s="12" t="n">
        <v>1</v>
      </c>
      <c r="I12" s="12" t="inlineStr">
        <is>
          <t>PIS</t>
        </is>
      </c>
      <c r="J12" s="12" t="inlineStr">
        <is>
          <t>G-I-BBB02</t>
        </is>
      </c>
      <c r="K12" s="12" t="inlineStr">
        <is>
          <t>G-I-BBB02-INS02</t>
        </is>
      </c>
      <c r="L12" s="12" t="inlineStr">
        <is>
          <t>Code Emprise</t>
        </is>
      </c>
      <c r="M12" s="12" t="inlineStr">
        <is>
          <t>G-I-BBB02</t>
        </is>
      </c>
      <c r="N12" s="12" t="b">
        <v>0</v>
      </c>
      <c r="O12" s="12" t="n"/>
      <c r="P12" s="12" t="n">
        <v>12</v>
      </c>
      <c r="Q12" s="12" t="n">
        <v>0</v>
      </c>
      <c r="R12" s="12" t="inlineStr">
        <is>
          <t>DEMO_PDM.xlsx</t>
        </is>
      </c>
      <c r="S12" s="24" t="n">
        <v>46309.625</v>
      </c>
    </row>
    <row r="13">
      <c r="A13" s="12" t="inlineStr">
        <is>
          <t>SET</t>
        </is>
      </c>
      <c r="B13" s="12" t="inlineStr">
        <is>
          <t>AA3</t>
        </is>
      </c>
      <c r="C13" s="12" t="inlineStr">
        <is>
          <t>G-I-BBB02</t>
        </is>
      </c>
      <c r="D13" s="12" t="inlineStr">
        <is>
          <t>Poste fictif Beta</t>
        </is>
      </c>
      <c r="E13" s="12" t="inlineStr">
        <is>
          <t>LIVRAISON</t>
        </is>
      </c>
      <c r="F13" s="12" t="n">
        <v>2027</v>
      </c>
      <c r="G13" s="12" t="inlineStr">
        <is>
          <t>EC FILTRE</t>
        </is>
      </c>
      <c r="H13" s="12" t="n">
        <v>3</v>
      </c>
      <c r="I13" s="12" t="inlineStr">
        <is>
          <t>EC Filtre</t>
        </is>
      </c>
      <c r="J13" s="12" t="inlineStr">
        <is>
          <t>G-I-BBB02</t>
        </is>
      </c>
      <c r="K13" s="12" t="inlineStr">
        <is>
          <t>G-I-BBB02-INS02</t>
        </is>
      </c>
      <c r="L13" s="12" t="inlineStr">
        <is>
          <t>Code Emprise</t>
        </is>
      </c>
      <c r="M13" s="12" t="inlineStr">
        <is>
          <t>G-I-BBB02</t>
        </is>
      </c>
      <c r="N13" s="12" t="b">
        <v>0</v>
      </c>
      <c r="O13" s="12" t="n"/>
      <c r="P13" s="12" t="n">
        <v>13</v>
      </c>
      <c r="Q13" s="12" t="n">
        <v>0</v>
      </c>
      <c r="R13" s="12" t="inlineStr">
        <is>
          <t>DEMO_PDM.xlsx</t>
        </is>
      </c>
      <c r="S13" s="24" t="n">
        <v>46309.625</v>
      </c>
    </row>
    <row r="14">
      <c r="A14" s="12" t="inlineStr">
        <is>
          <t>SET</t>
        </is>
      </c>
      <c r="B14" s="12" t="inlineStr">
        <is>
          <t>AA3</t>
        </is>
      </c>
      <c r="C14" s="12" t="inlineStr">
        <is>
          <t>G-I-BBB02</t>
        </is>
      </c>
      <c r="D14" s="12" t="inlineStr">
        <is>
          <t>Poste fictif Beta</t>
        </is>
      </c>
      <c r="E14" s="12" t="inlineStr">
        <is>
          <t>LIVRAISON</t>
        </is>
      </c>
      <c r="F14" s="12" t="n">
        <v>2028</v>
      </c>
      <c r="G14" s="12" t="inlineStr">
        <is>
          <t>PIS</t>
        </is>
      </c>
      <c r="H14" s="12" t="n">
        <v>1</v>
      </c>
      <c r="I14" s="12" t="inlineStr">
        <is>
          <t>PIS</t>
        </is>
      </c>
      <c r="J14" s="12" t="inlineStr">
        <is>
          <t>G-I-BBB02</t>
        </is>
      </c>
      <c r="K14" s="12" t="inlineStr">
        <is>
          <t>G-I-BBB02-INS02</t>
        </is>
      </c>
      <c r="L14" s="12" t="inlineStr">
        <is>
          <t>Code Emprise</t>
        </is>
      </c>
      <c r="M14" s="12" t="inlineStr">
        <is>
          <t>G-I-BBB02</t>
        </is>
      </c>
      <c r="N14" s="12" t="b">
        <v>0</v>
      </c>
      <c r="O14" s="12" t="n"/>
      <c r="P14" s="12" t="n">
        <v>14</v>
      </c>
      <c r="Q14" s="12" t="n">
        <v>0</v>
      </c>
      <c r="R14" s="12" t="inlineStr">
        <is>
          <t>DEMO_PDM.xlsx</t>
        </is>
      </c>
      <c r="S14" s="24" t="n">
        <v>46309.625</v>
      </c>
    </row>
    <row r="15">
      <c r="A15" s="12" t="inlineStr">
        <is>
          <t>SET</t>
        </is>
      </c>
      <c r="B15" s="12" t="inlineStr">
        <is>
          <t>AA3</t>
        </is>
      </c>
      <c r="C15" s="12" t="inlineStr">
        <is>
          <t>G-I-BBB02</t>
        </is>
      </c>
      <c r="D15" s="12" t="inlineStr">
        <is>
          <t>Poste fictif Beta</t>
        </is>
      </c>
      <c r="E15" s="12" t="inlineStr">
        <is>
          <t>LIVRAISON</t>
        </is>
      </c>
      <c r="F15" s="12" t="n">
        <v>2029</v>
      </c>
      <c r="G15" s="12" t="inlineStr">
        <is>
          <t>PIS</t>
        </is>
      </c>
      <c r="H15" s="12" t="n">
        <v>1</v>
      </c>
      <c r="I15" s="12" t="inlineStr">
        <is>
          <t>PIS</t>
        </is>
      </c>
      <c r="J15" s="12" t="inlineStr">
        <is>
          <t>G-I-BBB02</t>
        </is>
      </c>
      <c r="K15" s="12" t="inlineStr">
        <is>
          <t>G-I-BBB02-INS02</t>
        </is>
      </c>
      <c r="L15" s="12" t="inlineStr">
        <is>
          <t>Code Emprise</t>
        </is>
      </c>
      <c r="M15" s="12" t="inlineStr">
        <is>
          <t>G-I-BBB02</t>
        </is>
      </c>
      <c r="N15" s="12" t="b">
        <v>0</v>
      </c>
      <c r="O15" s="12" t="n"/>
      <c r="P15" s="12" t="n">
        <v>15</v>
      </c>
      <c r="Q15" s="12" t="n">
        <v>0</v>
      </c>
      <c r="R15" s="12" t="inlineStr">
        <is>
          <t>DEMO_PDM.xlsx</t>
        </is>
      </c>
      <c r="S15" s="24" t="n">
        <v>46309.625</v>
      </c>
    </row>
    <row r="16">
      <c r="A16" s="12" t="inlineStr">
        <is>
          <t>SET</t>
        </is>
      </c>
      <c r="B16" s="12" t="inlineStr">
        <is>
          <t>AA3</t>
        </is>
      </c>
      <c r="C16" s="12" t="inlineStr">
        <is>
          <t>G-I-BBB02</t>
        </is>
      </c>
      <c r="D16" s="12" t="inlineStr">
        <is>
          <t>Poste fictif Beta</t>
        </is>
      </c>
      <c r="E16" s="12" t="inlineStr">
        <is>
          <t>LIVRAISON</t>
        </is>
      </c>
      <c r="F16" s="12" t="n">
        <v>2029</v>
      </c>
      <c r="G16" s="12" t="inlineStr">
        <is>
          <t>EC SIMPLE</t>
        </is>
      </c>
      <c r="H16" s="12" t="n">
        <v>2</v>
      </c>
      <c r="I16" s="12" t="inlineStr">
        <is>
          <t>EC Simple</t>
        </is>
      </c>
      <c r="J16" s="12" t="inlineStr">
        <is>
          <t>G-I-BBB02</t>
        </is>
      </c>
      <c r="K16" s="12" t="inlineStr">
        <is>
          <t>G-I-BBB02-INS02</t>
        </is>
      </c>
      <c r="L16" s="12" t="inlineStr">
        <is>
          <t>Code Emprise</t>
        </is>
      </c>
      <c r="M16" s="12" t="inlineStr">
        <is>
          <t>G-I-BBB02</t>
        </is>
      </c>
      <c r="N16" s="12" t="b">
        <v>0</v>
      </c>
      <c r="O16" s="12" t="n"/>
      <c r="P16" s="12" t="n">
        <v>16</v>
      </c>
      <c r="Q16" s="12" t="n">
        <v>0</v>
      </c>
      <c r="R16" s="12" t="inlineStr">
        <is>
          <t>DEMO_PDM.xlsx</t>
        </is>
      </c>
      <c r="S16" s="24" t="n">
        <v>46309.625</v>
      </c>
    </row>
    <row r="17">
      <c r="A17" s="12" t="inlineStr">
        <is>
          <t>SET</t>
        </is>
      </c>
      <c r="B17" s="12" t="inlineStr">
        <is>
          <t>AA3</t>
        </is>
      </c>
      <c r="C17" s="12" t="inlineStr">
        <is>
          <t>G-I-BBB02</t>
        </is>
      </c>
      <c r="D17" s="12" t="inlineStr">
        <is>
          <t>Poste fictif Beta</t>
        </is>
      </c>
      <c r="E17" s="12" t="inlineStr">
        <is>
          <t>LIVRAISON</t>
        </is>
      </c>
      <c r="F17" s="12" t="n">
        <v>2030</v>
      </c>
      <c r="G17" s="12" t="inlineStr">
        <is>
          <t>REVISION</t>
        </is>
      </c>
      <c r="H17" s="12" t="n">
        <v>4</v>
      </c>
      <c r="I17" s="12" t="inlineStr">
        <is>
          <t>Révision</t>
        </is>
      </c>
      <c r="J17" s="12" t="inlineStr">
        <is>
          <t>G-I-BBB02</t>
        </is>
      </c>
      <c r="K17" s="12" t="inlineStr">
        <is>
          <t>G-I-BBB02-INS02</t>
        </is>
      </c>
      <c r="L17" s="12" t="inlineStr">
        <is>
          <t>Code Emprise</t>
        </is>
      </c>
      <c r="M17" s="12" t="inlineStr">
        <is>
          <t>G-I-BBB02</t>
        </is>
      </c>
      <c r="N17" s="12" t="b">
        <v>0</v>
      </c>
      <c r="O17" s="12" t="n"/>
      <c r="P17" s="12" t="n">
        <v>17</v>
      </c>
      <c r="Q17" s="12" t="n">
        <v>0</v>
      </c>
      <c r="R17" s="12" t="inlineStr">
        <is>
          <t>DEMO_PDM.xlsx</t>
        </is>
      </c>
      <c r="S17" s="24" t="n">
        <v>46309.625</v>
      </c>
    </row>
    <row r="18">
      <c r="A18" s="12" t="inlineStr">
        <is>
          <t>SET</t>
        </is>
      </c>
      <c r="B18" s="12" t="inlineStr">
        <is>
          <t>AA3</t>
        </is>
      </c>
      <c r="C18" s="12" t="inlineStr">
        <is>
          <t>G-I-BBB02</t>
        </is>
      </c>
      <c r="D18" s="12" t="inlineStr">
        <is>
          <t>Poste fictif Beta</t>
        </is>
      </c>
      <c r="E18" s="12" t="inlineStr">
        <is>
          <t>LIVRAISON</t>
        </is>
      </c>
      <c r="F18" s="12" t="n">
        <v>2031</v>
      </c>
      <c r="G18" s="12" t="inlineStr">
        <is>
          <t>PIS</t>
        </is>
      </c>
      <c r="H18" s="12" t="n">
        <v>1</v>
      </c>
      <c r="I18" s="12" t="inlineStr">
        <is>
          <t>PIS</t>
        </is>
      </c>
      <c r="J18" s="12" t="inlineStr">
        <is>
          <t>G-I-BBB02</t>
        </is>
      </c>
      <c r="K18" s="12" t="inlineStr">
        <is>
          <t>G-I-BBB02-INS02</t>
        </is>
      </c>
      <c r="L18" s="12" t="inlineStr">
        <is>
          <t>Code Emprise</t>
        </is>
      </c>
      <c r="M18" s="12" t="inlineStr">
        <is>
          <t>G-I-BBB02</t>
        </is>
      </c>
      <c r="N18" s="12" t="b">
        <v>0</v>
      </c>
      <c r="O18" s="12" t="n"/>
      <c r="P18" s="12" t="n">
        <v>18</v>
      </c>
      <c r="Q18" s="12" t="n">
        <v>0</v>
      </c>
      <c r="R18" s="12" t="inlineStr">
        <is>
          <t>DEMO_PDM.xlsx</t>
        </is>
      </c>
      <c r="S18" s="24" t="n">
        <v>46309.625</v>
      </c>
    </row>
    <row r="19">
      <c r="A19" s="12" t="inlineStr">
        <is>
          <t>SET</t>
        </is>
      </c>
      <c r="B19" s="12" t="inlineStr">
        <is>
          <t>AA3</t>
        </is>
      </c>
      <c r="C19" s="12" t="inlineStr">
        <is>
          <t>G-I-BBB02</t>
        </is>
      </c>
      <c r="D19" s="12" t="inlineStr">
        <is>
          <t>Poste fictif Beta</t>
        </is>
      </c>
      <c r="E19" s="12" t="inlineStr">
        <is>
          <t>LIVRAISON</t>
        </is>
      </c>
      <c r="F19" s="12" t="n">
        <v>2031</v>
      </c>
      <c r="G19" s="12" t="inlineStr">
        <is>
          <t>EC FILTRE</t>
        </is>
      </c>
      <c r="H19" s="12" t="n">
        <v>3</v>
      </c>
      <c r="I19" s="12" t="inlineStr">
        <is>
          <t>EC Filtre</t>
        </is>
      </c>
      <c r="J19" s="12" t="inlineStr">
        <is>
          <t>G-I-BBB02</t>
        </is>
      </c>
      <c r="K19" s="12" t="inlineStr">
        <is>
          <t>G-I-BBB02-INS02</t>
        </is>
      </c>
      <c r="L19" s="12" t="inlineStr">
        <is>
          <t>Code Emprise</t>
        </is>
      </c>
      <c r="M19" s="12" t="inlineStr">
        <is>
          <t>G-I-BBB02</t>
        </is>
      </c>
      <c r="N19" s="12" t="b">
        <v>0</v>
      </c>
      <c r="O19" s="12" t="n"/>
      <c r="P19" s="12" t="n">
        <v>19</v>
      </c>
      <c r="Q19" s="12" t="n">
        <v>0</v>
      </c>
      <c r="R19" s="12" t="inlineStr">
        <is>
          <t>DEMO_PDM.xlsx</t>
        </is>
      </c>
      <c r="S19" s="24" t="n">
        <v>46309.625</v>
      </c>
    </row>
    <row r="20">
      <c r="A20" s="12" t="inlineStr">
        <is>
          <t>SET</t>
        </is>
      </c>
      <c r="B20" s="12" t="inlineStr">
        <is>
          <t>AA3</t>
        </is>
      </c>
      <c r="C20" s="12" t="inlineStr">
        <is>
          <t>G-I-BBB02</t>
        </is>
      </c>
      <c r="D20" s="12" t="inlineStr">
        <is>
          <t>Poste fictif Beta</t>
        </is>
      </c>
      <c r="E20" s="12" t="inlineStr">
        <is>
          <t>LIVRAISON</t>
        </is>
      </c>
      <c r="F20" s="12" t="n">
        <v>2032</v>
      </c>
      <c r="G20" s="12" t="inlineStr">
        <is>
          <t>PIS</t>
        </is>
      </c>
      <c r="H20" s="12" t="n">
        <v>1</v>
      </c>
      <c r="I20" s="12" t="inlineStr">
        <is>
          <t>PIS</t>
        </is>
      </c>
      <c r="J20" s="12" t="inlineStr">
        <is>
          <t>G-I-BBB02</t>
        </is>
      </c>
      <c r="K20" s="12" t="inlineStr">
        <is>
          <t>G-I-BBB02-INS02</t>
        </is>
      </c>
      <c r="L20" s="12" t="inlineStr">
        <is>
          <t>Code Emprise</t>
        </is>
      </c>
      <c r="M20" s="12" t="inlineStr">
        <is>
          <t>G-I-BBB02</t>
        </is>
      </c>
      <c r="N20" s="12" t="b">
        <v>0</v>
      </c>
      <c r="O20" s="12" t="n"/>
      <c r="P20" s="12" t="n">
        <v>20</v>
      </c>
      <c r="Q20" s="12" t="n">
        <v>0</v>
      </c>
      <c r="R20" s="12" t="inlineStr">
        <is>
          <t>DEMO_PDM.xlsx</t>
        </is>
      </c>
      <c r="S20" s="24" t="n">
        <v>46309.625</v>
      </c>
    </row>
    <row r="21">
      <c r="A21" s="12" t="inlineStr">
        <is>
          <t>SET</t>
        </is>
      </c>
      <c r="B21" s="12" t="inlineStr">
        <is>
          <t>AA4</t>
        </is>
      </c>
      <c r="C21" s="12" t="inlineStr">
        <is>
          <t>G-I-CCC03</t>
        </is>
      </c>
      <c r="D21" s="12" t="inlineStr">
        <is>
          <t>Poste fictif Gamma</t>
        </is>
      </c>
      <c r="E21" s="12" t="inlineStr">
        <is>
          <t>PIQUAGE</t>
        </is>
      </c>
      <c r="F21" s="12" t="n">
        <v>2026</v>
      </c>
      <c r="G21" s="12" t="inlineStr">
        <is>
          <t>PIS</t>
        </is>
      </c>
      <c r="H21" s="12" t="n">
        <v>1</v>
      </c>
      <c r="I21" s="12" t="inlineStr">
        <is>
          <t>PIS</t>
        </is>
      </c>
      <c r="J21" s="12" t="inlineStr">
        <is>
          <t>G-I-CCC03</t>
        </is>
      </c>
      <c r="K21" s="12" t="inlineStr">
        <is>
          <t>G-I-CCC03-INS03</t>
        </is>
      </c>
      <c r="L21" s="12" t="inlineStr">
        <is>
          <t>Code Emprise</t>
        </is>
      </c>
      <c r="M21" s="12" t="inlineStr">
        <is>
          <t>G-I-CCC03</t>
        </is>
      </c>
      <c r="N21" s="12" t="b">
        <v>0</v>
      </c>
      <c r="O21" s="12" t="n"/>
      <c r="P21" s="12" t="n">
        <v>21</v>
      </c>
      <c r="Q21" s="12" t="n">
        <v>0</v>
      </c>
      <c r="R21" s="12" t="inlineStr">
        <is>
          <t>DEMO_PDM.xlsx</t>
        </is>
      </c>
      <c r="S21" s="24" t="n">
        <v>46309.625</v>
      </c>
    </row>
    <row r="22">
      <c r="A22" s="12" t="inlineStr">
        <is>
          <t>SET</t>
        </is>
      </c>
      <c r="B22" s="12" t="inlineStr">
        <is>
          <t>AA4</t>
        </is>
      </c>
      <c r="C22" s="12" t="inlineStr">
        <is>
          <t>G-I-CCC03</t>
        </is>
      </c>
      <c r="D22" s="12" t="inlineStr">
        <is>
          <t>Poste fictif Gamma</t>
        </is>
      </c>
      <c r="E22" s="12" t="inlineStr">
        <is>
          <t>PIQUAGE</t>
        </is>
      </c>
      <c r="F22" s="12" t="n">
        <v>2027</v>
      </c>
      <c r="G22" s="12" t="inlineStr">
        <is>
          <t>PIS</t>
        </is>
      </c>
      <c r="H22" s="12" t="n">
        <v>1</v>
      </c>
      <c r="I22" s="12" t="inlineStr">
        <is>
          <t>PIS</t>
        </is>
      </c>
      <c r="J22" s="12" t="inlineStr">
        <is>
          <t>G-I-CCC03</t>
        </is>
      </c>
      <c r="K22" s="12" t="inlineStr">
        <is>
          <t>G-I-CCC03-INS03</t>
        </is>
      </c>
      <c r="L22" s="12" t="inlineStr">
        <is>
          <t>Code Emprise</t>
        </is>
      </c>
      <c r="M22" s="12" t="inlineStr">
        <is>
          <t>G-I-CCC03</t>
        </is>
      </c>
      <c r="N22" s="12" t="b">
        <v>0</v>
      </c>
      <c r="O22" s="12" t="n"/>
      <c r="P22" s="12" t="n">
        <v>22</v>
      </c>
      <c r="Q22" s="12" t="n">
        <v>0</v>
      </c>
      <c r="R22" s="12" t="inlineStr">
        <is>
          <t>DEMO_PDM.xlsx</t>
        </is>
      </c>
      <c r="S22" s="24" t="n">
        <v>46309.625</v>
      </c>
    </row>
    <row r="23">
      <c r="A23" s="12" t="inlineStr">
        <is>
          <t>SET</t>
        </is>
      </c>
      <c r="B23" s="12" t="inlineStr">
        <is>
          <t>AA4</t>
        </is>
      </c>
      <c r="C23" s="12" t="inlineStr">
        <is>
          <t>G-I-CCC03</t>
        </is>
      </c>
      <c r="D23" s="12" t="inlineStr">
        <is>
          <t>Poste fictif Gamma</t>
        </is>
      </c>
      <c r="E23" s="12" t="inlineStr">
        <is>
          <t>PIQUAGE</t>
        </is>
      </c>
      <c r="F23" s="12" t="n">
        <v>2028</v>
      </c>
      <c r="G23" s="12" t="inlineStr">
        <is>
          <t>PIS</t>
        </is>
      </c>
      <c r="H23" s="12" t="n">
        <v>1</v>
      </c>
      <c r="I23" s="12" t="inlineStr">
        <is>
          <t>PIS</t>
        </is>
      </c>
      <c r="J23" s="12" t="inlineStr">
        <is>
          <t>G-I-CCC03</t>
        </is>
      </c>
      <c r="K23" s="12" t="inlineStr">
        <is>
          <t>G-I-CCC03-INS03</t>
        </is>
      </c>
      <c r="L23" s="12" t="inlineStr">
        <is>
          <t>Code Emprise</t>
        </is>
      </c>
      <c r="M23" s="12" t="inlineStr">
        <is>
          <t>G-I-CCC03</t>
        </is>
      </c>
      <c r="N23" s="12" t="b">
        <v>0</v>
      </c>
      <c r="O23" s="12" t="n"/>
      <c r="P23" s="12" t="n">
        <v>23</v>
      </c>
      <c r="Q23" s="12" t="n">
        <v>0</v>
      </c>
      <c r="R23" s="12" t="inlineStr">
        <is>
          <t>DEMO_PDM.xlsx</t>
        </is>
      </c>
      <c r="S23" s="24" t="n">
        <v>46309.625</v>
      </c>
    </row>
    <row r="24">
      <c r="A24" s="12" t="inlineStr">
        <is>
          <t>SET</t>
        </is>
      </c>
      <c r="B24" s="12" t="inlineStr">
        <is>
          <t>AA4</t>
        </is>
      </c>
      <c r="C24" s="12" t="inlineStr">
        <is>
          <t>G-I-CCC03</t>
        </is>
      </c>
      <c r="D24" s="12" t="inlineStr">
        <is>
          <t>Poste fictif Gamma</t>
        </is>
      </c>
      <c r="E24" s="12" t="inlineStr">
        <is>
          <t>PIQUAGE</t>
        </is>
      </c>
      <c r="F24" s="12" t="n">
        <v>2028</v>
      </c>
      <c r="G24" s="12" t="inlineStr">
        <is>
          <t>EC SIMPLE</t>
        </is>
      </c>
      <c r="H24" s="12" t="n">
        <v>2</v>
      </c>
      <c r="I24" s="12" t="inlineStr">
        <is>
          <t>EC Simple</t>
        </is>
      </c>
      <c r="J24" s="12" t="inlineStr">
        <is>
          <t>G-I-CCC03</t>
        </is>
      </c>
      <c r="K24" s="12" t="inlineStr">
        <is>
          <t>G-I-CCC03-INS03</t>
        </is>
      </c>
      <c r="L24" s="12" t="inlineStr">
        <is>
          <t>Code Emprise</t>
        </is>
      </c>
      <c r="M24" s="12" t="inlineStr">
        <is>
          <t>G-I-CCC03</t>
        </is>
      </c>
      <c r="N24" s="12" t="b">
        <v>0</v>
      </c>
      <c r="O24" s="12" t="n"/>
      <c r="P24" s="12" t="n">
        <v>24</v>
      </c>
      <c r="Q24" s="12" t="n">
        <v>0</v>
      </c>
      <c r="R24" s="12" t="inlineStr">
        <is>
          <t>DEMO_PDM.xlsx</t>
        </is>
      </c>
      <c r="S24" s="24" t="n">
        <v>46309.625</v>
      </c>
    </row>
    <row r="25">
      <c r="A25" s="12" t="inlineStr">
        <is>
          <t>SET</t>
        </is>
      </c>
      <c r="B25" s="12" t="inlineStr">
        <is>
          <t>AA4</t>
        </is>
      </c>
      <c r="C25" s="12" t="inlineStr">
        <is>
          <t>G-I-CCC03</t>
        </is>
      </c>
      <c r="D25" s="12" t="inlineStr">
        <is>
          <t>Poste fictif Gamma</t>
        </is>
      </c>
      <c r="E25" s="12" t="inlineStr">
        <is>
          <t>PIQUAGE</t>
        </is>
      </c>
      <c r="F25" s="12" t="n">
        <v>2029</v>
      </c>
      <c r="G25" s="12" t="inlineStr">
        <is>
          <t>PIS</t>
        </is>
      </c>
      <c r="H25" s="12" t="n">
        <v>1</v>
      </c>
      <c r="I25" s="12" t="inlineStr">
        <is>
          <t>PIS</t>
        </is>
      </c>
      <c r="J25" s="12" t="inlineStr">
        <is>
          <t>G-I-CCC03</t>
        </is>
      </c>
      <c r="K25" s="12" t="inlineStr">
        <is>
          <t>G-I-CCC03-INS03</t>
        </is>
      </c>
      <c r="L25" s="12" t="inlineStr">
        <is>
          <t>Code Emprise</t>
        </is>
      </c>
      <c r="M25" s="12" t="inlineStr">
        <is>
          <t>G-I-CCC03</t>
        </is>
      </c>
      <c r="N25" s="12" t="b">
        <v>0</v>
      </c>
      <c r="O25" s="12" t="n"/>
      <c r="P25" s="12" t="n">
        <v>25</v>
      </c>
      <c r="Q25" s="12" t="n">
        <v>0</v>
      </c>
      <c r="R25" s="12" t="inlineStr">
        <is>
          <t>DEMO_PDM.xlsx</t>
        </is>
      </c>
      <c r="S25" s="24" t="n">
        <v>46309.625</v>
      </c>
    </row>
    <row r="26">
      <c r="A26" s="12" t="inlineStr">
        <is>
          <t>SET</t>
        </is>
      </c>
      <c r="B26" s="12" t="inlineStr">
        <is>
          <t>AA4</t>
        </is>
      </c>
      <c r="C26" s="12" t="inlineStr">
        <is>
          <t>G-I-CCC03</t>
        </is>
      </c>
      <c r="D26" s="12" t="inlineStr">
        <is>
          <t>Poste fictif Gamma</t>
        </is>
      </c>
      <c r="E26" s="12" t="inlineStr">
        <is>
          <t>PIQUAGE</t>
        </is>
      </c>
      <c r="F26" s="12" t="n">
        <v>2029</v>
      </c>
      <c r="G26" s="12" t="inlineStr">
        <is>
          <t>REVISION</t>
        </is>
      </c>
      <c r="H26" s="12" t="n">
        <v>4</v>
      </c>
      <c r="I26" s="12" t="inlineStr">
        <is>
          <t>Révision</t>
        </is>
      </c>
      <c r="J26" s="12" t="inlineStr">
        <is>
          <t>G-I-CCC03</t>
        </is>
      </c>
      <c r="K26" s="12" t="inlineStr">
        <is>
          <t>G-I-CCC03-INS03</t>
        </is>
      </c>
      <c r="L26" s="12" t="inlineStr">
        <is>
          <t>Code Emprise</t>
        </is>
      </c>
      <c r="M26" s="12" t="inlineStr">
        <is>
          <t>G-I-CCC03</t>
        </is>
      </c>
      <c r="N26" s="12" t="b">
        <v>0</v>
      </c>
      <c r="O26" s="12" t="n"/>
      <c r="P26" s="12" t="n">
        <v>26</v>
      </c>
      <c r="Q26" s="12" t="n">
        <v>0</v>
      </c>
      <c r="R26" s="12" t="inlineStr">
        <is>
          <t>DEMO_PDM.xlsx</t>
        </is>
      </c>
      <c r="S26" s="24" t="n">
        <v>46309.625</v>
      </c>
    </row>
    <row r="27">
      <c r="A27" s="12" t="inlineStr">
        <is>
          <t>SET</t>
        </is>
      </c>
      <c r="B27" s="12" t="inlineStr">
        <is>
          <t>AA4</t>
        </is>
      </c>
      <c r="C27" s="12" t="inlineStr">
        <is>
          <t>G-I-CCC03</t>
        </is>
      </c>
      <c r="D27" s="12" t="inlineStr">
        <is>
          <t>Poste fictif Gamma</t>
        </is>
      </c>
      <c r="E27" s="12" t="inlineStr">
        <is>
          <t>PIQUAGE</t>
        </is>
      </c>
      <c r="F27" s="12" t="n">
        <v>2030</v>
      </c>
      <c r="G27" s="12" t="inlineStr">
        <is>
          <t>PIS</t>
        </is>
      </c>
      <c r="H27" s="12" t="n">
        <v>1</v>
      </c>
      <c r="I27" s="12" t="inlineStr">
        <is>
          <t>PIS</t>
        </is>
      </c>
      <c r="J27" s="12" t="inlineStr">
        <is>
          <t>G-I-CCC03</t>
        </is>
      </c>
      <c r="K27" s="12" t="inlineStr">
        <is>
          <t>G-I-CCC03-INS03</t>
        </is>
      </c>
      <c r="L27" s="12" t="inlineStr">
        <is>
          <t>Code Emprise</t>
        </is>
      </c>
      <c r="M27" s="12" t="inlineStr">
        <is>
          <t>G-I-CCC03</t>
        </is>
      </c>
      <c r="N27" s="12" t="b">
        <v>0</v>
      </c>
      <c r="O27" s="12" t="n"/>
      <c r="P27" s="12" t="n">
        <v>27</v>
      </c>
      <c r="Q27" s="12" t="n">
        <v>0</v>
      </c>
      <c r="R27" s="12" t="inlineStr">
        <is>
          <t>DEMO_PDM.xlsx</t>
        </is>
      </c>
      <c r="S27" s="24" t="n">
        <v>46309.625</v>
      </c>
    </row>
    <row r="28">
      <c r="A28" s="12" t="inlineStr">
        <is>
          <t>SET</t>
        </is>
      </c>
      <c r="B28" s="12" t="inlineStr">
        <is>
          <t>AA4</t>
        </is>
      </c>
      <c r="C28" s="12" t="inlineStr">
        <is>
          <t>G-I-CCC03</t>
        </is>
      </c>
      <c r="D28" s="12" t="inlineStr">
        <is>
          <t>Poste fictif Gamma</t>
        </is>
      </c>
      <c r="E28" s="12" t="inlineStr">
        <is>
          <t>PIQUAGE</t>
        </is>
      </c>
      <c r="F28" s="12" t="n">
        <v>2031</v>
      </c>
      <c r="G28" s="12" t="inlineStr">
        <is>
          <t>PIS</t>
        </is>
      </c>
      <c r="H28" s="12" t="n">
        <v>1</v>
      </c>
      <c r="I28" s="12" t="inlineStr">
        <is>
          <t>PIS</t>
        </is>
      </c>
      <c r="J28" s="12" t="inlineStr">
        <is>
          <t>G-I-CCC03</t>
        </is>
      </c>
      <c r="K28" s="12" t="inlineStr">
        <is>
          <t>G-I-CCC03-INS03</t>
        </is>
      </c>
      <c r="L28" s="12" t="inlineStr">
        <is>
          <t>Code Emprise</t>
        </is>
      </c>
      <c r="M28" s="12" t="inlineStr">
        <is>
          <t>G-I-CCC03</t>
        </is>
      </c>
      <c r="N28" s="12" t="b">
        <v>0</v>
      </c>
      <c r="O28" s="12" t="n"/>
      <c r="P28" s="12" t="n">
        <v>28</v>
      </c>
      <c r="Q28" s="12" t="n">
        <v>0</v>
      </c>
      <c r="R28" s="12" t="inlineStr">
        <is>
          <t>DEMO_PDM.xlsx</t>
        </is>
      </c>
      <c r="S28" s="24" t="n">
        <v>46309.625</v>
      </c>
    </row>
    <row r="29">
      <c r="A29" s="12" t="inlineStr">
        <is>
          <t>SET</t>
        </is>
      </c>
      <c r="B29" s="12" t="inlineStr">
        <is>
          <t>AA4</t>
        </is>
      </c>
      <c r="C29" s="12" t="inlineStr">
        <is>
          <t>G-I-CCC03</t>
        </is>
      </c>
      <c r="D29" s="12" t="inlineStr">
        <is>
          <t>Poste fictif Gamma</t>
        </is>
      </c>
      <c r="E29" s="12" t="inlineStr">
        <is>
          <t>PIQUAGE</t>
        </is>
      </c>
      <c r="F29" s="12" t="n">
        <v>2031</v>
      </c>
      <c r="G29" s="12" t="inlineStr">
        <is>
          <t>EC SIMPLE</t>
        </is>
      </c>
      <c r="H29" s="12" t="n">
        <v>2</v>
      </c>
      <c r="I29" s="12" t="inlineStr">
        <is>
          <t>EC Simple</t>
        </is>
      </c>
      <c r="J29" s="12" t="inlineStr">
        <is>
          <t>G-I-CCC03</t>
        </is>
      </c>
      <c r="K29" s="12" t="inlineStr">
        <is>
          <t>G-I-CCC03-INS03</t>
        </is>
      </c>
      <c r="L29" s="12" t="inlineStr">
        <is>
          <t>Code Emprise</t>
        </is>
      </c>
      <c r="M29" s="12" t="inlineStr">
        <is>
          <t>G-I-CCC03</t>
        </is>
      </c>
      <c r="N29" s="12" t="b">
        <v>0</v>
      </c>
      <c r="O29" s="12" t="n"/>
      <c r="P29" s="12" t="n">
        <v>29</v>
      </c>
      <c r="Q29" s="12" t="n">
        <v>0</v>
      </c>
      <c r="R29" s="12" t="inlineStr">
        <is>
          <t>DEMO_PDM.xlsx</t>
        </is>
      </c>
      <c r="S29" s="24" t="n">
        <v>46309.625</v>
      </c>
    </row>
    <row r="30">
      <c r="A30" s="12" t="inlineStr">
        <is>
          <t>SET</t>
        </is>
      </c>
      <c r="B30" s="12" t="inlineStr">
        <is>
          <t>AA4</t>
        </is>
      </c>
      <c r="C30" s="12" t="inlineStr">
        <is>
          <t>G-I-CCC03</t>
        </is>
      </c>
      <c r="D30" s="12" t="inlineStr">
        <is>
          <t>Poste fictif Gamma</t>
        </is>
      </c>
      <c r="E30" s="12" t="inlineStr">
        <is>
          <t>PIQUAGE</t>
        </is>
      </c>
      <c r="F30" s="12" t="n">
        <v>2032</v>
      </c>
      <c r="G30" s="12" t="inlineStr">
        <is>
          <t>PIS</t>
        </is>
      </c>
      <c r="H30" s="12" t="n">
        <v>1</v>
      </c>
      <c r="I30" s="12" t="inlineStr">
        <is>
          <t>PIS</t>
        </is>
      </c>
      <c r="J30" s="12" t="inlineStr">
        <is>
          <t>G-I-CCC03</t>
        </is>
      </c>
      <c r="K30" s="12" t="inlineStr">
        <is>
          <t>G-I-CCC03-INS03</t>
        </is>
      </c>
      <c r="L30" s="12" t="inlineStr">
        <is>
          <t>Code Emprise</t>
        </is>
      </c>
      <c r="M30" s="12" t="inlineStr">
        <is>
          <t>G-I-CCC03</t>
        </is>
      </c>
      <c r="N30" s="12" t="b">
        <v>0</v>
      </c>
      <c r="O30" s="12" t="n"/>
      <c r="P30" s="12" t="n">
        <v>30</v>
      </c>
      <c r="Q30" s="12" t="n">
        <v>0</v>
      </c>
      <c r="R30" s="12" t="inlineStr">
        <is>
          <t>DEMO_PDM.xlsx</t>
        </is>
      </c>
      <c r="S30" s="24" t="n">
        <v>46309.625</v>
      </c>
    </row>
    <row r="31">
      <c r="A31" s="12" t="inlineStr">
        <is>
          <t>SPS</t>
        </is>
      </c>
      <c r="B31" s="12" t="inlineStr">
        <is>
          <t>AA1</t>
        </is>
      </c>
      <c r="C31" s="12" t="inlineStr">
        <is>
          <t>G-I-DDD04</t>
        </is>
      </c>
      <c r="D31" s="12" t="inlineStr">
        <is>
          <t>Poste fictif Delta</t>
        </is>
      </c>
      <c r="E31" s="12" t="inlineStr">
        <is>
          <t>LIVRAISON</t>
        </is>
      </c>
      <c r="F31" s="12" t="n">
        <v>2026</v>
      </c>
      <c r="G31" s="12" t="inlineStr">
        <is>
          <t>EC FILTRE</t>
        </is>
      </c>
      <c r="H31" s="12" t="n">
        <v>3</v>
      </c>
      <c r="I31" s="12" t="inlineStr">
        <is>
          <t>EC Filtre</t>
        </is>
      </c>
      <c r="J31" s="12" t="inlineStr">
        <is>
          <t>G-I-DDD04</t>
        </is>
      </c>
      <c r="K31" s="12" t="inlineStr">
        <is>
          <t>G-I-DDD04-INS04</t>
        </is>
      </c>
      <c r="L31" s="12" t="inlineStr">
        <is>
          <t>Code Emprise</t>
        </is>
      </c>
      <c r="M31" s="12" t="inlineStr">
        <is>
          <t>G-I-DDD04</t>
        </is>
      </c>
      <c r="N31" s="12" t="b">
        <v>0</v>
      </c>
      <c r="O31" s="12" t="n"/>
      <c r="P31" s="12" t="n">
        <v>31</v>
      </c>
      <c r="Q31" s="12" t="n">
        <v>0</v>
      </c>
      <c r="R31" s="12" t="inlineStr">
        <is>
          <t>DEMO_PDM.xlsx</t>
        </is>
      </c>
      <c r="S31" s="24" t="n">
        <v>46309.625</v>
      </c>
    </row>
    <row r="32">
      <c r="A32" s="12" t="inlineStr">
        <is>
          <t>SPS</t>
        </is>
      </c>
      <c r="B32" s="12" t="inlineStr">
        <is>
          <t>AA1</t>
        </is>
      </c>
      <c r="C32" s="12" t="inlineStr">
        <is>
          <t>G-I-DDD04</t>
        </is>
      </c>
      <c r="D32" s="12" t="inlineStr">
        <is>
          <t>Poste fictif Delta</t>
        </is>
      </c>
      <c r="E32" s="12" t="inlineStr">
        <is>
          <t>LIVRAISON</t>
        </is>
      </c>
      <c r="F32" s="12" t="n">
        <v>2027</v>
      </c>
      <c r="G32" s="12" t="inlineStr">
        <is>
          <t>PIS</t>
        </is>
      </c>
      <c r="H32" s="12" t="n">
        <v>1</v>
      </c>
      <c r="I32" s="12" t="inlineStr">
        <is>
          <t>PIS</t>
        </is>
      </c>
      <c r="J32" s="12" t="inlineStr">
        <is>
          <t>G-I-DDD04</t>
        </is>
      </c>
      <c r="K32" s="12" t="inlineStr">
        <is>
          <t>G-I-DDD04-INS04</t>
        </is>
      </c>
      <c r="L32" s="12" t="inlineStr">
        <is>
          <t>Code Emprise</t>
        </is>
      </c>
      <c r="M32" s="12" t="inlineStr">
        <is>
          <t>G-I-DDD04</t>
        </is>
      </c>
      <c r="N32" s="12" t="b">
        <v>0</v>
      </c>
      <c r="O32" s="12" t="n"/>
      <c r="P32" s="12" t="n">
        <v>32</v>
      </c>
      <c r="Q32" s="12" t="n">
        <v>0</v>
      </c>
      <c r="R32" s="12" t="inlineStr">
        <is>
          <t>DEMO_PDM.xlsx</t>
        </is>
      </c>
      <c r="S32" s="24" t="n">
        <v>46309.625</v>
      </c>
    </row>
    <row r="33">
      <c r="A33" s="12" t="inlineStr">
        <is>
          <t>SPS</t>
        </is>
      </c>
      <c r="B33" s="12" t="inlineStr">
        <is>
          <t>AA1</t>
        </is>
      </c>
      <c r="C33" s="12" t="inlineStr">
        <is>
          <t>G-I-DDD04</t>
        </is>
      </c>
      <c r="D33" s="12" t="inlineStr">
        <is>
          <t>Poste fictif Delta</t>
        </is>
      </c>
      <c r="E33" s="12" t="inlineStr">
        <is>
          <t>LIVRAISON</t>
        </is>
      </c>
      <c r="F33" s="12" t="n">
        <v>2029</v>
      </c>
      <c r="G33" s="12" t="inlineStr">
        <is>
          <t>REVISION</t>
        </is>
      </c>
      <c r="H33" s="12" t="n">
        <v>4</v>
      </c>
      <c r="I33" s="12" t="inlineStr">
        <is>
          <t>Révision</t>
        </is>
      </c>
      <c r="J33" s="12" t="inlineStr">
        <is>
          <t>G-I-DDD04</t>
        </is>
      </c>
      <c r="K33" s="12" t="inlineStr">
        <is>
          <t>G-I-DDD04-INS04</t>
        </is>
      </c>
      <c r="L33" s="12" t="inlineStr">
        <is>
          <t>Code Emprise</t>
        </is>
      </c>
      <c r="M33" s="12" t="inlineStr">
        <is>
          <t>G-I-DDD04</t>
        </is>
      </c>
      <c r="N33" s="12" t="b">
        <v>0</v>
      </c>
      <c r="O33" s="12" t="n"/>
      <c r="P33" s="12" t="n">
        <v>33</v>
      </c>
      <c r="Q33" s="12" t="n">
        <v>0</v>
      </c>
      <c r="R33" s="12" t="inlineStr">
        <is>
          <t>DEMO_PDM.xlsx</t>
        </is>
      </c>
      <c r="S33" s="24" t="n">
        <v>46309.625</v>
      </c>
    </row>
    <row r="34">
      <c r="A34" s="12" t="inlineStr">
        <is>
          <t>SPS</t>
        </is>
      </c>
      <c r="B34" s="12" t="inlineStr">
        <is>
          <t>AA1</t>
        </is>
      </c>
      <c r="C34" s="12" t="inlineStr">
        <is>
          <t>G-I-DDD04</t>
        </is>
      </c>
      <c r="D34" s="12" t="inlineStr">
        <is>
          <t>Poste fictif Delta</t>
        </is>
      </c>
      <c r="E34" s="12" t="inlineStr">
        <is>
          <t>LIVRAISON</t>
        </is>
      </c>
      <c r="F34" s="12" t="n">
        <v>2031</v>
      </c>
      <c r="G34" s="12" t="inlineStr">
        <is>
          <t>PIS</t>
        </is>
      </c>
      <c r="H34" s="12" t="n">
        <v>1</v>
      </c>
      <c r="I34" s="12" t="inlineStr">
        <is>
          <t>PIS</t>
        </is>
      </c>
      <c r="J34" s="12" t="inlineStr">
        <is>
          <t>G-I-DDD04</t>
        </is>
      </c>
      <c r="K34" s="12" t="inlineStr">
        <is>
          <t>G-I-DDD04-INS04</t>
        </is>
      </c>
      <c r="L34" s="12" t="inlineStr">
        <is>
          <t>Code Emprise</t>
        </is>
      </c>
      <c r="M34" s="12" t="inlineStr">
        <is>
          <t>G-I-DDD04</t>
        </is>
      </c>
      <c r="N34" s="12" t="b">
        <v>0</v>
      </c>
      <c r="O34" s="12" t="n"/>
      <c r="P34" s="12" t="n">
        <v>34</v>
      </c>
      <c r="Q34" s="12" t="n">
        <v>0</v>
      </c>
      <c r="R34" s="12" t="inlineStr">
        <is>
          <t>DEMO_PDM.xlsx</t>
        </is>
      </c>
      <c r="S34" s="24" t="n">
        <v>46309.625</v>
      </c>
    </row>
    <row r="35">
      <c r="A35" s="12" t="inlineStr">
        <is>
          <t>SPS</t>
        </is>
      </c>
      <c r="B35" s="12" t="inlineStr">
        <is>
          <t>AA1</t>
        </is>
      </c>
      <c r="C35" s="12" t="inlineStr">
        <is>
          <t>G-I-DDD04</t>
        </is>
      </c>
      <c r="D35" s="12" t="inlineStr">
        <is>
          <t>Poste fictif Delta</t>
        </is>
      </c>
      <c r="E35" s="12" t="inlineStr">
        <is>
          <t>LIVRAISON</t>
        </is>
      </c>
      <c r="F35" s="12" t="n">
        <v>2032</v>
      </c>
      <c r="G35" s="12" t="inlineStr">
        <is>
          <t>EC FILTRE</t>
        </is>
      </c>
      <c r="H35" s="12" t="n">
        <v>3</v>
      </c>
      <c r="I35" s="12" t="inlineStr">
        <is>
          <t>EC Filtre</t>
        </is>
      </c>
      <c r="J35" s="12" t="inlineStr">
        <is>
          <t>G-I-DDD04</t>
        </is>
      </c>
      <c r="K35" s="12" t="inlineStr">
        <is>
          <t>G-I-DDD04-INS04</t>
        </is>
      </c>
      <c r="L35" s="12" t="inlineStr">
        <is>
          <t>Code Emprise</t>
        </is>
      </c>
      <c r="M35" s="12" t="inlineStr">
        <is>
          <t>G-I-DDD04</t>
        </is>
      </c>
      <c r="N35" s="12" t="b">
        <v>0</v>
      </c>
      <c r="O35" s="12" t="n"/>
      <c r="P35" s="12" t="n">
        <v>35</v>
      </c>
      <c r="Q35" s="12" t="n">
        <v>0</v>
      </c>
      <c r="R35" s="12" t="inlineStr">
        <is>
          <t>DEMO_PDM.xlsx</t>
        </is>
      </c>
      <c r="S35" s="24" t="n">
        <v>46309.625</v>
      </c>
    </row>
    <row r="36">
      <c r="A36" s="12" t="inlineStr">
        <is>
          <t>SPS</t>
        </is>
      </c>
      <c r="B36" s="12" t="inlineStr">
        <is>
          <t>AA3</t>
        </is>
      </c>
      <c r="C36" s="12" t="inlineStr">
        <is>
          <t>G-I-EEE05</t>
        </is>
      </c>
      <c r="D36" s="12" t="inlineStr">
        <is>
          <t>Poste fictif Epsilon</t>
        </is>
      </c>
      <c r="E36" s="12" t="inlineStr">
        <is>
          <t>COUPURE</t>
        </is>
      </c>
      <c r="F36" s="12" t="n">
        <v>2026</v>
      </c>
      <c r="G36" s="12" t="inlineStr">
        <is>
          <t>REVISION</t>
        </is>
      </c>
      <c r="H36" s="12" t="n">
        <v>4</v>
      </c>
      <c r="I36" s="12" t="inlineStr">
        <is>
          <t>Révision</t>
        </is>
      </c>
      <c r="J36" s="12" t="n"/>
      <c r="K36" s="12" t="inlineStr">
        <is>
          <t>G-I-EEE05-INS05</t>
        </is>
      </c>
      <c r="L36" s="12" t="inlineStr">
        <is>
          <t>Code Installation (9 car.)</t>
        </is>
      </c>
      <c r="M36" s="12" t="inlineStr">
        <is>
          <t>G-I-EEE05</t>
        </is>
      </c>
      <c r="N36" s="12" t="b">
        <v>0</v>
      </c>
      <c r="O36" s="12" t="inlineStr">
        <is>
          <t>PDM : Code Emprise vide (code repris du Code Installation)</t>
        </is>
      </c>
      <c r="P36" s="12" t="n">
        <v>36</v>
      </c>
      <c r="Q36" s="12" t="n">
        <v>0</v>
      </c>
      <c r="R36" s="12" t="inlineStr">
        <is>
          <t>DEMO_PDM.xlsx</t>
        </is>
      </c>
      <c r="S36" s="24" t="n">
        <v>46309.625</v>
      </c>
    </row>
    <row r="37">
      <c r="A37" s="12" t="inlineStr">
        <is>
          <t>SPS</t>
        </is>
      </c>
      <c r="B37" s="12" t="inlineStr">
        <is>
          <t>AA3</t>
        </is>
      </c>
      <c r="C37" s="12" t="inlineStr">
        <is>
          <t>G-I-EEE05</t>
        </is>
      </c>
      <c r="D37" s="12" t="inlineStr">
        <is>
          <t>Poste fictif Epsilon</t>
        </is>
      </c>
      <c r="E37" s="12" t="inlineStr">
        <is>
          <t>COUPURE</t>
        </is>
      </c>
      <c r="F37" s="12" t="n">
        <v>2027</v>
      </c>
      <c r="G37" s="12" t="inlineStr">
        <is>
          <t>PIS</t>
        </is>
      </c>
      <c r="H37" s="12" t="n">
        <v>1</v>
      </c>
      <c r="I37" s="12" t="inlineStr">
        <is>
          <t>PIS</t>
        </is>
      </c>
      <c r="J37" s="12" t="n"/>
      <c r="K37" s="12" t="inlineStr">
        <is>
          <t>G-I-EEE05-INS05</t>
        </is>
      </c>
      <c r="L37" s="12" t="inlineStr">
        <is>
          <t>Code Installation (9 car.)</t>
        </is>
      </c>
      <c r="M37" s="12" t="inlineStr">
        <is>
          <t>G-I-EEE05</t>
        </is>
      </c>
      <c r="N37" s="12" t="b">
        <v>0</v>
      </c>
      <c r="O37" s="12" t="inlineStr">
        <is>
          <t>PDM : Code Emprise vide (code repris du Code Installation)</t>
        </is>
      </c>
      <c r="P37" s="12" t="n">
        <v>37</v>
      </c>
      <c r="Q37" s="12" t="n">
        <v>0</v>
      </c>
      <c r="R37" s="12" t="inlineStr">
        <is>
          <t>DEMO_PDM.xlsx</t>
        </is>
      </c>
      <c r="S37" s="24" t="n">
        <v>46309.625</v>
      </c>
    </row>
    <row r="38">
      <c r="A38" s="12" t="inlineStr">
        <is>
          <t>SPS</t>
        </is>
      </c>
      <c r="B38" s="12" t="inlineStr">
        <is>
          <t>AA3</t>
        </is>
      </c>
      <c r="C38" s="12" t="inlineStr">
        <is>
          <t>G-I-EEE05</t>
        </is>
      </c>
      <c r="D38" s="12" t="inlineStr">
        <is>
          <t>Poste fictif Epsilon</t>
        </is>
      </c>
      <c r="E38" s="12" t="inlineStr">
        <is>
          <t>COUPURE</t>
        </is>
      </c>
      <c r="F38" s="12" t="n">
        <v>2028</v>
      </c>
      <c r="G38" s="12" t="inlineStr">
        <is>
          <t>PIS</t>
        </is>
      </c>
      <c r="H38" s="12" t="n">
        <v>1</v>
      </c>
      <c r="I38" s="12" t="inlineStr">
        <is>
          <t>PIS</t>
        </is>
      </c>
      <c r="J38" s="12" t="n"/>
      <c r="K38" s="12" t="inlineStr">
        <is>
          <t>G-I-EEE05-INS05</t>
        </is>
      </c>
      <c r="L38" s="12" t="inlineStr">
        <is>
          <t>Code Installation (9 car.)</t>
        </is>
      </c>
      <c r="M38" s="12" t="inlineStr">
        <is>
          <t>G-I-EEE05</t>
        </is>
      </c>
      <c r="N38" s="12" t="b">
        <v>0</v>
      </c>
      <c r="O38" s="12" t="inlineStr">
        <is>
          <t>PDM : Code Emprise vide (code repris du Code Installation)</t>
        </is>
      </c>
      <c r="P38" s="12" t="n">
        <v>38</v>
      </c>
      <c r="Q38" s="12" t="n">
        <v>0</v>
      </c>
      <c r="R38" s="12" t="inlineStr">
        <is>
          <t>DEMO_PDM.xlsx</t>
        </is>
      </c>
      <c r="S38" s="24" t="n">
        <v>46309.625</v>
      </c>
    </row>
    <row r="39">
      <c r="A39" s="12" t="inlineStr">
        <is>
          <t>SPS</t>
        </is>
      </c>
      <c r="B39" s="12" t="inlineStr">
        <is>
          <t>AA3</t>
        </is>
      </c>
      <c r="C39" s="12" t="inlineStr">
        <is>
          <t>G-I-EEE05</t>
        </is>
      </c>
      <c r="D39" s="12" t="inlineStr">
        <is>
          <t>Poste fictif Epsilon</t>
        </is>
      </c>
      <c r="E39" s="12" t="inlineStr">
        <is>
          <t>COUPURE</t>
        </is>
      </c>
      <c r="F39" s="12" t="n">
        <v>2028</v>
      </c>
      <c r="G39" s="12" t="inlineStr">
        <is>
          <t>EC SIMPLE</t>
        </is>
      </c>
      <c r="H39" s="12" t="n">
        <v>2</v>
      </c>
      <c r="I39" s="12" t="inlineStr">
        <is>
          <t>EC Simple</t>
        </is>
      </c>
      <c r="J39" s="12" t="n"/>
      <c r="K39" s="12" t="inlineStr">
        <is>
          <t>G-I-EEE05-INS05</t>
        </is>
      </c>
      <c r="L39" s="12" t="inlineStr">
        <is>
          <t>Code Installation (9 car.)</t>
        </is>
      </c>
      <c r="M39" s="12" t="inlineStr">
        <is>
          <t>G-I-EEE05</t>
        </is>
      </c>
      <c r="N39" s="12" t="b">
        <v>0</v>
      </c>
      <c r="O39" s="12" t="inlineStr">
        <is>
          <t>PDM : Code Emprise vide (code repris du Code Installation)</t>
        </is>
      </c>
      <c r="P39" s="12" t="n">
        <v>39</v>
      </c>
      <c r="Q39" s="12" t="n">
        <v>0</v>
      </c>
      <c r="R39" s="12" t="inlineStr">
        <is>
          <t>DEMO_PDM.xlsx</t>
        </is>
      </c>
      <c r="S39" s="24" t="n">
        <v>46309.625</v>
      </c>
    </row>
    <row r="40">
      <c r="A40" s="12" t="inlineStr">
        <is>
          <t>SPS</t>
        </is>
      </c>
      <c r="B40" s="12" t="inlineStr">
        <is>
          <t>AA3</t>
        </is>
      </c>
      <c r="C40" s="12" t="inlineStr">
        <is>
          <t>G-I-EEE05</t>
        </is>
      </c>
      <c r="D40" s="12" t="inlineStr">
        <is>
          <t>Poste fictif Epsilon</t>
        </is>
      </c>
      <c r="E40" s="12" t="inlineStr">
        <is>
          <t>COUPURE</t>
        </is>
      </c>
      <c r="F40" s="12" t="n">
        <v>2029</v>
      </c>
      <c r="G40" s="12" t="inlineStr">
        <is>
          <t>PIS</t>
        </is>
      </c>
      <c r="H40" s="12" t="n">
        <v>1</v>
      </c>
      <c r="I40" s="12" t="inlineStr">
        <is>
          <t>PIS</t>
        </is>
      </c>
      <c r="J40" s="12" t="n"/>
      <c r="K40" s="12" t="inlineStr">
        <is>
          <t>G-I-EEE05-INS05</t>
        </is>
      </c>
      <c r="L40" s="12" t="inlineStr">
        <is>
          <t>Code Installation (9 car.)</t>
        </is>
      </c>
      <c r="M40" s="12" t="inlineStr">
        <is>
          <t>G-I-EEE05</t>
        </is>
      </c>
      <c r="N40" s="12" t="b">
        <v>0</v>
      </c>
      <c r="O40" s="12" t="inlineStr">
        <is>
          <t>PDM : Code Emprise vide (code repris du Code Installation)</t>
        </is>
      </c>
      <c r="P40" s="12" t="n">
        <v>40</v>
      </c>
      <c r="Q40" s="12" t="n">
        <v>0</v>
      </c>
      <c r="R40" s="12" t="inlineStr">
        <is>
          <t>DEMO_PDM.xlsx</t>
        </is>
      </c>
      <c r="S40" s="24" t="n">
        <v>46309.625</v>
      </c>
    </row>
    <row r="41">
      <c r="A41" s="12" t="inlineStr">
        <is>
          <t>SPS</t>
        </is>
      </c>
      <c r="B41" s="12" t="inlineStr">
        <is>
          <t>AA3</t>
        </is>
      </c>
      <c r="C41" s="12" t="inlineStr">
        <is>
          <t>G-I-EEE05</t>
        </is>
      </c>
      <c r="D41" s="12" t="inlineStr">
        <is>
          <t>Poste fictif Epsilon</t>
        </is>
      </c>
      <c r="E41" s="12" t="inlineStr">
        <is>
          <t>COUPURE</t>
        </is>
      </c>
      <c r="F41" s="12" t="n">
        <v>2030</v>
      </c>
      <c r="G41" s="12" t="inlineStr">
        <is>
          <t>PIS</t>
        </is>
      </c>
      <c r="H41" s="12" t="n">
        <v>1</v>
      </c>
      <c r="I41" s="12" t="inlineStr">
        <is>
          <t>PIS</t>
        </is>
      </c>
      <c r="J41" s="12" t="n"/>
      <c r="K41" s="12" t="inlineStr">
        <is>
          <t>G-I-EEE05-INS05</t>
        </is>
      </c>
      <c r="L41" s="12" t="inlineStr">
        <is>
          <t>Code Installation (9 car.)</t>
        </is>
      </c>
      <c r="M41" s="12" t="inlineStr">
        <is>
          <t>G-I-EEE05</t>
        </is>
      </c>
      <c r="N41" s="12" t="b">
        <v>0</v>
      </c>
      <c r="O41" s="12" t="inlineStr">
        <is>
          <t>PDM : Code Emprise vide (code repris du Code Installation)</t>
        </is>
      </c>
      <c r="P41" s="12" t="n">
        <v>41</v>
      </c>
      <c r="Q41" s="12" t="n">
        <v>0</v>
      </c>
      <c r="R41" s="12" t="inlineStr">
        <is>
          <t>DEMO_PDM.xlsx</t>
        </is>
      </c>
      <c r="S41" s="24" t="n">
        <v>46309.625</v>
      </c>
    </row>
    <row r="42">
      <c r="A42" s="12" t="inlineStr">
        <is>
          <t>SPS</t>
        </is>
      </c>
      <c r="B42" s="12" t="inlineStr">
        <is>
          <t>AA3</t>
        </is>
      </c>
      <c r="C42" s="12" t="inlineStr">
        <is>
          <t>G-I-EEE05</t>
        </is>
      </c>
      <c r="D42" s="12" t="inlineStr">
        <is>
          <t>Poste fictif Epsilon</t>
        </is>
      </c>
      <c r="E42" s="12" t="inlineStr">
        <is>
          <t>COUPURE</t>
        </is>
      </c>
      <c r="F42" s="12" t="n">
        <v>2030</v>
      </c>
      <c r="G42" s="12" t="inlineStr">
        <is>
          <t>EC SIMPLE</t>
        </is>
      </c>
      <c r="H42" s="12" t="n">
        <v>2</v>
      </c>
      <c r="I42" s="12" t="inlineStr">
        <is>
          <t>EC Simple</t>
        </is>
      </c>
      <c r="J42" s="12" t="n"/>
      <c r="K42" s="12" t="inlineStr">
        <is>
          <t>G-I-EEE05-INS05</t>
        </is>
      </c>
      <c r="L42" s="12" t="inlineStr">
        <is>
          <t>Code Installation (9 car.)</t>
        </is>
      </c>
      <c r="M42" s="12" t="inlineStr">
        <is>
          <t>G-I-EEE05</t>
        </is>
      </c>
      <c r="N42" s="12" t="b">
        <v>0</v>
      </c>
      <c r="O42" s="12" t="inlineStr">
        <is>
          <t>PDM : Code Emprise vide (code repris du Code Installation)</t>
        </is>
      </c>
      <c r="P42" s="12" t="n">
        <v>42</v>
      </c>
      <c r="Q42" s="12" t="n">
        <v>0</v>
      </c>
      <c r="R42" s="12" t="inlineStr">
        <is>
          <t>DEMO_PDM.xlsx</t>
        </is>
      </c>
      <c r="S42" s="24" t="n">
        <v>46309.625</v>
      </c>
    </row>
    <row r="43">
      <c r="A43" s="12" t="inlineStr">
        <is>
          <t>SPS</t>
        </is>
      </c>
      <c r="B43" s="12" t="inlineStr">
        <is>
          <t>AA3</t>
        </is>
      </c>
      <c r="C43" s="12" t="inlineStr">
        <is>
          <t>G-I-EEE05</t>
        </is>
      </c>
      <c r="D43" s="12" t="inlineStr">
        <is>
          <t>Poste fictif Epsilon</t>
        </is>
      </c>
      <c r="E43" s="12" t="inlineStr">
        <is>
          <t>COUPURE</t>
        </is>
      </c>
      <c r="F43" s="12" t="n">
        <v>2031</v>
      </c>
      <c r="G43" s="12" t="inlineStr">
        <is>
          <t>PIS</t>
        </is>
      </c>
      <c r="H43" s="12" t="n">
        <v>1</v>
      </c>
      <c r="I43" s="12" t="inlineStr">
        <is>
          <t>PIS</t>
        </is>
      </c>
      <c r="J43" s="12" t="n"/>
      <c r="K43" s="12" t="inlineStr">
        <is>
          <t>G-I-EEE05-INS05</t>
        </is>
      </c>
      <c r="L43" s="12" t="inlineStr">
        <is>
          <t>Code Installation (9 car.)</t>
        </is>
      </c>
      <c r="M43" s="12" t="inlineStr">
        <is>
          <t>G-I-EEE05</t>
        </is>
      </c>
      <c r="N43" s="12" t="b">
        <v>0</v>
      </c>
      <c r="O43" s="12" t="inlineStr">
        <is>
          <t>PDM : Code Emprise vide (code repris du Code Installation)</t>
        </is>
      </c>
      <c r="P43" s="12" t="n">
        <v>43</v>
      </c>
      <c r="Q43" s="12" t="n">
        <v>0</v>
      </c>
      <c r="R43" s="12" t="inlineStr">
        <is>
          <t>DEMO_PDM.xlsx</t>
        </is>
      </c>
      <c r="S43" s="24" t="n">
        <v>46309.625</v>
      </c>
    </row>
    <row r="44">
      <c r="A44" s="12" t="inlineStr">
        <is>
          <t>SPS</t>
        </is>
      </c>
      <c r="B44" s="12" t="inlineStr">
        <is>
          <t>AA3</t>
        </is>
      </c>
      <c r="C44" s="12" t="inlineStr">
        <is>
          <t>G-I-EEE05</t>
        </is>
      </c>
      <c r="D44" s="12" t="inlineStr">
        <is>
          <t>Poste fictif Epsilon</t>
        </is>
      </c>
      <c r="E44" s="12" t="inlineStr">
        <is>
          <t>COUPURE</t>
        </is>
      </c>
      <c r="F44" s="12" t="n">
        <v>2032</v>
      </c>
      <c r="G44" s="12" t="inlineStr">
        <is>
          <t>REVISION</t>
        </is>
      </c>
      <c r="H44" s="12" t="n">
        <v>4</v>
      </c>
      <c r="I44" s="12" t="inlineStr">
        <is>
          <t>Révision</t>
        </is>
      </c>
      <c r="J44" s="12" t="n"/>
      <c r="K44" s="12" t="inlineStr">
        <is>
          <t>G-I-EEE05-INS05</t>
        </is>
      </c>
      <c r="L44" s="12" t="inlineStr">
        <is>
          <t>Code Installation (9 car.)</t>
        </is>
      </c>
      <c r="M44" s="12" t="inlineStr">
        <is>
          <t>G-I-EEE05</t>
        </is>
      </c>
      <c r="N44" s="12" t="b">
        <v>0</v>
      </c>
      <c r="O44" s="12" t="inlineStr">
        <is>
          <t>PDM : Code Emprise vide (code repris du Code Installation)</t>
        </is>
      </c>
      <c r="P44" s="12" t="n">
        <v>44</v>
      </c>
      <c r="Q44" s="12" t="n">
        <v>0</v>
      </c>
      <c r="R44" s="12" t="inlineStr">
        <is>
          <t>DEMO_PDM.xlsx</t>
        </is>
      </c>
      <c r="S44" s="24" t="n">
        <v>46309.625</v>
      </c>
    </row>
    <row r="45">
      <c r="A45" s="12" t="inlineStr">
        <is>
          <t>SPS</t>
        </is>
      </c>
      <c r="B45" s="12" t="inlineStr">
        <is>
          <t>AA4</t>
        </is>
      </c>
      <c r="C45" s="12" t="inlineStr">
        <is>
          <t>G-I-FFF06</t>
        </is>
      </c>
      <c r="D45" s="12" t="inlineStr">
        <is>
          <t>Poste fictif Zeta</t>
        </is>
      </c>
      <c r="E45" s="12" t="inlineStr">
        <is>
          <t>SECTIONNEMENT</t>
        </is>
      </c>
      <c r="F45" s="12" t="n">
        <v>2026</v>
      </c>
      <c r="G45" s="12" t="inlineStr">
        <is>
          <t>PIS</t>
        </is>
      </c>
      <c r="H45" s="12" t="n">
        <v>1</v>
      </c>
      <c r="I45" s="12" t="inlineStr">
        <is>
          <t>PIS</t>
        </is>
      </c>
      <c r="J45" s="12" t="inlineStr">
        <is>
          <t>G-I-FFF06</t>
        </is>
      </c>
      <c r="K45" s="12" t="inlineStr">
        <is>
          <t>G-I-FFF06-INS06</t>
        </is>
      </c>
      <c r="L45" s="12" t="inlineStr">
        <is>
          <t>Code Emprise</t>
        </is>
      </c>
      <c r="M45" s="12" t="inlineStr">
        <is>
          <t>G-I-FFF06</t>
        </is>
      </c>
      <c r="N45" s="12" t="b">
        <v>0</v>
      </c>
      <c r="O45" s="12" t="n"/>
      <c r="P45" s="12" t="n">
        <v>45</v>
      </c>
      <c r="Q45" s="12" t="n">
        <v>0</v>
      </c>
      <c r="R45" s="12" t="inlineStr">
        <is>
          <t>DEMO_PDM.xlsx</t>
        </is>
      </c>
      <c r="S45" s="24" t="n">
        <v>46309.625</v>
      </c>
    </row>
    <row r="46">
      <c r="A46" s="12" t="inlineStr">
        <is>
          <t>SPS</t>
        </is>
      </c>
      <c r="B46" s="12" t="inlineStr">
        <is>
          <t>AA4</t>
        </is>
      </c>
      <c r="C46" s="12" t="inlineStr">
        <is>
          <t>G-I-FFF06</t>
        </is>
      </c>
      <c r="D46" s="12" t="inlineStr">
        <is>
          <t>Poste fictif Zeta</t>
        </is>
      </c>
      <c r="E46" s="12" t="inlineStr">
        <is>
          <t>SECTIONNEMENT</t>
        </is>
      </c>
      <c r="F46" s="12" t="n">
        <v>2027</v>
      </c>
      <c r="G46" s="12" t="inlineStr">
        <is>
          <t>REVISION</t>
        </is>
      </c>
      <c r="H46" s="12" t="n">
        <v>4</v>
      </c>
      <c r="I46" s="12" t="inlineStr">
        <is>
          <t>Révision</t>
        </is>
      </c>
      <c r="J46" s="12" t="inlineStr">
        <is>
          <t>G-I-FFF06</t>
        </is>
      </c>
      <c r="K46" s="12" t="inlineStr">
        <is>
          <t>G-I-FFF06-INS06</t>
        </is>
      </c>
      <c r="L46" s="12" t="inlineStr">
        <is>
          <t>Code Emprise</t>
        </is>
      </c>
      <c r="M46" s="12" t="inlineStr">
        <is>
          <t>G-I-FFF06</t>
        </is>
      </c>
      <c r="N46" s="12" t="b">
        <v>0</v>
      </c>
      <c r="O46" s="12" t="n"/>
      <c r="P46" s="12" t="n">
        <v>46</v>
      </c>
      <c r="Q46" s="12" t="n">
        <v>0</v>
      </c>
      <c r="R46" s="12" t="inlineStr">
        <is>
          <t>DEMO_PDM.xlsx</t>
        </is>
      </c>
      <c r="S46" s="24" t="n">
        <v>46309.625</v>
      </c>
    </row>
    <row r="47">
      <c r="A47" s="12" t="inlineStr">
        <is>
          <t>SPS</t>
        </is>
      </c>
      <c r="B47" s="12" t="inlineStr">
        <is>
          <t>AA4</t>
        </is>
      </c>
      <c r="C47" s="12" t="inlineStr">
        <is>
          <t>G-I-FFF06</t>
        </is>
      </c>
      <c r="D47" s="12" t="inlineStr">
        <is>
          <t>Poste fictif Zeta</t>
        </is>
      </c>
      <c r="E47" s="12" t="inlineStr">
        <is>
          <t>SECTIONNEMENT</t>
        </is>
      </c>
      <c r="F47" s="12" t="n">
        <v>2028</v>
      </c>
      <c r="G47" s="12" t="inlineStr">
        <is>
          <t>PIS</t>
        </is>
      </c>
      <c r="H47" s="12" t="n">
        <v>1</v>
      </c>
      <c r="I47" s="12" t="inlineStr">
        <is>
          <t>PIS</t>
        </is>
      </c>
      <c r="J47" s="12" t="inlineStr">
        <is>
          <t>G-I-FFF06</t>
        </is>
      </c>
      <c r="K47" s="12" t="inlineStr">
        <is>
          <t>G-I-FFF06-INS06</t>
        </is>
      </c>
      <c r="L47" s="12" t="inlineStr">
        <is>
          <t>Code Emprise</t>
        </is>
      </c>
      <c r="M47" s="12" t="inlineStr">
        <is>
          <t>G-I-FFF06</t>
        </is>
      </c>
      <c r="N47" s="12" t="b">
        <v>0</v>
      </c>
      <c r="O47" s="12" t="n"/>
      <c r="P47" s="12" t="n">
        <v>47</v>
      </c>
      <c r="Q47" s="12" t="n">
        <v>0</v>
      </c>
      <c r="R47" s="12" t="inlineStr">
        <is>
          <t>DEMO_PDM.xlsx</t>
        </is>
      </c>
      <c r="S47" s="24" t="n">
        <v>46309.625</v>
      </c>
    </row>
    <row r="48">
      <c r="A48" s="12" t="inlineStr">
        <is>
          <t>SPS</t>
        </is>
      </c>
      <c r="B48" s="12" t="inlineStr">
        <is>
          <t>AA4</t>
        </is>
      </c>
      <c r="C48" s="12" t="inlineStr">
        <is>
          <t>G-I-FFF06</t>
        </is>
      </c>
      <c r="D48" s="12" t="inlineStr">
        <is>
          <t>Poste fictif Zeta</t>
        </is>
      </c>
      <c r="E48" s="12" t="inlineStr">
        <is>
          <t>SECTIONNEMENT</t>
        </is>
      </c>
      <c r="F48" s="12" t="n">
        <v>2029</v>
      </c>
      <c r="G48" s="12" t="inlineStr">
        <is>
          <t>PIS</t>
        </is>
      </c>
      <c r="H48" s="12" t="n">
        <v>1</v>
      </c>
      <c r="I48" s="12" t="inlineStr">
        <is>
          <t>PIS</t>
        </is>
      </c>
      <c r="J48" s="12" t="inlineStr">
        <is>
          <t>G-I-FFF06</t>
        </is>
      </c>
      <c r="K48" s="12" t="inlineStr">
        <is>
          <t>G-I-FFF06-INS06</t>
        </is>
      </c>
      <c r="L48" s="12" t="inlineStr">
        <is>
          <t>Code Emprise</t>
        </is>
      </c>
      <c r="M48" s="12" t="inlineStr">
        <is>
          <t>G-I-FFF06</t>
        </is>
      </c>
      <c r="N48" s="12" t="b">
        <v>0</v>
      </c>
      <c r="O48" s="12" t="n"/>
      <c r="P48" s="12" t="n">
        <v>48</v>
      </c>
      <c r="Q48" s="12" t="n">
        <v>0</v>
      </c>
      <c r="R48" s="12" t="inlineStr">
        <is>
          <t>DEMO_PDM.xlsx</t>
        </is>
      </c>
      <c r="S48" s="24" t="n">
        <v>46309.625</v>
      </c>
    </row>
    <row r="49">
      <c r="A49" s="12" t="inlineStr">
        <is>
          <t>SPS</t>
        </is>
      </c>
      <c r="B49" s="12" t="inlineStr">
        <is>
          <t>AA4</t>
        </is>
      </c>
      <c r="C49" s="12" t="inlineStr">
        <is>
          <t>G-I-FFF06</t>
        </is>
      </c>
      <c r="D49" s="12" t="inlineStr">
        <is>
          <t>Poste fictif Zeta</t>
        </is>
      </c>
      <c r="E49" s="12" t="inlineStr">
        <is>
          <t>SECTIONNEMENT</t>
        </is>
      </c>
      <c r="F49" s="12" t="n">
        <v>2030</v>
      </c>
      <c r="G49" s="12" t="inlineStr">
        <is>
          <t>PIS</t>
        </is>
      </c>
      <c r="H49" s="12" t="n">
        <v>1</v>
      </c>
      <c r="I49" s="12" t="inlineStr">
        <is>
          <t>PIS</t>
        </is>
      </c>
      <c r="J49" s="12" t="inlineStr">
        <is>
          <t>G-I-FFF06</t>
        </is>
      </c>
      <c r="K49" s="12" t="inlineStr">
        <is>
          <t>G-I-FFF06-INS06</t>
        </is>
      </c>
      <c r="L49" s="12" t="inlineStr">
        <is>
          <t>Code Emprise</t>
        </is>
      </c>
      <c r="M49" s="12" t="inlineStr">
        <is>
          <t>G-I-FFF06</t>
        </is>
      </c>
      <c r="N49" s="12" t="b">
        <v>0</v>
      </c>
      <c r="O49" s="12" t="n"/>
      <c r="P49" s="12" t="n">
        <v>49</v>
      </c>
      <c r="Q49" s="12" t="n">
        <v>0</v>
      </c>
      <c r="R49" s="12" t="inlineStr">
        <is>
          <t>DEMO_PDM.xlsx</t>
        </is>
      </c>
      <c r="S49" s="24" t="n">
        <v>46309.625</v>
      </c>
    </row>
    <row r="50">
      <c r="A50" s="12" t="inlineStr">
        <is>
          <t>SPS</t>
        </is>
      </c>
      <c r="B50" s="12" t="inlineStr">
        <is>
          <t>AA4</t>
        </is>
      </c>
      <c r="C50" s="12" t="inlineStr">
        <is>
          <t>G-I-FFF06</t>
        </is>
      </c>
      <c r="D50" s="12" t="inlineStr">
        <is>
          <t>Poste fictif Zeta</t>
        </is>
      </c>
      <c r="E50" s="12" t="inlineStr">
        <is>
          <t>SECTIONNEMENT</t>
        </is>
      </c>
      <c r="F50" s="12" t="n">
        <v>2030</v>
      </c>
      <c r="G50" s="12" t="inlineStr">
        <is>
          <t>EC SIMPLE</t>
        </is>
      </c>
      <c r="H50" s="12" t="n">
        <v>2</v>
      </c>
      <c r="I50" s="12" t="inlineStr">
        <is>
          <t>EC Simple</t>
        </is>
      </c>
      <c r="J50" s="12" t="inlineStr">
        <is>
          <t>G-I-FFF06</t>
        </is>
      </c>
      <c r="K50" s="12" t="inlineStr">
        <is>
          <t>G-I-FFF06-INS06</t>
        </is>
      </c>
      <c r="L50" s="12" t="inlineStr">
        <is>
          <t>Code Emprise</t>
        </is>
      </c>
      <c r="M50" s="12" t="inlineStr">
        <is>
          <t>G-I-FFF06</t>
        </is>
      </c>
      <c r="N50" s="12" t="b">
        <v>0</v>
      </c>
      <c r="O50" s="12" t="n"/>
      <c r="P50" s="12" t="n">
        <v>50</v>
      </c>
      <c r="Q50" s="12" t="n">
        <v>0</v>
      </c>
      <c r="R50" s="12" t="inlineStr">
        <is>
          <t>DEMO_PDM.xlsx</t>
        </is>
      </c>
      <c r="S50" s="24" t="n">
        <v>46309.625</v>
      </c>
    </row>
    <row r="51">
      <c r="A51" s="12" t="inlineStr">
        <is>
          <t>SPS</t>
        </is>
      </c>
      <c r="B51" s="12" t="inlineStr">
        <is>
          <t>AA4</t>
        </is>
      </c>
      <c r="C51" s="12" t="inlineStr">
        <is>
          <t>G-I-FFF06</t>
        </is>
      </c>
      <c r="D51" s="12" t="inlineStr">
        <is>
          <t>Poste fictif Zeta</t>
        </is>
      </c>
      <c r="E51" s="12" t="inlineStr">
        <is>
          <t>SECTIONNEMENT</t>
        </is>
      </c>
      <c r="F51" s="12" t="n">
        <v>2031</v>
      </c>
      <c r="G51" s="12" t="inlineStr">
        <is>
          <t>PIS</t>
        </is>
      </c>
      <c r="H51" s="12" t="n">
        <v>1</v>
      </c>
      <c r="I51" s="12" t="inlineStr">
        <is>
          <t>PIS</t>
        </is>
      </c>
      <c r="J51" s="12" t="inlineStr">
        <is>
          <t>G-I-FFF06</t>
        </is>
      </c>
      <c r="K51" s="12" t="inlineStr">
        <is>
          <t>G-I-FFF06-INS06</t>
        </is>
      </c>
      <c r="L51" s="12" t="inlineStr">
        <is>
          <t>Code Emprise</t>
        </is>
      </c>
      <c r="M51" s="12" t="inlineStr">
        <is>
          <t>G-I-FFF06</t>
        </is>
      </c>
      <c r="N51" s="12" t="b">
        <v>0</v>
      </c>
      <c r="O51" s="12" t="n"/>
      <c r="P51" s="12" t="n">
        <v>51</v>
      </c>
      <c r="Q51" s="12" t="n">
        <v>0</v>
      </c>
      <c r="R51" s="12" t="inlineStr">
        <is>
          <t>DEMO_PDM.xlsx</t>
        </is>
      </c>
      <c r="S51" s="24" t="n">
        <v>46309.625</v>
      </c>
    </row>
    <row r="52">
      <c r="A52" s="12" t="inlineStr">
        <is>
          <t>SPS</t>
        </is>
      </c>
      <c r="B52" s="12" t="inlineStr">
        <is>
          <t>AA4</t>
        </is>
      </c>
      <c r="C52" s="12" t="inlineStr">
        <is>
          <t>G-I-FFF06</t>
        </is>
      </c>
      <c r="D52" s="12" t="inlineStr">
        <is>
          <t>Poste fictif Zeta</t>
        </is>
      </c>
      <c r="E52" s="12" t="inlineStr">
        <is>
          <t>SECTIONNEMENT</t>
        </is>
      </c>
      <c r="F52" s="12" t="n">
        <v>2032</v>
      </c>
      <c r="G52" s="12" t="inlineStr">
        <is>
          <t>PIS</t>
        </is>
      </c>
      <c r="H52" s="12" t="n">
        <v>1</v>
      </c>
      <c r="I52" s="12" t="inlineStr">
        <is>
          <t>PIS</t>
        </is>
      </c>
      <c r="J52" s="12" t="inlineStr">
        <is>
          <t>G-I-FFF06</t>
        </is>
      </c>
      <c r="K52" s="12" t="inlineStr">
        <is>
          <t>G-I-FFF06-INS06</t>
        </is>
      </c>
      <c r="L52" s="12" t="inlineStr">
        <is>
          <t>Code Emprise</t>
        </is>
      </c>
      <c r="M52" s="12" t="inlineStr">
        <is>
          <t>G-I-FFF06</t>
        </is>
      </c>
      <c r="N52" s="12" t="b">
        <v>0</v>
      </c>
      <c r="O52" s="12" t="n"/>
      <c r="P52" s="12" t="n">
        <v>52</v>
      </c>
      <c r="Q52" s="12" t="n">
        <v>0</v>
      </c>
      <c r="R52" s="12" t="inlineStr">
        <is>
          <t>DEMO_PDM.xlsx</t>
        </is>
      </c>
      <c r="S52" s="24" t="n">
        <v>46309.625</v>
      </c>
    </row>
    <row r="53">
      <c r="A53" s="12" t="inlineStr">
        <is>
          <t>RNA</t>
        </is>
      </c>
      <c r="B53" s="12" t="inlineStr">
        <is>
          <t>AA1</t>
        </is>
      </c>
      <c r="C53" s="12" t="inlineStr">
        <is>
          <t>G-I-GGG07</t>
        </is>
      </c>
      <c r="D53" s="12" t="inlineStr">
        <is>
          <t>Poste fictif Eta</t>
        </is>
      </c>
      <c r="E53" s="12" t="inlineStr">
        <is>
          <t>DETENTE</t>
        </is>
      </c>
      <c r="F53" s="12" t="n">
        <v>2026</v>
      </c>
      <c r="G53" s="12" t="inlineStr">
        <is>
          <t>REVISION</t>
        </is>
      </c>
      <c r="H53" s="12" t="n">
        <v>4</v>
      </c>
      <c r="I53" s="12" t="inlineStr">
        <is>
          <t>Révision</t>
        </is>
      </c>
      <c r="J53" s="12" t="inlineStr">
        <is>
          <t>G-I-GGG07</t>
        </is>
      </c>
      <c r="K53" s="12" t="inlineStr">
        <is>
          <t>G-I-GGG07-INS07</t>
        </is>
      </c>
      <c r="L53" s="12" t="inlineStr">
        <is>
          <t>Code Emprise</t>
        </is>
      </c>
      <c r="M53" s="12" t="inlineStr">
        <is>
          <t>G-I-GGG07</t>
        </is>
      </c>
      <c r="N53" s="12" t="b">
        <v>0</v>
      </c>
      <c r="O53" s="12" t="n"/>
      <c r="P53" s="12" t="n">
        <v>53</v>
      </c>
      <c r="Q53" s="12" t="n">
        <v>0</v>
      </c>
      <c r="R53" s="12" t="inlineStr">
        <is>
          <t>DEMO_PDM.xlsx</t>
        </is>
      </c>
      <c r="S53" s="24" t="n">
        <v>46309.625</v>
      </c>
    </row>
    <row r="54">
      <c r="A54" s="12" t="inlineStr">
        <is>
          <t>RNA</t>
        </is>
      </c>
      <c r="B54" s="12" t="inlineStr">
        <is>
          <t>AA1</t>
        </is>
      </c>
      <c r="C54" s="12" t="inlineStr">
        <is>
          <t>G-I-GGG07</t>
        </is>
      </c>
      <c r="D54" s="12" t="inlineStr">
        <is>
          <t>Poste fictif Eta</t>
        </is>
      </c>
      <c r="E54" s="12" t="inlineStr">
        <is>
          <t>DETENTE</t>
        </is>
      </c>
      <c r="F54" s="12" t="n">
        <v>2027</v>
      </c>
      <c r="G54" s="12" t="inlineStr">
        <is>
          <t>PIS</t>
        </is>
      </c>
      <c r="H54" s="12" t="n">
        <v>1</v>
      </c>
      <c r="I54" s="12" t="inlineStr">
        <is>
          <t>PIS</t>
        </is>
      </c>
      <c r="J54" s="12" t="inlineStr">
        <is>
          <t>G-I-GGG07</t>
        </is>
      </c>
      <c r="K54" s="12" t="inlineStr">
        <is>
          <t>G-I-GGG07-INS07</t>
        </is>
      </c>
      <c r="L54" s="12" t="inlineStr">
        <is>
          <t>Code Emprise</t>
        </is>
      </c>
      <c r="M54" s="12" t="inlineStr">
        <is>
          <t>G-I-GGG07</t>
        </is>
      </c>
      <c r="N54" s="12" t="b">
        <v>0</v>
      </c>
      <c r="O54" s="12" t="n"/>
      <c r="P54" s="12" t="n">
        <v>54</v>
      </c>
      <c r="Q54" s="12" t="n">
        <v>0</v>
      </c>
      <c r="R54" s="12" t="inlineStr">
        <is>
          <t>DEMO_PDM.xlsx</t>
        </is>
      </c>
      <c r="S54" s="24" t="n">
        <v>46309.625</v>
      </c>
    </row>
    <row r="55">
      <c r="A55" s="12" t="inlineStr">
        <is>
          <t>RNA</t>
        </is>
      </c>
      <c r="B55" s="12" t="inlineStr">
        <is>
          <t>AA1</t>
        </is>
      </c>
      <c r="C55" s="12" t="inlineStr">
        <is>
          <t>G-I-GGG07</t>
        </is>
      </c>
      <c r="D55" s="12" t="inlineStr">
        <is>
          <t>Poste fictif Eta</t>
        </is>
      </c>
      <c r="E55" s="12" t="inlineStr">
        <is>
          <t>DETENTE</t>
        </is>
      </c>
      <c r="F55" s="12" t="n">
        <v>2027</v>
      </c>
      <c r="G55" s="12" t="inlineStr">
        <is>
          <t>EC FILTRE</t>
        </is>
      </c>
      <c r="H55" s="12" t="n">
        <v>3</v>
      </c>
      <c r="I55" s="12" t="inlineStr">
        <is>
          <t>EC Filtre</t>
        </is>
      </c>
      <c r="J55" s="12" t="inlineStr">
        <is>
          <t>G-I-GGG07</t>
        </is>
      </c>
      <c r="K55" s="12" t="inlineStr">
        <is>
          <t>G-I-GGG07-INS07</t>
        </is>
      </c>
      <c r="L55" s="12" t="inlineStr">
        <is>
          <t>Code Emprise</t>
        </is>
      </c>
      <c r="M55" s="12" t="inlineStr">
        <is>
          <t>G-I-GGG07</t>
        </is>
      </c>
      <c r="N55" s="12" t="b">
        <v>0</v>
      </c>
      <c r="O55" s="12" t="n"/>
      <c r="P55" s="12" t="n">
        <v>55</v>
      </c>
      <c r="Q55" s="12" t="n">
        <v>0</v>
      </c>
      <c r="R55" s="12" t="inlineStr">
        <is>
          <t>DEMO_PDM.xlsx</t>
        </is>
      </c>
      <c r="S55" s="24" t="n">
        <v>46309.625</v>
      </c>
    </row>
    <row r="56">
      <c r="A56" s="12" t="inlineStr">
        <is>
          <t>RNA</t>
        </is>
      </c>
      <c r="B56" s="12" t="inlineStr">
        <is>
          <t>AA1</t>
        </is>
      </c>
      <c r="C56" s="12" t="inlineStr">
        <is>
          <t>G-I-GGG07</t>
        </is>
      </c>
      <c r="D56" s="12" t="inlineStr">
        <is>
          <t>Poste fictif Eta</t>
        </is>
      </c>
      <c r="E56" s="12" t="inlineStr">
        <is>
          <t>DETENTE</t>
        </is>
      </c>
      <c r="F56" s="12" t="n">
        <v>2028</v>
      </c>
      <c r="G56" s="12" t="inlineStr">
        <is>
          <t>PIS</t>
        </is>
      </c>
      <c r="H56" s="12" t="n">
        <v>1</v>
      </c>
      <c r="I56" s="12" t="inlineStr">
        <is>
          <t>PIS</t>
        </is>
      </c>
      <c r="J56" s="12" t="inlineStr">
        <is>
          <t>G-I-GGG07</t>
        </is>
      </c>
      <c r="K56" s="12" t="inlineStr">
        <is>
          <t>G-I-GGG07-INS07</t>
        </is>
      </c>
      <c r="L56" s="12" t="inlineStr">
        <is>
          <t>Code Emprise</t>
        </is>
      </c>
      <c r="M56" s="12" t="inlineStr">
        <is>
          <t>G-I-GGG07</t>
        </is>
      </c>
      <c r="N56" s="12" t="b">
        <v>0</v>
      </c>
      <c r="O56" s="12" t="n"/>
      <c r="P56" s="12" t="n">
        <v>56</v>
      </c>
      <c r="Q56" s="12" t="n">
        <v>0</v>
      </c>
      <c r="R56" s="12" t="inlineStr">
        <is>
          <t>DEMO_PDM.xlsx</t>
        </is>
      </c>
      <c r="S56" s="24" t="n">
        <v>46309.625</v>
      </c>
    </row>
    <row r="57">
      <c r="A57" s="12" t="inlineStr">
        <is>
          <t>RNA</t>
        </is>
      </c>
      <c r="B57" s="12" t="inlineStr">
        <is>
          <t>AA1</t>
        </is>
      </c>
      <c r="C57" s="12" t="inlineStr">
        <is>
          <t>G-I-GGG07</t>
        </is>
      </c>
      <c r="D57" s="12" t="inlineStr">
        <is>
          <t>Poste fictif Eta</t>
        </is>
      </c>
      <c r="E57" s="12" t="inlineStr">
        <is>
          <t>DETENTE</t>
        </is>
      </c>
      <c r="F57" s="12" t="n">
        <v>2029</v>
      </c>
      <c r="G57" s="12" t="inlineStr">
        <is>
          <t>PIS</t>
        </is>
      </c>
      <c r="H57" s="12" t="n">
        <v>1</v>
      </c>
      <c r="I57" s="12" t="inlineStr">
        <is>
          <t>PIS</t>
        </is>
      </c>
      <c r="J57" s="12" t="inlineStr">
        <is>
          <t>G-I-GGG07</t>
        </is>
      </c>
      <c r="K57" s="12" t="inlineStr">
        <is>
          <t>G-I-GGG07-INS07</t>
        </is>
      </c>
      <c r="L57" s="12" t="inlineStr">
        <is>
          <t>Code Emprise</t>
        </is>
      </c>
      <c r="M57" s="12" t="inlineStr">
        <is>
          <t>G-I-GGG07</t>
        </is>
      </c>
      <c r="N57" s="12" t="b">
        <v>0</v>
      </c>
      <c r="O57" s="12" t="n"/>
      <c r="P57" s="12" t="n">
        <v>57</v>
      </c>
      <c r="Q57" s="12" t="n">
        <v>0</v>
      </c>
      <c r="R57" s="12" t="inlineStr">
        <is>
          <t>DEMO_PDM.xlsx</t>
        </is>
      </c>
      <c r="S57" s="24" t="n">
        <v>46309.625</v>
      </c>
    </row>
    <row r="58">
      <c r="A58" s="12" t="inlineStr">
        <is>
          <t>RNA</t>
        </is>
      </c>
      <c r="B58" s="12" t="inlineStr">
        <is>
          <t>AA1</t>
        </is>
      </c>
      <c r="C58" s="12" t="inlineStr">
        <is>
          <t>G-I-GGG07</t>
        </is>
      </c>
      <c r="D58" s="12" t="inlineStr">
        <is>
          <t>Poste fictif Eta</t>
        </is>
      </c>
      <c r="E58" s="12" t="inlineStr">
        <is>
          <t>DETENTE</t>
        </is>
      </c>
      <c r="F58" s="12" t="n">
        <v>2029</v>
      </c>
      <c r="G58" s="12" t="inlineStr">
        <is>
          <t>EC SIMPLE</t>
        </is>
      </c>
      <c r="H58" s="12" t="n">
        <v>2</v>
      </c>
      <c r="I58" s="12" t="inlineStr">
        <is>
          <t>EC Simple</t>
        </is>
      </c>
      <c r="J58" s="12" t="inlineStr">
        <is>
          <t>G-I-GGG07</t>
        </is>
      </c>
      <c r="K58" s="12" t="inlineStr">
        <is>
          <t>G-I-GGG07-INS07</t>
        </is>
      </c>
      <c r="L58" s="12" t="inlineStr">
        <is>
          <t>Code Emprise</t>
        </is>
      </c>
      <c r="M58" s="12" t="inlineStr">
        <is>
          <t>G-I-GGG07</t>
        </is>
      </c>
      <c r="N58" s="12" t="b">
        <v>0</v>
      </c>
      <c r="O58" s="12" t="n"/>
      <c r="P58" s="12" t="n">
        <v>58</v>
      </c>
      <c r="Q58" s="12" t="n">
        <v>0</v>
      </c>
      <c r="R58" s="12" t="inlineStr">
        <is>
          <t>DEMO_PDM.xlsx</t>
        </is>
      </c>
      <c r="S58" s="24" t="n">
        <v>46309.625</v>
      </c>
    </row>
    <row r="59">
      <c r="A59" s="12" t="inlineStr">
        <is>
          <t>RNA</t>
        </is>
      </c>
      <c r="B59" s="12" t="inlineStr">
        <is>
          <t>AA1</t>
        </is>
      </c>
      <c r="C59" s="12" t="inlineStr">
        <is>
          <t>G-I-GGG07</t>
        </is>
      </c>
      <c r="D59" s="12" t="inlineStr">
        <is>
          <t>Poste fictif Eta</t>
        </is>
      </c>
      <c r="E59" s="12" t="inlineStr">
        <is>
          <t>DETENTE</t>
        </is>
      </c>
      <c r="F59" s="12" t="n">
        <v>2030</v>
      </c>
      <c r="G59" s="12" t="inlineStr">
        <is>
          <t>PIS</t>
        </is>
      </c>
      <c r="H59" s="12" t="n">
        <v>1</v>
      </c>
      <c r="I59" s="12" t="inlineStr">
        <is>
          <t>PIS</t>
        </is>
      </c>
      <c r="J59" s="12" t="inlineStr">
        <is>
          <t>G-I-GGG07</t>
        </is>
      </c>
      <c r="K59" s="12" t="inlineStr">
        <is>
          <t>G-I-GGG07-INS07</t>
        </is>
      </c>
      <c r="L59" s="12" t="inlineStr">
        <is>
          <t>Code Emprise</t>
        </is>
      </c>
      <c r="M59" s="12" t="inlineStr">
        <is>
          <t>G-I-GGG07</t>
        </is>
      </c>
      <c r="N59" s="12" t="b">
        <v>0</v>
      </c>
      <c r="O59" s="12" t="n"/>
      <c r="P59" s="12" t="n">
        <v>59</v>
      </c>
      <c r="Q59" s="12" t="n">
        <v>0</v>
      </c>
      <c r="R59" s="12" t="inlineStr">
        <is>
          <t>DEMO_PDM.xlsx</t>
        </is>
      </c>
      <c r="S59" s="24" t="n">
        <v>46309.625</v>
      </c>
    </row>
    <row r="60">
      <c r="A60" s="12" t="inlineStr">
        <is>
          <t>RNA</t>
        </is>
      </c>
      <c r="B60" s="12" t="inlineStr">
        <is>
          <t>AA1</t>
        </is>
      </c>
      <c r="C60" s="12" t="inlineStr">
        <is>
          <t>G-I-GGG07</t>
        </is>
      </c>
      <c r="D60" s="12" t="inlineStr">
        <is>
          <t>Poste fictif Eta</t>
        </is>
      </c>
      <c r="E60" s="12" t="inlineStr">
        <is>
          <t>DETENTE</t>
        </is>
      </c>
      <c r="F60" s="12" t="n">
        <v>2031</v>
      </c>
      <c r="G60" s="12" t="inlineStr">
        <is>
          <t>PIS</t>
        </is>
      </c>
      <c r="H60" s="12" t="n">
        <v>1</v>
      </c>
      <c r="I60" s="12" t="inlineStr">
        <is>
          <t>PIS</t>
        </is>
      </c>
      <c r="J60" s="12" t="inlineStr">
        <is>
          <t>G-I-GGG07</t>
        </is>
      </c>
      <c r="K60" s="12" t="inlineStr">
        <is>
          <t>G-I-GGG07-INS07</t>
        </is>
      </c>
      <c r="L60" s="12" t="inlineStr">
        <is>
          <t>Code Emprise</t>
        </is>
      </c>
      <c r="M60" s="12" t="inlineStr">
        <is>
          <t>G-I-GGG07</t>
        </is>
      </c>
      <c r="N60" s="12" t="b">
        <v>0</v>
      </c>
      <c r="O60" s="12" t="n"/>
      <c r="P60" s="12" t="n">
        <v>60</v>
      </c>
      <c r="Q60" s="12" t="n">
        <v>0</v>
      </c>
      <c r="R60" s="12" t="inlineStr">
        <is>
          <t>DEMO_PDM.xlsx</t>
        </is>
      </c>
      <c r="S60" s="24" t="n">
        <v>46309.625</v>
      </c>
    </row>
    <row r="61">
      <c r="A61" s="12" t="inlineStr">
        <is>
          <t>RNA</t>
        </is>
      </c>
      <c r="B61" s="12" t="inlineStr">
        <is>
          <t>AA1</t>
        </is>
      </c>
      <c r="C61" s="12" t="inlineStr">
        <is>
          <t>G-I-GGG07</t>
        </is>
      </c>
      <c r="D61" s="12" t="inlineStr">
        <is>
          <t>Poste fictif Eta</t>
        </is>
      </c>
      <c r="E61" s="12" t="inlineStr">
        <is>
          <t>DETENTE</t>
        </is>
      </c>
      <c r="F61" s="12" t="n">
        <v>2031</v>
      </c>
      <c r="G61" s="12" t="inlineStr">
        <is>
          <t>EC FILTRE</t>
        </is>
      </c>
      <c r="H61" s="12" t="n">
        <v>3</v>
      </c>
      <c r="I61" s="12" t="inlineStr">
        <is>
          <t>EC Filtre</t>
        </is>
      </c>
      <c r="J61" s="12" t="inlineStr">
        <is>
          <t>G-I-GGG07</t>
        </is>
      </c>
      <c r="K61" s="12" t="inlineStr">
        <is>
          <t>G-I-GGG07-INS07</t>
        </is>
      </c>
      <c r="L61" s="12" t="inlineStr">
        <is>
          <t>Code Emprise</t>
        </is>
      </c>
      <c r="M61" s="12" t="inlineStr">
        <is>
          <t>G-I-GGG07</t>
        </is>
      </c>
      <c r="N61" s="12" t="b">
        <v>0</v>
      </c>
      <c r="O61" s="12" t="n"/>
      <c r="P61" s="12" t="n">
        <v>61</v>
      </c>
      <c r="Q61" s="12" t="n">
        <v>0</v>
      </c>
      <c r="R61" s="12" t="inlineStr">
        <is>
          <t>DEMO_PDM.xlsx</t>
        </is>
      </c>
      <c r="S61" s="24" t="n">
        <v>46309.625</v>
      </c>
    </row>
    <row r="62">
      <c r="A62" s="12" t="inlineStr">
        <is>
          <t>RNA</t>
        </is>
      </c>
      <c r="B62" s="12" t="inlineStr">
        <is>
          <t>AA1</t>
        </is>
      </c>
      <c r="C62" s="12" t="inlineStr">
        <is>
          <t>G-I-GGG07</t>
        </is>
      </c>
      <c r="D62" s="12" t="inlineStr">
        <is>
          <t>Poste fictif Eta</t>
        </is>
      </c>
      <c r="E62" s="12" t="inlineStr">
        <is>
          <t>DETENTE</t>
        </is>
      </c>
      <c r="F62" s="12" t="n">
        <v>2032</v>
      </c>
      <c r="G62" s="12" t="inlineStr">
        <is>
          <t>REVISION</t>
        </is>
      </c>
      <c r="H62" s="12" t="n">
        <v>4</v>
      </c>
      <c r="I62" s="12" t="inlineStr">
        <is>
          <t>Révision</t>
        </is>
      </c>
      <c r="J62" s="12" t="inlineStr">
        <is>
          <t>G-I-GGG07</t>
        </is>
      </c>
      <c r="K62" s="12" t="inlineStr">
        <is>
          <t>G-I-GGG07-INS07</t>
        </is>
      </c>
      <c r="L62" s="12" t="inlineStr">
        <is>
          <t>Code Emprise</t>
        </is>
      </c>
      <c r="M62" s="12" t="inlineStr">
        <is>
          <t>G-I-GGG07</t>
        </is>
      </c>
      <c r="N62" s="12" t="b">
        <v>0</v>
      </c>
      <c r="O62" s="12" t="n"/>
      <c r="P62" s="12" t="n">
        <v>62</v>
      </c>
      <c r="Q62" s="12" t="n">
        <v>0</v>
      </c>
      <c r="R62" s="12" t="inlineStr">
        <is>
          <t>DEMO_PDM.xlsx</t>
        </is>
      </c>
      <c r="S62" s="24" t="n">
        <v>46309.625</v>
      </c>
    </row>
    <row r="63">
      <c r="A63" s="12" t="inlineStr">
        <is>
          <t>RNA</t>
        </is>
      </c>
      <c r="B63" s="12" t="inlineStr">
        <is>
          <t>AA3</t>
        </is>
      </c>
      <c r="C63" s="12" t="inlineStr">
        <is>
          <t>G-I-HHH08</t>
        </is>
      </c>
      <c r="D63" s="12" t="inlineStr">
        <is>
          <t>Poste fictif Theta</t>
        </is>
      </c>
      <c r="E63" s="12" t="inlineStr">
        <is>
          <t>COMPTAGE</t>
        </is>
      </c>
      <c r="F63" s="12" t="n">
        <v>2026</v>
      </c>
      <c r="G63" s="12" t="inlineStr">
        <is>
          <t>PIS</t>
        </is>
      </c>
      <c r="H63" s="12" t="n">
        <v>1</v>
      </c>
      <c r="I63" s="12" t="inlineStr">
        <is>
          <t>PIS</t>
        </is>
      </c>
      <c r="J63" s="12" t="inlineStr">
        <is>
          <t>G-I-HHH08</t>
        </is>
      </c>
      <c r="K63" s="12" t="inlineStr">
        <is>
          <t>G-I-HHH08-INS01</t>
        </is>
      </c>
      <c r="L63" s="12" t="inlineStr">
        <is>
          <t>Code Emprise</t>
        </is>
      </c>
      <c r="M63" s="12" t="inlineStr">
        <is>
          <t>G-I-HHH08</t>
        </is>
      </c>
      <c r="N63" s="12" t="b">
        <v>0</v>
      </c>
      <c r="O63" s="12" t="n"/>
      <c r="P63" s="12" t="n">
        <v>63</v>
      </c>
      <c r="Q63" s="12" t="n">
        <v>0</v>
      </c>
      <c r="R63" s="12" t="inlineStr">
        <is>
          <t>DEMO_PDM.xlsx</t>
        </is>
      </c>
      <c r="S63" s="24" t="n">
        <v>46309.625</v>
      </c>
    </row>
    <row r="64">
      <c r="A64" s="12" t="inlineStr">
        <is>
          <t>RNA</t>
        </is>
      </c>
      <c r="B64" s="12" t="inlineStr">
        <is>
          <t>AA3</t>
        </is>
      </c>
      <c r="C64" s="12" t="inlineStr">
        <is>
          <t>G-I-HHH08</t>
        </is>
      </c>
      <c r="D64" s="12" t="inlineStr">
        <is>
          <t>Poste fictif Theta</t>
        </is>
      </c>
      <c r="E64" s="12" t="inlineStr">
        <is>
          <t>COMPTAGE</t>
        </is>
      </c>
      <c r="F64" s="12" t="n">
        <v>2026</v>
      </c>
      <c r="G64" s="12" t="inlineStr">
        <is>
          <t>EC SIMPLE</t>
        </is>
      </c>
      <c r="H64" s="12" t="n">
        <v>2</v>
      </c>
      <c r="I64" s="12" t="inlineStr">
        <is>
          <t>EC Simple</t>
        </is>
      </c>
      <c r="J64" s="12" t="inlineStr">
        <is>
          <t>G-I-HHH08</t>
        </is>
      </c>
      <c r="K64" s="12" t="inlineStr">
        <is>
          <t>G-I-HHH08-INS01</t>
        </is>
      </c>
      <c r="L64" s="12" t="inlineStr">
        <is>
          <t>Code Emprise</t>
        </is>
      </c>
      <c r="M64" s="12" t="inlineStr">
        <is>
          <t>G-I-HHH08</t>
        </is>
      </c>
      <c r="N64" s="12" t="b">
        <v>0</v>
      </c>
      <c r="O64" s="12" t="n"/>
      <c r="P64" s="12" t="n">
        <v>64</v>
      </c>
      <c r="Q64" s="12" t="n">
        <v>0</v>
      </c>
      <c r="R64" s="12" t="inlineStr">
        <is>
          <t>DEMO_PDM.xlsx</t>
        </is>
      </c>
      <c r="S64" s="24" t="n">
        <v>46309.625</v>
      </c>
    </row>
    <row r="65">
      <c r="A65" s="12" t="inlineStr">
        <is>
          <t>RNA</t>
        </is>
      </c>
      <c r="B65" s="12" t="inlineStr">
        <is>
          <t>AA3</t>
        </is>
      </c>
      <c r="C65" s="12" t="inlineStr">
        <is>
          <t>G-I-HHH08</t>
        </is>
      </c>
      <c r="D65" s="12" t="inlineStr">
        <is>
          <t>Poste fictif Theta</t>
        </is>
      </c>
      <c r="E65" s="12" t="inlineStr">
        <is>
          <t>COMPTAGE</t>
        </is>
      </c>
      <c r="F65" s="12" t="n">
        <v>2027</v>
      </c>
      <c r="G65" s="12" t="inlineStr">
        <is>
          <t>PIS</t>
        </is>
      </c>
      <c r="H65" s="12" t="n">
        <v>1</v>
      </c>
      <c r="I65" s="12" t="inlineStr">
        <is>
          <t>PIS</t>
        </is>
      </c>
      <c r="J65" s="12" t="inlineStr">
        <is>
          <t>G-I-HHH08</t>
        </is>
      </c>
      <c r="K65" s="12" t="inlineStr">
        <is>
          <t>G-I-HHH08-INS01</t>
        </is>
      </c>
      <c r="L65" s="12" t="inlineStr">
        <is>
          <t>Code Emprise</t>
        </is>
      </c>
      <c r="M65" s="12" t="inlineStr">
        <is>
          <t>G-I-HHH08</t>
        </is>
      </c>
      <c r="N65" s="12" t="b">
        <v>0</v>
      </c>
      <c r="O65" s="12" t="n"/>
      <c r="P65" s="12" t="n">
        <v>65</v>
      </c>
      <c r="Q65" s="12" t="n">
        <v>0</v>
      </c>
      <c r="R65" s="12" t="inlineStr">
        <is>
          <t>DEMO_PDM.xlsx</t>
        </is>
      </c>
      <c r="S65" s="24" t="n">
        <v>46309.625</v>
      </c>
    </row>
    <row r="66">
      <c r="A66" s="12" t="inlineStr">
        <is>
          <t>RNA</t>
        </is>
      </c>
      <c r="B66" s="12" t="inlineStr">
        <is>
          <t>AA3</t>
        </is>
      </c>
      <c r="C66" s="12" t="inlineStr">
        <is>
          <t>G-I-HHH08</t>
        </is>
      </c>
      <c r="D66" s="12" t="inlineStr">
        <is>
          <t>Poste fictif Theta</t>
        </is>
      </c>
      <c r="E66" s="12" t="inlineStr">
        <is>
          <t>COMPTAGE</t>
        </is>
      </c>
      <c r="F66" s="12" t="n">
        <v>2028</v>
      </c>
      <c r="G66" s="12" t="inlineStr">
        <is>
          <t>PIS</t>
        </is>
      </c>
      <c r="H66" s="12" t="n">
        <v>1</v>
      </c>
      <c r="I66" s="12" t="inlineStr">
        <is>
          <t>PIS</t>
        </is>
      </c>
      <c r="J66" s="12" t="inlineStr">
        <is>
          <t>G-I-HHH08</t>
        </is>
      </c>
      <c r="K66" s="12" t="inlineStr">
        <is>
          <t>G-I-HHH08-INS01</t>
        </is>
      </c>
      <c r="L66" s="12" t="inlineStr">
        <is>
          <t>Code Emprise</t>
        </is>
      </c>
      <c r="M66" s="12" t="inlineStr">
        <is>
          <t>G-I-HHH08</t>
        </is>
      </c>
      <c r="N66" s="12" t="b">
        <v>0</v>
      </c>
      <c r="O66" s="12" t="n"/>
      <c r="P66" s="12" t="n">
        <v>66</v>
      </c>
      <c r="Q66" s="12" t="n">
        <v>0</v>
      </c>
      <c r="R66" s="12" t="inlineStr">
        <is>
          <t>DEMO_PDM.xlsx</t>
        </is>
      </c>
      <c r="S66" s="24" t="n">
        <v>46309.625</v>
      </c>
    </row>
    <row r="67">
      <c r="A67" s="12" t="inlineStr">
        <is>
          <t>RNA</t>
        </is>
      </c>
      <c r="B67" s="12" t="inlineStr">
        <is>
          <t>AA3</t>
        </is>
      </c>
      <c r="C67" s="12" t="inlineStr">
        <is>
          <t>G-I-HHH08</t>
        </is>
      </c>
      <c r="D67" s="12" t="inlineStr">
        <is>
          <t>Poste fictif Theta</t>
        </is>
      </c>
      <c r="E67" s="12" t="inlineStr">
        <is>
          <t>COMPTAGE</t>
        </is>
      </c>
      <c r="F67" s="12" t="n">
        <v>2028</v>
      </c>
      <c r="G67" s="12" t="inlineStr">
        <is>
          <t>EC SIMPLE</t>
        </is>
      </c>
      <c r="H67" s="12" t="n">
        <v>2</v>
      </c>
      <c r="I67" s="12" t="inlineStr">
        <is>
          <t>EC Simple</t>
        </is>
      </c>
      <c r="J67" s="12" t="inlineStr">
        <is>
          <t>G-I-HHH08</t>
        </is>
      </c>
      <c r="K67" s="12" t="inlineStr">
        <is>
          <t>G-I-HHH08-INS01</t>
        </is>
      </c>
      <c r="L67" s="12" t="inlineStr">
        <is>
          <t>Code Emprise</t>
        </is>
      </c>
      <c r="M67" s="12" t="inlineStr">
        <is>
          <t>G-I-HHH08</t>
        </is>
      </c>
      <c r="N67" s="12" t="b">
        <v>0</v>
      </c>
      <c r="O67" s="12" t="n"/>
      <c r="P67" s="12" t="n">
        <v>67</v>
      </c>
      <c r="Q67" s="12" t="n">
        <v>0</v>
      </c>
      <c r="R67" s="12" t="inlineStr">
        <is>
          <t>DEMO_PDM.xlsx</t>
        </is>
      </c>
      <c r="S67" s="24" t="n">
        <v>46309.625</v>
      </c>
    </row>
    <row r="68">
      <c r="A68" s="12" t="inlineStr">
        <is>
          <t>RNA</t>
        </is>
      </c>
      <c r="B68" s="12" t="inlineStr">
        <is>
          <t>AA3</t>
        </is>
      </c>
      <c r="C68" s="12" t="inlineStr">
        <is>
          <t>G-I-HHH08</t>
        </is>
      </c>
      <c r="D68" s="12" t="inlineStr">
        <is>
          <t>Poste fictif Theta</t>
        </is>
      </c>
      <c r="E68" s="12" t="inlineStr">
        <is>
          <t>COMPTAGE</t>
        </is>
      </c>
      <c r="F68" s="12" t="n">
        <v>2029</v>
      </c>
      <c r="G68" s="12" t="inlineStr">
        <is>
          <t>PIS</t>
        </is>
      </c>
      <c r="H68" s="12" t="n">
        <v>1</v>
      </c>
      <c r="I68" s="12" t="inlineStr">
        <is>
          <t>PIS</t>
        </is>
      </c>
      <c r="J68" s="12" t="inlineStr">
        <is>
          <t>G-I-HHH08</t>
        </is>
      </c>
      <c r="K68" s="12" t="inlineStr">
        <is>
          <t>G-I-HHH08-INS01</t>
        </is>
      </c>
      <c r="L68" s="12" t="inlineStr">
        <is>
          <t>Code Emprise</t>
        </is>
      </c>
      <c r="M68" s="12" t="inlineStr">
        <is>
          <t>G-I-HHH08</t>
        </is>
      </c>
      <c r="N68" s="12" t="b">
        <v>0</v>
      </c>
      <c r="O68" s="12" t="n"/>
      <c r="P68" s="12" t="n">
        <v>68</v>
      </c>
      <c r="Q68" s="12" t="n">
        <v>0</v>
      </c>
      <c r="R68" s="12" t="inlineStr">
        <is>
          <t>DEMO_PDM.xlsx</t>
        </is>
      </c>
      <c r="S68" s="24" t="n">
        <v>46309.625</v>
      </c>
    </row>
    <row r="69">
      <c r="A69" s="12" t="inlineStr">
        <is>
          <t>RNA</t>
        </is>
      </c>
      <c r="B69" s="12" t="inlineStr">
        <is>
          <t>AA3</t>
        </is>
      </c>
      <c r="C69" s="12" t="inlineStr">
        <is>
          <t>G-I-HHH08</t>
        </is>
      </c>
      <c r="D69" s="12" t="inlineStr">
        <is>
          <t>Poste fictif Theta</t>
        </is>
      </c>
      <c r="E69" s="12" t="inlineStr">
        <is>
          <t>COMPTAGE</t>
        </is>
      </c>
      <c r="F69" s="12" t="n">
        <v>2030</v>
      </c>
      <c r="G69" s="12" t="inlineStr">
        <is>
          <t>REVISION</t>
        </is>
      </c>
      <c r="H69" s="12" t="n">
        <v>4</v>
      </c>
      <c r="I69" s="12" t="inlineStr">
        <is>
          <t>Révision</t>
        </is>
      </c>
      <c r="J69" s="12" t="inlineStr">
        <is>
          <t>G-I-HHH08</t>
        </is>
      </c>
      <c r="K69" s="12" t="inlineStr">
        <is>
          <t>G-I-HHH08-INS01</t>
        </is>
      </c>
      <c r="L69" s="12" t="inlineStr">
        <is>
          <t>Code Emprise</t>
        </is>
      </c>
      <c r="M69" s="12" t="inlineStr">
        <is>
          <t>G-I-HHH08</t>
        </is>
      </c>
      <c r="N69" s="12" t="b">
        <v>0</v>
      </c>
      <c r="O69" s="12" t="n"/>
      <c r="P69" s="12" t="n">
        <v>69</v>
      </c>
      <c r="Q69" s="12" t="n">
        <v>0</v>
      </c>
      <c r="R69" s="12" t="inlineStr">
        <is>
          <t>DEMO_PDM.xlsx</t>
        </is>
      </c>
      <c r="S69" s="24" t="n">
        <v>46309.625</v>
      </c>
    </row>
    <row r="70">
      <c r="A70" s="12" t="inlineStr">
        <is>
          <t>RNA</t>
        </is>
      </c>
      <c r="B70" s="12" t="inlineStr">
        <is>
          <t>AA3</t>
        </is>
      </c>
      <c r="C70" s="12" t="inlineStr">
        <is>
          <t>G-I-HHH08</t>
        </is>
      </c>
      <c r="D70" s="12" t="inlineStr">
        <is>
          <t>Poste fictif Theta</t>
        </is>
      </c>
      <c r="E70" s="12" t="inlineStr">
        <is>
          <t>COMPTAGE</t>
        </is>
      </c>
      <c r="F70" s="12" t="n">
        <v>2031</v>
      </c>
      <c r="G70" s="12" t="inlineStr">
        <is>
          <t>PIS</t>
        </is>
      </c>
      <c r="H70" s="12" t="n">
        <v>1</v>
      </c>
      <c r="I70" s="12" t="inlineStr">
        <is>
          <t>PIS</t>
        </is>
      </c>
      <c r="J70" s="12" t="inlineStr">
        <is>
          <t>G-I-HHH08</t>
        </is>
      </c>
      <c r="K70" s="12" t="inlineStr">
        <is>
          <t>G-I-HHH08-INS01</t>
        </is>
      </c>
      <c r="L70" s="12" t="inlineStr">
        <is>
          <t>Code Emprise</t>
        </is>
      </c>
      <c r="M70" s="12" t="inlineStr">
        <is>
          <t>G-I-HHH08</t>
        </is>
      </c>
      <c r="N70" s="12" t="b">
        <v>0</v>
      </c>
      <c r="O70" s="12" t="n"/>
      <c r="P70" s="12" t="n">
        <v>70</v>
      </c>
      <c r="Q70" s="12" t="n">
        <v>0</v>
      </c>
      <c r="R70" s="12" t="inlineStr">
        <is>
          <t>DEMO_PDM.xlsx</t>
        </is>
      </c>
      <c r="S70" s="24" t="n">
        <v>46309.625</v>
      </c>
    </row>
    <row r="71">
      <c r="A71" s="12" t="inlineStr">
        <is>
          <t>RNA</t>
        </is>
      </c>
      <c r="B71" s="12" t="inlineStr">
        <is>
          <t>AA3</t>
        </is>
      </c>
      <c r="C71" s="12" t="inlineStr">
        <is>
          <t>G-I-HHH08</t>
        </is>
      </c>
      <c r="D71" s="12" t="inlineStr">
        <is>
          <t>Poste fictif Theta</t>
        </is>
      </c>
      <c r="E71" s="12" t="inlineStr">
        <is>
          <t>COMPTAGE</t>
        </is>
      </c>
      <c r="F71" s="12" t="n">
        <v>2032</v>
      </c>
      <c r="G71" s="12" t="inlineStr">
        <is>
          <t>PIS</t>
        </is>
      </c>
      <c r="H71" s="12" t="n">
        <v>1</v>
      </c>
      <c r="I71" s="12" t="inlineStr">
        <is>
          <t>PIS</t>
        </is>
      </c>
      <c r="J71" s="12" t="inlineStr">
        <is>
          <t>G-I-HHH08</t>
        </is>
      </c>
      <c r="K71" s="12" t="inlineStr">
        <is>
          <t>G-I-HHH08-INS01</t>
        </is>
      </c>
      <c r="L71" s="12" t="inlineStr">
        <is>
          <t>Code Emprise</t>
        </is>
      </c>
      <c r="M71" s="12" t="inlineStr">
        <is>
          <t>G-I-HHH08</t>
        </is>
      </c>
      <c r="N71" s="12" t="b">
        <v>0</v>
      </c>
      <c r="O71" s="12" t="n"/>
      <c r="P71" s="12" t="n">
        <v>71</v>
      </c>
      <c r="Q71" s="12" t="n">
        <v>0</v>
      </c>
      <c r="R71" s="12" t="inlineStr">
        <is>
          <t>DEMO_PDM.xlsx</t>
        </is>
      </c>
      <c r="S71" s="24" t="n">
        <v>46309.625</v>
      </c>
    </row>
    <row r="72">
      <c r="A72" s="12" t="inlineStr">
        <is>
          <t>RNA</t>
        </is>
      </c>
      <c r="B72" s="12" t="inlineStr">
        <is>
          <t>AA3</t>
        </is>
      </c>
      <c r="C72" s="12" t="inlineStr">
        <is>
          <t>G-I-HHH08</t>
        </is>
      </c>
      <c r="D72" s="12" t="inlineStr">
        <is>
          <t>Poste fictif Theta</t>
        </is>
      </c>
      <c r="E72" s="12" t="inlineStr">
        <is>
          <t>COMPTAGE</t>
        </is>
      </c>
      <c r="F72" s="12" t="n">
        <v>2032</v>
      </c>
      <c r="G72" s="12" t="inlineStr">
        <is>
          <t>EC SIMPLE</t>
        </is>
      </c>
      <c r="H72" s="12" t="n">
        <v>2</v>
      </c>
      <c r="I72" s="12" t="inlineStr">
        <is>
          <t>EC Simple</t>
        </is>
      </c>
      <c r="J72" s="12" t="inlineStr">
        <is>
          <t>G-I-HHH08</t>
        </is>
      </c>
      <c r="K72" s="12" t="inlineStr">
        <is>
          <t>G-I-HHH08-INS01</t>
        </is>
      </c>
      <c r="L72" s="12" t="inlineStr">
        <is>
          <t>Code Emprise</t>
        </is>
      </c>
      <c r="M72" s="12" t="inlineStr">
        <is>
          <t>G-I-HHH08</t>
        </is>
      </c>
      <c r="N72" s="12" t="b">
        <v>0</v>
      </c>
      <c r="O72" s="12" t="n"/>
      <c r="P72" s="12" t="n">
        <v>72</v>
      </c>
      <c r="Q72" s="12" t="n">
        <v>0</v>
      </c>
      <c r="R72" s="12" t="inlineStr">
        <is>
          <t>DEMO_PDM.xlsx</t>
        </is>
      </c>
      <c r="S72" s="24" t="n">
        <v>46309.625</v>
      </c>
    </row>
    <row r="73">
      <c r="A73" s="12" t="inlineStr">
        <is>
          <t>RNA</t>
        </is>
      </c>
      <c r="B73" s="12" t="inlineStr">
        <is>
          <t>AA4</t>
        </is>
      </c>
      <c r="C73" s="12" t="inlineStr">
        <is>
          <t>G-I-III09</t>
        </is>
      </c>
      <c r="D73" s="12" t="inlineStr">
        <is>
          <t>Poste fictif Iota</t>
        </is>
      </c>
      <c r="E73" s="12" t="inlineStr">
        <is>
          <t>COUPURE</t>
        </is>
      </c>
      <c r="F73" s="12" t="n">
        <v>2026</v>
      </c>
      <c r="G73" s="12" t="inlineStr">
        <is>
          <t>PIS</t>
        </is>
      </c>
      <c r="H73" s="12" t="n">
        <v>1</v>
      </c>
      <c r="I73" s="12" t="inlineStr">
        <is>
          <t>PIS</t>
        </is>
      </c>
      <c r="J73" s="12" t="inlineStr">
        <is>
          <t>G-I-III09</t>
        </is>
      </c>
      <c r="K73" s="12" t="inlineStr">
        <is>
          <t>G-I-III09-INS02</t>
        </is>
      </c>
      <c r="L73" s="12" t="inlineStr">
        <is>
          <t>Code Emprise</t>
        </is>
      </c>
      <c r="M73" s="12" t="inlineStr">
        <is>
          <t>G-I-III09</t>
        </is>
      </c>
      <c r="N73" s="12" t="b">
        <v>0</v>
      </c>
      <c r="O73" s="12" t="n"/>
      <c r="P73" s="12" t="n">
        <v>73</v>
      </c>
      <c r="Q73" s="12" t="n">
        <v>0</v>
      </c>
      <c r="R73" s="12" t="inlineStr">
        <is>
          <t>DEMO_PDM.xlsx</t>
        </is>
      </c>
      <c r="S73" s="24" t="n">
        <v>46309.625</v>
      </c>
    </row>
    <row r="74">
      <c r="A74" s="12" t="inlineStr">
        <is>
          <t>RNA</t>
        </is>
      </c>
      <c r="B74" s="12" t="inlineStr">
        <is>
          <t>AA4</t>
        </is>
      </c>
      <c r="C74" s="12" t="inlineStr">
        <is>
          <t>G-I-III09</t>
        </is>
      </c>
      <c r="D74" s="12" t="inlineStr">
        <is>
          <t>Poste fictif Iota</t>
        </is>
      </c>
      <c r="E74" s="12" t="inlineStr">
        <is>
          <t>COUPURE</t>
        </is>
      </c>
      <c r="F74" s="12" t="n">
        <v>2026</v>
      </c>
      <c r="G74" s="12" t="inlineStr">
        <is>
          <t>EC SIMPLE</t>
        </is>
      </c>
      <c r="H74" s="12" t="n">
        <v>2</v>
      </c>
      <c r="I74" s="12" t="inlineStr">
        <is>
          <t>EC Simple</t>
        </is>
      </c>
      <c r="J74" s="12" t="inlineStr">
        <is>
          <t>G-I-III09</t>
        </is>
      </c>
      <c r="K74" s="12" t="inlineStr">
        <is>
          <t>G-I-III09-INS02</t>
        </is>
      </c>
      <c r="L74" s="12" t="inlineStr">
        <is>
          <t>Code Emprise</t>
        </is>
      </c>
      <c r="M74" s="12" t="inlineStr">
        <is>
          <t>G-I-III09</t>
        </is>
      </c>
      <c r="N74" s="12" t="b">
        <v>0</v>
      </c>
      <c r="O74" s="12" t="n"/>
      <c r="P74" s="12" t="n">
        <v>74</v>
      </c>
      <c r="Q74" s="12" t="n">
        <v>0</v>
      </c>
      <c r="R74" s="12" t="inlineStr">
        <is>
          <t>DEMO_PDM.xlsx</t>
        </is>
      </c>
      <c r="S74" s="24" t="n">
        <v>46309.625</v>
      </c>
    </row>
    <row r="75">
      <c r="A75" s="12" t="inlineStr">
        <is>
          <t>RNA</t>
        </is>
      </c>
      <c r="B75" s="12" t="inlineStr">
        <is>
          <t>AA4</t>
        </is>
      </c>
      <c r="C75" s="12" t="inlineStr">
        <is>
          <t>G-I-III09</t>
        </is>
      </c>
      <c r="D75" s="12" t="inlineStr">
        <is>
          <t>Poste fictif Iota</t>
        </is>
      </c>
      <c r="E75" s="12" t="inlineStr">
        <is>
          <t>COUPURE</t>
        </is>
      </c>
      <c r="F75" s="12" t="n">
        <v>2027</v>
      </c>
      <c r="G75" s="12" t="inlineStr">
        <is>
          <t>PIS</t>
        </is>
      </c>
      <c r="H75" s="12" t="n">
        <v>1</v>
      </c>
      <c r="I75" s="12" t="inlineStr">
        <is>
          <t>PIS</t>
        </is>
      </c>
      <c r="J75" s="12" t="inlineStr">
        <is>
          <t>G-I-III09</t>
        </is>
      </c>
      <c r="K75" s="12" t="inlineStr">
        <is>
          <t>G-I-III09-INS02</t>
        </is>
      </c>
      <c r="L75" s="12" t="inlineStr">
        <is>
          <t>Code Emprise</t>
        </is>
      </c>
      <c r="M75" s="12" t="inlineStr">
        <is>
          <t>G-I-III09</t>
        </is>
      </c>
      <c r="N75" s="12" t="b">
        <v>0</v>
      </c>
      <c r="O75" s="12" t="n"/>
      <c r="P75" s="12" t="n">
        <v>75</v>
      </c>
      <c r="Q75" s="12" t="n">
        <v>0</v>
      </c>
      <c r="R75" s="12" t="inlineStr">
        <is>
          <t>DEMO_PDM.xlsx</t>
        </is>
      </c>
      <c r="S75" s="24" t="n">
        <v>46309.625</v>
      </c>
    </row>
    <row r="76">
      <c r="A76" s="12" t="inlineStr">
        <is>
          <t>RNA</t>
        </is>
      </c>
      <c r="B76" s="12" t="inlineStr">
        <is>
          <t>AA4</t>
        </is>
      </c>
      <c r="C76" s="12" t="inlineStr">
        <is>
          <t>G-I-III09</t>
        </is>
      </c>
      <c r="D76" s="12" t="inlineStr">
        <is>
          <t>Poste fictif Iota</t>
        </is>
      </c>
      <c r="E76" s="12" t="inlineStr">
        <is>
          <t>COUPURE</t>
        </is>
      </c>
      <c r="F76" s="12" t="n">
        <v>2028</v>
      </c>
      <c r="G76" s="12" t="inlineStr">
        <is>
          <t>PIS</t>
        </is>
      </c>
      <c r="H76" s="12" t="n">
        <v>1</v>
      </c>
      <c r="I76" s="12" t="inlineStr">
        <is>
          <t>PIS</t>
        </is>
      </c>
      <c r="J76" s="12" t="inlineStr">
        <is>
          <t>G-I-III09</t>
        </is>
      </c>
      <c r="K76" s="12" t="inlineStr">
        <is>
          <t>G-I-III09-INS02</t>
        </is>
      </c>
      <c r="L76" s="12" t="inlineStr">
        <is>
          <t>Code Emprise</t>
        </is>
      </c>
      <c r="M76" s="12" t="inlineStr">
        <is>
          <t>G-I-III09</t>
        </is>
      </c>
      <c r="N76" s="12" t="b">
        <v>0</v>
      </c>
      <c r="O76" s="12" t="n"/>
      <c r="P76" s="12" t="n">
        <v>76</v>
      </c>
      <c r="Q76" s="12" t="n">
        <v>0</v>
      </c>
      <c r="R76" s="12" t="inlineStr">
        <is>
          <t>DEMO_PDM.xlsx</t>
        </is>
      </c>
      <c r="S76" s="24" t="n">
        <v>46309.625</v>
      </c>
    </row>
    <row r="77">
      <c r="A77" s="12" t="inlineStr">
        <is>
          <t>RNA</t>
        </is>
      </c>
      <c r="B77" s="12" t="inlineStr">
        <is>
          <t>AA4</t>
        </is>
      </c>
      <c r="C77" s="12" t="inlineStr">
        <is>
          <t>G-I-III09</t>
        </is>
      </c>
      <c r="D77" s="12" t="inlineStr">
        <is>
          <t>Poste fictif Iota</t>
        </is>
      </c>
      <c r="E77" s="12" t="inlineStr">
        <is>
          <t>COUPURE</t>
        </is>
      </c>
      <c r="F77" s="12" t="n">
        <v>2028</v>
      </c>
      <c r="G77" s="12" t="inlineStr">
        <is>
          <t>EC FILTRE</t>
        </is>
      </c>
      <c r="H77" s="12" t="n">
        <v>3</v>
      </c>
      <c r="I77" s="12" t="inlineStr">
        <is>
          <t>EC Filtre</t>
        </is>
      </c>
      <c r="J77" s="12" t="inlineStr">
        <is>
          <t>G-I-III09</t>
        </is>
      </c>
      <c r="K77" s="12" t="inlineStr">
        <is>
          <t>G-I-III09-INS02</t>
        </is>
      </c>
      <c r="L77" s="12" t="inlineStr">
        <is>
          <t>Code Emprise</t>
        </is>
      </c>
      <c r="M77" s="12" t="inlineStr">
        <is>
          <t>G-I-III09</t>
        </is>
      </c>
      <c r="N77" s="12" t="b">
        <v>0</v>
      </c>
      <c r="O77" s="12" t="n"/>
      <c r="P77" s="12" t="n">
        <v>77</v>
      </c>
      <c r="Q77" s="12" t="n">
        <v>0</v>
      </c>
      <c r="R77" s="12" t="inlineStr">
        <is>
          <t>DEMO_PDM.xlsx</t>
        </is>
      </c>
      <c r="S77" s="24" t="n">
        <v>46309.625</v>
      </c>
    </row>
    <row r="78">
      <c r="A78" s="12" t="inlineStr">
        <is>
          <t>RNA</t>
        </is>
      </c>
      <c r="B78" s="12" t="inlineStr">
        <is>
          <t>AA4</t>
        </is>
      </c>
      <c r="C78" s="12" t="inlineStr">
        <is>
          <t>G-I-III09</t>
        </is>
      </c>
      <c r="D78" s="12" t="inlineStr">
        <is>
          <t>Poste fictif Iota</t>
        </is>
      </c>
      <c r="E78" s="12" t="inlineStr">
        <is>
          <t>COUPURE</t>
        </is>
      </c>
      <c r="F78" s="12" t="n">
        <v>2028</v>
      </c>
      <c r="G78" s="12" t="inlineStr">
        <is>
          <t>REVISION</t>
        </is>
      </c>
      <c r="H78" s="12" t="n">
        <v>4</v>
      </c>
      <c r="I78" s="12" t="inlineStr">
        <is>
          <t>Révision</t>
        </is>
      </c>
      <c r="J78" s="12" t="inlineStr">
        <is>
          <t>G-I-III09</t>
        </is>
      </c>
      <c r="K78" s="12" t="inlineStr">
        <is>
          <t>G-I-III09-INS02</t>
        </is>
      </c>
      <c r="L78" s="12" t="inlineStr">
        <is>
          <t>Code Emprise</t>
        </is>
      </c>
      <c r="M78" s="12" t="inlineStr">
        <is>
          <t>G-I-III09</t>
        </is>
      </c>
      <c r="N78" s="12" t="b">
        <v>0</v>
      </c>
      <c r="O78" s="12" t="n"/>
      <c r="P78" s="12" t="n">
        <v>78</v>
      </c>
      <c r="Q78" s="12" t="n">
        <v>0</v>
      </c>
      <c r="R78" s="12" t="inlineStr">
        <is>
          <t>DEMO_PDM.xlsx</t>
        </is>
      </c>
      <c r="S78" s="24" t="n">
        <v>46309.625</v>
      </c>
    </row>
    <row r="79">
      <c r="A79" s="12" t="inlineStr">
        <is>
          <t>RNA</t>
        </is>
      </c>
      <c r="B79" s="12" t="inlineStr">
        <is>
          <t>AA4</t>
        </is>
      </c>
      <c r="C79" s="12" t="inlineStr">
        <is>
          <t>G-I-III09</t>
        </is>
      </c>
      <c r="D79" s="12" t="inlineStr">
        <is>
          <t>Poste fictif Iota</t>
        </is>
      </c>
      <c r="E79" s="12" t="inlineStr">
        <is>
          <t>COUPURE</t>
        </is>
      </c>
      <c r="F79" s="12" t="n">
        <v>2029</v>
      </c>
      <c r="G79" s="12" t="inlineStr">
        <is>
          <t>PIS</t>
        </is>
      </c>
      <c r="H79" s="12" t="n">
        <v>1</v>
      </c>
      <c r="I79" s="12" t="inlineStr">
        <is>
          <t>PIS</t>
        </is>
      </c>
      <c r="J79" s="12" t="inlineStr">
        <is>
          <t>G-I-III09</t>
        </is>
      </c>
      <c r="K79" s="12" t="inlineStr">
        <is>
          <t>G-I-III09-INS02</t>
        </is>
      </c>
      <c r="L79" s="12" t="inlineStr">
        <is>
          <t>Code Emprise</t>
        </is>
      </c>
      <c r="M79" s="12" t="inlineStr">
        <is>
          <t>G-I-III09</t>
        </is>
      </c>
      <c r="N79" s="12" t="b">
        <v>0</v>
      </c>
      <c r="O79" s="12" t="n"/>
      <c r="P79" s="12" t="n">
        <v>79</v>
      </c>
      <c r="Q79" s="12" t="n">
        <v>0</v>
      </c>
      <c r="R79" s="12" t="inlineStr">
        <is>
          <t>DEMO_PDM.xlsx</t>
        </is>
      </c>
      <c r="S79" s="24" t="n">
        <v>46309.625</v>
      </c>
    </row>
    <row r="80">
      <c r="A80" s="12" t="inlineStr">
        <is>
          <t>RNA</t>
        </is>
      </c>
      <c r="B80" s="12" t="inlineStr">
        <is>
          <t>AA4</t>
        </is>
      </c>
      <c r="C80" s="12" t="inlineStr">
        <is>
          <t>G-I-III09</t>
        </is>
      </c>
      <c r="D80" s="12" t="inlineStr">
        <is>
          <t>Poste fictif Iota</t>
        </is>
      </c>
      <c r="E80" s="12" t="inlineStr">
        <is>
          <t>COUPURE</t>
        </is>
      </c>
      <c r="F80" s="12" t="n">
        <v>2030</v>
      </c>
      <c r="G80" s="12" t="inlineStr">
        <is>
          <t>PIS</t>
        </is>
      </c>
      <c r="H80" s="12" t="n">
        <v>1</v>
      </c>
      <c r="I80" s="12" t="inlineStr">
        <is>
          <t>PIS</t>
        </is>
      </c>
      <c r="J80" s="12" t="inlineStr">
        <is>
          <t>G-I-III09</t>
        </is>
      </c>
      <c r="K80" s="12" t="inlineStr">
        <is>
          <t>G-I-III09-INS02</t>
        </is>
      </c>
      <c r="L80" s="12" t="inlineStr">
        <is>
          <t>Code Emprise</t>
        </is>
      </c>
      <c r="M80" s="12" t="inlineStr">
        <is>
          <t>G-I-III09</t>
        </is>
      </c>
      <c r="N80" s="12" t="b">
        <v>0</v>
      </c>
      <c r="O80" s="12" t="n"/>
      <c r="P80" s="12" t="n">
        <v>80</v>
      </c>
      <c r="Q80" s="12" t="n">
        <v>0</v>
      </c>
      <c r="R80" s="12" t="inlineStr">
        <is>
          <t>DEMO_PDM.xlsx</t>
        </is>
      </c>
      <c r="S80" s="24" t="n">
        <v>46309.625</v>
      </c>
    </row>
    <row r="81">
      <c r="A81" s="12" t="inlineStr">
        <is>
          <t>RNA</t>
        </is>
      </c>
      <c r="B81" s="12" t="inlineStr">
        <is>
          <t>AA4</t>
        </is>
      </c>
      <c r="C81" s="12" t="inlineStr">
        <is>
          <t>G-I-III09</t>
        </is>
      </c>
      <c r="D81" s="12" t="inlineStr">
        <is>
          <t>Poste fictif Iota</t>
        </is>
      </c>
      <c r="E81" s="12" t="inlineStr">
        <is>
          <t>COUPURE</t>
        </is>
      </c>
      <c r="F81" s="12" t="n">
        <v>2030</v>
      </c>
      <c r="G81" s="12" t="inlineStr">
        <is>
          <t>EC SIMPLE</t>
        </is>
      </c>
      <c r="H81" s="12" t="n">
        <v>2</v>
      </c>
      <c r="I81" s="12" t="inlineStr">
        <is>
          <t>EC Simple</t>
        </is>
      </c>
      <c r="J81" s="12" t="inlineStr">
        <is>
          <t>G-I-III09</t>
        </is>
      </c>
      <c r="K81" s="12" t="inlineStr">
        <is>
          <t>G-I-III09-INS02</t>
        </is>
      </c>
      <c r="L81" s="12" t="inlineStr">
        <is>
          <t>Code Emprise</t>
        </is>
      </c>
      <c r="M81" s="12" t="inlineStr">
        <is>
          <t>G-I-III09</t>
        </is>
      </c>
      <c r="N81" s="12" t="b">
        <v>0</v>
      </c>
      <c r="O81" s="12" t="n"/>
      <c r="P81" s="12" t="n">
        <v>81</v>
      </c>
      <c r="Q81" s="12" t="n">
        <v>0</v>
      </c>
      <c r="R81" s="12" t="inlineStr">
        <is>
          <t>DEMO_PDM.xlsx</t>
        </is>
      </c>
      <c r="S81" s="24" t="n">
        <v>46309.625</v>
      </c>
    </row>
    <row r="82">
      <c r="A82" s="12" t="inlineStr">
        <is>
          <t>RNA</t>
        </is>
      </c>
      <c r="B82" s="12" t="inlineStr">
        <is>
          <t>AA4</t>
        </is>
      </c>
      <c r="C82" s="12" t="inlineStr">
        <is>
          <t>G-I-III09</t>
        </is>
      </c>
      <c r="D82" s="12" t="inlineStr">
        <is>
          <t>Poste fictif Iota</t>
        </is>
      </c>
      <c r="E82" s="12" t="inlineStr">
        <is>
          <t>COUPURE</t>
        </is>
      </c>
      <c r="F82" s="12" t="n">
        <v>2031</v>
      </c>
      <c r="G82" s="12" t="inlineStr">
        <is>
          <t>PIS</t>
        </is>
      </c>
      <c r="H82" s="12" t="n">
        <v>1</v>
      </c>
      <c r="I82" s="12" t="inlineStr">
        <is>
          <t>PIS</t>
        </is>
      </c>
      <c r="J82" s="12" t="inlineStr">
        <is>
          <t>G-I-III09</t>
        </is>
      </c>
      <c r="K82" s="12" t="inlineStr">
        <is>
          <t>G-I-III09-INS02</t>
        </is>
      </c>
      <c r="L82" s="12" t="inlineStr">
        <is>
          <t>Code Emprise</t>
        </is>
      </c>
      <c r="M82" s="12" t="inlineStr">
        <is>
          <t>G-I-III09</t>
        </is>
      </c>
      <c r="N82" s="12" t="b">
        <v>0</v>
      </c>
      <c r="O82" s="12" t="n"/>
      <c r="P82" s="12" t="n">
        <v>82</v>
      </c>
      <c r="Q82" s="12" t="n">
        <v>0</v>
      </c>
      <c r="R82" s="12" t="inlineStr">
        <is>
          <t>DEMO_PDM.xlsx</t>
        </is>
      </c>
      <c r="S82" s="24" t="n">
        <v>46309.625</v>
      </c>
    </row>
    <row r="83">
      <c r="A83" s="12" t="inlineStr">
        <is>
          <t>RNA</t>
        </is>
      </c>
      <c r="B83" s="12" t="inlineStr">
        <is>
          <t>AA4</t>
        </is>
      </c>
      <c r="C83" s="12" t="inlineStr">
        <is>
          <t>G-I-III09</t>
        </is>
      </c>
      <c r="D83" s="12" t="inlineStr">
        <is>
          <t>Poste fictif Iota</t>
        </is>
      </c>
      <c r="E83" s="12" t="inlineStr">
        <is>
          <t>COUPURE</t>
        </is>
      </c>
      <c r="F83" s="12" t="n">
        <v>2032</v>
      </c>
      <c r="G83" s="12" t="inlineStr">
        <is>
          <t>PIS</t>
        </is>
      </c>
      <c r="H83" s="12" t="n">
        <v>1</v>
      </c>
      <c r="I83" s="12" t="inlineStr">
        <is>
          <t>PIS</t>
        </is>
      </c>
      <c r="J83" s="12" t="inlineStr">
        <is>
          <t>G-I-III09</t>
        </is>
      </c>
      <c r="K83" s="12" t="inlineStr">
        <is>
          <t>G-I-III09-INS02</t>
        </is>
      </c>
      <c r="L83" s="12" t="inlineStr">
        <is>
          <t>Code Emprise</t>
        </is>
      </c>
      <c r="M83" s="12" t="inlineStr">
        <is>
          <t>G-I-III09</t>
        </is>
      </c>
      <c r="N83" s="12" t="b">
        <v>0</v>
      </c>
      <c r="O83" s="12" t="n"/>
      <c r="P83" s="12" t="n">
        <v>83</v>
      </c>
      <c r="Q83" s="12" t="n">
        <v>0</v>
      </c>
      <c r="R83" s="12" t="inlineStr">
        <is>
          <t>DEMO_PDM.xlsx</t>
        </is>
      </c>
      <c r="S83" s="24" t="n">
        <v>46309.625</v>
      </c>
    </row>
    <row r="84">
      <c r="A84" s="12" t="inlineStr">
        <is>
          <t>RNA</t>
        </is>
      </c>
      <c r="B84" s="12" t="inlineStr">
        <is>
          <t>AA4</t>
        </is>
      </c>
      <c r="C84" s="12" t="inlineStr">
        <is>
          <t>G-I-III09</t>
        </is>
      </c>
      <c r="D84" s="12" t="inlineStr">
        <is>
          <t>Poste fictif Iota</t>
        </is>
      </c>
      <c r="E84" s="12" t="inlineStr">
        <is>
          <t>COUPURE</t>
        </is>
      </c>
      <c r="F84" s="12" t="n">
        <v>2032</v>
      </c>
      <c r="G84" s="12" t="inlineStr">
        <is>
          <t>EC FILTRE</t>
        </is>
      </c>
      <c r="H84" s="12" t="n">
        <v>3</v>
      </c>
      <c r="I84" s="12" t="inlineStr">
        <is>
          <t>EC Filtre</t>
        </is>
      </c>
      <c r="J84" s="12" t="inlineStr">
        <is>
          <t>G-I-III09</t>
        </is>
      </c>
      <c r="K84" s="12" t="inlineStr">
        <is>
          <t>G-I-III09-INS02</t>
        </is>
      </c>
      <c r="L84" s="12" t="inlineStr">
        <is>
          <t>Code Emprise</t>
        </is>
      </c>
      <c r="M84" s="12" t="inlineStr">
        <is>
          <t>G-I-III09</t>
        </is>
      </c>
      <c r="N84" s="12" t="b">
        <v>0</v>
      </c>
      <c r="O84" s="12" t="n"/>
      <c r="P84" s="12" t="n">
        <v>84</v>
      </c>
      <c r="Q84" s="12" t="n">
        <v>0</v>
      </c>
      <c r="R84" s="12" t="inlineStr">
        <is>
          <t>DEMO_PDM.xlsx</t>
        </is>
      </c>
      <c r="S84" s="24" t="n">
        <v>46309.625</v>
      </c>
    </row>
    <row r="85">
      <c r="A85" s="12" t="inlineStr">
        <is>
          <t>VRS</t>
        </is>
      </c>
      <c r="B85" s="12" t="inlineStr">
        <is>
          <t>AA1</t>
        </is>
      </c>
      <c r="C85" s="12" t="inlineStr">
        <is>
          <t>G-I-JJJ10</t>
        </is>
      </c>
      <c r="D85" s="12" t="inlineStr">
        <is>
          <t>Poste fictif Kappa</t>
        </is>
      </c>
      <c r="E85" s="12" t="inlineStr">
        <is>
          <t>COMPTAGE</t>
        </is>
      </c>
      <c r="F85" s="12" t="n">
        <v>2026</v>
      </c>
      <c r="G85" s="12" t="inlineStr">
        <is>
          <t>PIS</t>
        </is>
      </c>
      <c r="H85" s="12" t="n">
        <v>1</v>
      </c>
      <c r="I85" s="12" t="inlineStr">
        <is>
          <t>PIS</t>
        </is>
      </c>
      <c r="J85" s="12" t="inlineStr">
        <is>
          <t>G-I-JJJ10</t>
        </is>
      </c>
      <c r="K85" s="12" t="inlineStr">
        <is>
          <t>G-I-JJJ10-INS03</t>
        </is>
      </c>
      <c r="L85" s="12" t="inlineStr">
        <is>
          <t>Code Emprise</t>
        </is>
      </c>
      <c r="M85" s="12" t="inlineStr">
        <is>
          <t>G-I-JJJ10</t>
        </is>
      </c>
      <c r="N85" s="12" t="b">
        <v>0</v>
      </c>
      <c r="O85" s="12" t="n"/>
      <c r="P85" s="12" t="n">
        <v>85</v>
      </c>
      <c r="Q85" s="12" t="n">
        <v>0</v>
      </c>
      <c r="R85" s="12" t="inlineStr">
        <is>
          <t>DEMO_PDM.xlsx</t>
        </is>
      </c>
      <c r="S85" s="24" t="n">
        <v>46309.625</v>
      </c>
    </row>
    <row r="86">
      <c r="A86" s="12" t="inlineStr">
        <is>
          <t>VRS</t>
        </is>
      </c>
      <c r="B86" s="12" t="inlineStr">
        <is>
          <t>AA1</t>
        </is>
      </c>
      <c r="C86" s="12" t="inlineStr">
        <is>
          <t>G-I-JJJ10</t>
        </is>
      </c>
      <c r="D86" s="12" t="inlineStr">
        <is>
          <t>Poste fictif Kappa</t>
        </is>
      </c>
      <c r="E86" s="12" t="inlineStr">
        <is>
          <t>COMPTAGE</t>
        </is>
      </c>
      <c r="F86" s="12" t="n">
        <v>2026</v>
      </c>
      <c r="G86" s="12" t="inlineStr">
        <is>
          <t>EC SIMPLE</t>
        </is>
      </c>
      <c r="H86" s="12" t="n">
        <v>2</v>
      </c>
      <c r="I86" s="12" t="inlineStr">
        <is>
          <t>EC Simple</t>
        </is>
      </c>
      <c r="J86" s="12" t="inlineStr">
        <is>
          <t>G-I-JJJ10</t>
        </is>
      </c>
      <c r="K86" s="12" t="inlineStr">
        <is>
          <t>G-I-JJJ10-INS03</t>
        </is>
      </c>
      <c r="L86" s="12" t="inlineStr">
        <is>
          <t>Code Emprise</t>
        </is>
      </c>
      <c r="M86" s="12" t="inlineStr">
        <is>
          <t>G-I-JJJ10</t>
        </is>
      </c>
      <c r="N86" s="12" t="b">
        <v>0</v>
      </c>
      <c r="O86" s="12" t="n"/>
      <c r="P86" s="12" t="n">
        <v>86</v>
      </c>
      <c r="Q86" s="12" t="n">
        <v>0</v>
      </c>
      <c r="R86" s="12" t="inlineStr">
        <is>
          <t>DEMO_PDM.xlsx</t>
        </is>
      </c>
      <c r="S86" s="24" t="n">
        <v>46309.625</v>
      </c>
    </row>
    <row r="87">
      <c r="A87" s="12" t="inlineStr">
        <is>
          <t>VRS</t>
        </is>
      </c>
      <c r="B87" s="12" t="inlineStr">
        <is>
          <t>AA1</t>
        </is>
      </c>
      <c r="C87" s="12" t="inlineStr">
        <is>
          <t>G-I-JJJ10</t>
        </is>
      </c>
      <c r="D87" s="12" t="inlineStr">
        <is>
          <t>Poste fictif Kappa</t>
        </is>
      </c>
      <c r="E87" s="12" t="inlineStr">
        <is>
          <t>COMPTAGE</t>
        </is>
      </c>
      <c r="F87" s="12" t="n">
        <v>2027</v>
      </c>
      <c r="G87" s="12" t="inlineStr">
        <is>
          <t>PIS</t>
        </is>
      </c>
      <c r="H87" s="12" t="n">
        <v>1</v>
      </c>
      <c r="I87" s="12" t="inlineStr">
        <is>
          <t>PIS</t>
        </is>
      </c>
      <c r="J87" s="12" t="inlineStr">
        <is>
          <t>G-I-JJJ10</t>
        </is>
      </c>
      <c r="K87" s="12" t="inlineStr">
        <is>
          <t>G-I-JJJ10-INS03</t>
        </is>
      </c>
      <c r="L87" s="12" t="inlineStr">
        <is>
          <t>Code Emprise</t>
        </is>
      </c>
      <c r="M87" s="12" t="inlineStr">
        <is>
          <t>G-I-JJJ10</t>
        </is>
      </c>
      <c r="N87" s="12" t="b">
        <v>0</v>
      </c>
      <c r="O87" s="12" t="n"/>
      <c r="P87" s="12" t="n">
        <v>87</v>
      </c>
      <c r="Q87" s="12" t="n">
        <v>0</v>
      </c>
      <c r="R87" s="12" t="inlineStr">
        <is>
          <t>DEMO_PDM.xlsx</t>
        </is>
      </c>
      <c r="S87" s="24" t="n">
        <v>46309.625</v>
      </c>
    </row>
    <row r="88">
      <c r="A88" s="12" t="inlineStr">
        <is>
          <t>VRS</t>
        </is>
      </c>
      <c r="B88" s="12" t="inlineStr">
        <is>
          <t>AA1</t>
        </is>
      </c>
      <c r="C88" s="12" t="inlineStr">
        <is>
          <t>G-I-JJJ10</t>
        </is>
      </c>
      <c r="D88" s="12" t="inlineStr">
        <is>
          <t>Poste fictif Kappa</t>
        </is>
      </c>
      <c r="E88" s="12" t="inlineStr">
        <is>
          <t>COMPTAGE</t>
        </is>
      </c>
      <c r="F88" s="12" t="n">
        <v>2028</v>
      </c>
      <c r="G88" s="12" t="inlineStr">
        <is>
          <t>PIS</t>
        </is>
      </c>
      <c r="H88" s="12" t="n">
        <v>1</v>
      </c>
      <c r="I88" s="12" t="inlineStr">
        <is>
          <t>PIS</t>
        </is>
      </c>
      <c r="J88" s="12" t="inlineStr">
        <is>
          <t>G-I-JJJ10</t>
        </is>
      </c>
      <c r="K88" s="12" t="inlineStr">
        <is>
          <t>G-I-JJJ10-INS03</t>
        </is>
      </c>
      <c r="L88" s="12" t="inlineStr">
        <is>
          <t>Code Emprise</t>
        </is>
      </c>
      <c r="M88" s="12" t="inlineStr">
        <is>
          <t>G-I-JJJ10</t>
        </is>
      </c>
      <c r="N88" s="12" t="b">
        <v>0</v>
      </c>
      <c r="O88" s="12" t="n"/>
      <c r="P88" s="12" t="n">
        <v>88</v>
      </c>
      <c r="Q88" s="12" t="n">
        <v>0</v>
      </c>
      <c r="R88" s="12" t="inlineStr">
        <is>
          <t>DEMO_PDM.xlsx</t>
        </is>
      </c>
      <c r="S88" s="24" t="n">
        <v>46309.625</v>
      </c>
    </row>
    <row r="89">
      <c r="A89" s="12" t="inlineStr">
        <is>
          <t>VRS</t>
        </is>
      </c>
      <c r="B89" s="12" t="inlineStr">
        <is>
          <t>AA1</t>
        </is>
      </c>
      <c r="C89" s="12" t="inlineStr">
        <is>
          <t>G-I-JJJ10</t>
        </is>
      </c>
      <c r="D89" s="12" t="inlineStr">
        <is>
          <t>Poste fictif Kappa</t>
        </is>
      </c>
      <c r="E89" s="12" t="inlineStr">
        <is>
          <t>COMPTAGE</t>
        </is>
      </c>
      <c r="F89" s="12" t="n">
        <v>2029</v>
      </c>
      <c r="G89" s="12" t="inlineStr">
        <is>
          <t>PIS</t>
        </is>
      </c>
      <c r="H89" s="12" t="n">
        <v>1</v>
      </c>
      <c r="I89" s="12" t="inlineStr">
        <is>
          <t>PIS</t>
        </is>
      </c>
      <c r="J89" s="12" t="inlineStr">
        <is>
          <t>G-I-JJJ10</t>
        </is>
      </c>
      <c r="K89" s="12" t="inlineStr">
        <is>
          <t>G-I-JJJ10-INS03</t>
        </is>
      </c>
      <c r="L89" s="12" t="inlineStr">
        <is>
          <t>Code Emprise</t>
        </is>
      </c>
      <c r="M89" s="12" t="inlineStr">
        <is>
          <t>G-I-JJJ10</t>
        </is>
      </c>
      <c r="N89" s="12" t="b">
        <v>0</v>
      </c>
      <c r="O89" s="12" t="n"/>
      <c r="P89" s="12" t="n">
        <v>89</v>
      </c>
      <c r="Q89" s="12" t="n">
        <v>0</v>
      </c>
      <c r="R89" s="12" t="inlineStr">
        <is>
          <t>DEMO_PDM.xlsx</t>
        </is>
      </c>
      <c r="S89" s="24" t="n">
        <v>46309.625</v>
      </c>
    </row>
    <row r="90">
      <c r="A90" s="12" t="inlineStr">
        <is>
          <t>VRS</t>
        </is>
      </c>
      <c r="B90" s="12" t="inlineStr">
        <is>
          <t>AA1</t>
        </is>
      </c>
      <c r="C90" s="12" t="inlineStr">
        <is>
          <t>G-I-JJJ10</t>
        </is>
      </c>
      <c r="D90" s="12" t="inlineStr">
        <is>
          <t>Poste fictif Kappa</t>
        </is>
      </c>
      <c r="E90" s="12" t="inlineStr">
        <is>
          <t>COMPTAGE</t>
        </is>
      </c>
      <c r="F90" s="12" t="n">
        <v>2029</v>
      </c>
      <c r="G90" s="12" t="inlineStr">
        <is>
          <t>EC SIMPLE</t>
        </is>
      </c>
      <c r="H90" s="12" t="n">
        <v>2</v>
      </c>
      <c r="I90" s="12" t="inlineStr">
        <is>
          <t>EC Simple</t>
        </is>
      </c>
      <c r="J90" s="12" t="inlineStr">
        <is>
          <t>G-I-JJJ10</t>
        </is>
      </c>
      <c r="K90" s="12" t="inlineStr">
        <is>
          <t>G-I-JJJ10-INS03</t>
        </is>
      </c>
      <c r="L90" s="12" t="inlineStr">
        <is>
          <t>Code Emprise</t>
        </is>
      </c>
      <c r="M90" s="12" t="inlineStr">
        <is>
          <t>G-I-JJJ10</t>
        </is>
      </c>
      <c r="N90" s="12" t="b">
        <v>0</v>
      </c>
      <c r="O90" s="12" t="n"/>
      <c r="P90" s="12" t="n">
        <v>90</v>
      </c>
      <c r="Q90" s="12" t="n">
        <v>0</v>
      </c>
      <c r="R90" s="12" t="inlineStr">
        <is>
          <t>DEMO_PDM.xlsx</t>
        </is>
      </c>
      <c r="S90" s="24" t="n">
        <v>46309.625</v>
      </c>
    </row>
    <row r="91">
      <c r="A91" s="12" t="inlineStr">
        <is>
          <t>VRS</t>
        </is>
      </c>
      <c r="B91" s="12" t="inlineStr">
        <is>
          <t>AA1</t>
        </is>
      </c>
      <c r="C91" s="12" t="inlineStr">
        <is>
          <t>G-I-JJJ10</t>
        </is>
      </c>
      <c r="D91" s="12" t="inlineStr">
        <is>
          <t>Poste fictif Kappa</t>
        </is>
      </c>
      <c r="E91" s="12" t="inlineStr">
        <is>
          <t>COMPTAGE</t>
        </is>
      </c>
      <c r="F91" s="12" t="n">
        <v>2029</v>
      </c>
      <c r="G91" s="12" t="inlineStr">
        <is>
          <t>REVISION</t>
        </is>
      </c>
      <c r="H91" s="12" t="n">
        <v>4</v>
      </c>
      <c r="I91" s="12" t="inlineStr">
        <is>
          <t>Révision</t>
        </is>
      </c>
      <c r="J91" s="12" t="inlineStr">
        <is>
          <t>G-I-JJJ10</t>
        </is>
      </c>
      <c r="K91" s="12" t="inlineStr">
        <is>
          <t>G-I-JJJ10-INS03</t>
        </is>
      </c>
      <c r="L91" s="12" t="inlineStr">
        <is>
          <t>Code Emprise</t>
        </is>
      </c>
      <c r="M91" s="12" t="inlineStr">
        <is>
          <t>G-I-JJJ10</t>
        </is>
      </c>
      <c r="N91" s="12" t="b">
        <v>0</v>
      </c>
      <c r="O91" s="12" t="n"/>
      <c r="P91" s="12" t="n">
        <v>91</v>
      </c>
      <c r="Q91" s="12" t="n">
        <v>0</v>
      </c>
      <c r="R91" s="12" t="inlineStr">
        <is>
          <t>DEMO_PDM.xlsx</t>
        </is>
      </c>
      <c r="S91" s="24" t="n">
        <v>46309.625</v>
      </c>
    </row>
    <row r="92">
      <c r="A92" s="12" t="inlineStr">
        <is>
          <t>VRS</t>
        </is>
      </c>
      <c r="B92" s="12" t="inlineStr">
        <is>
          <t>AA1</t>
        </is>
      </c>
      <c r="C92" s="12" t="inlineStr">
        <is>
          <t>G-I-JJJ10</t>
        </is>
      </c>
      <c r="D92" s="12" t="inlineStr">
        <is>
          <t>Poste fictif Kappa</t>
        </is>
      </c>
      <c r="E92" s="12" t="inlineStr">
        <is>
          <t>COMPTAGE</t>
        </is>
      </c>
      <c r="F92" s="12" t="n">
        <v>2030</v>
      </c>
      <c r="G92" s="12" t="inlineStr">
        <is>
          <t>PIS</t>
        </is>
      </c>
      <c r="H92" s="12" t="n">
        <v>1</v>
      </c>
      <c r="I92" s="12" t="inlineStr">
        <is>
          <t>PIS</t>
        </is>
      </c>
      <c r="J92" s="12" t="inlineStr">
        <is>
          <t>G-I-JJJ10</t>
        </is>
      </c>
      <c r="K92" s="12" t="inlineStr">
        <is>
          <t>G-I-JJJ10-INS03</t>
        </is>
      </c>
      <c r="L92" s="12" t="inlineStr">
        <is>
          <t>Code Emprise</t>
        </is>
      </c>
      <c r="M92" s="12" t="inlineStr">
        <is>
          <t>G-I-JJJ10</t>
        </is>
      </c>
      <c r="N92" s="12" t="b">
        <v>0</v>
      </c>
      <c r="O92" s="12" t="n"/>
      <c r="P92" s="12" t="n">
        <v>92</v>
      </c>
      <c r="Q92" s="12" t="n">
        <v>0</v>
      </c>
      <c r="R92" s="12" t="inlineStr">
        <is>
          <t>DEMO_PDM.xlsx</t>
        </is>
      </c>
      <c r="S92" s="24" t="n">
        <v>46309.625</v>
      </c>
    </row>
    <row r="93">
      <c r="A93" s="12" t="inlineStr">
        <is>
          <t>VRS</t>
        </is>
      </c>
      <c r="B93" s="12" t="inlineStr">
        <is>
          <t>AA1</t>
        </is>
      </c>
      <c r="C93" s="12" t="inlineStr">
        <is>
          <t>G-I-JJJ10</t>
        </is>
      </c>
      <c r="D93" s="12" t="inlineStr">
        <is>
          <t>Poste fictif Kappa</t>
        </is>
      </c>
      <c r="E93" s="12" t="inlineStr">
        <is>
          <t>COMPTAGE</t>
        </is>
      </c>
      <c r="F93" s="12" t="n">
        <v>2031</v>
      </c>
      <c r="G93" s="12" t="inlineStr">
        <is>
          <t>PIS</t>
        </is>
      </c>
      <c r="H93" s="12" t="n">
        <v>1</v>
      </c>
      <c r="I93" s="12" t="inlineStr">
        <is>
          <t>PIS</t>
        </is>
      </c>
      <c r="J93" s="12" t="inlineStr">
        <is>
          <t>G-I-JJJ10</t>
        </is>
      </c>
      <c r="K93" s="12" t="inlineStr">
        <is>
          <t>G-I-JJJ10-INS03</t>
        </is>
      </c>
      <c r="L93" s="12" t="inlineStr">
        <is>
          <t>Code Emprise</t>
        </is>
      </c>
      <c r="M93" s="12" t="inlineStr">
        <is>
          <t>G-I-JJJ10</t>
        </is>
      </c>
      <c r="N93" s="12" t="b">
        <v>0</v>
      </c>
      <c r="O93" s="12" t="n"/>
      <c r="P93" s="12" t="n">
        <v>93</v>
      </c>
      <c r="Q93" s="12" t="n">
        <v>0</v>
      </c>
      <c r="R93" s="12" t="inlineStr">
        <is>
          <t>DEMO_PDM.xlsx</t>
        </is>
      </c>
      <c r="S93" s="24" t="n">
        <v>46309.625</v>
      </c>
    </row>
    <row r="94">
      <c r="A94" s="12" t="inlineStr">
        <is>
          <t>VRS</t>
        </is>
      </c>
      <c r="B94" s="12" t="inlineStr">
        <is>
          <t>AA1</t>
        </is>
      </c>
      <c r="C94" s="12" t="inlineStr">
        <is>
          <t>G-I-JJJ10</t>
        </is>
      </c>
      <c r="D94" s="12" t="inlineStr">
        <is>
          <t>Poste fictif Kappa</t>
        </is>
      </c>
      <c r="E94" s="12" t="inlineStr">
        <is>
          <t>COMPTAGE</t>
        </is>
      </c>
      <c r="F94" s="12" t="n">
        <v>2032</v>
      </c>
      <c r="G94" s="12" t="inlineStr">
        <is>
          <t>PIS</t>
        </is>
      </c>
      <c r="H94" s="12" t="n">
        <v>1</v>
      </c>
      <c r="I94" s="12" t="inlineStr">
        <is>
          <t>PIS</t>
        </is>
      </c>
      <c r="J94" s="12" t="inlineStr">
        <is>
          <t>G-I-JJJ10</t>
        </is>
      </c>
      <c r="K94" s="12" t="inlineStr">
        <is>
          <t>G-I-JJJ10-INS03</t>
        </is>
      </c>
      <c r="L94" s="12" t="inlineStr">
        <is>
          <t>Code Emprise</t>
        </is>
      </c>
      <c r="M94" s="12" t="inlineStr">
        <is>
          <t>G-I-JJJ10</t>
        </is>
      </c>
      <c r="N94" s="12" t="b">
        <v>0</v>
      </c>
      <c r="O94" s="12" t="n"/>
      <c r="P94" s="12" t="n">
        <v>94</v>
      </c>
      <c r="Q94" s="12" t="n">
        <v>0</v>
      </c>
      <c r="R94" s="12" t="inlineStr">
        <is>
          <t>DEMO_PDM.xlsx</t>
        </is>
      </c>
      <c r="S94" s="24" t="n">
        <v>46309.625</v>
      </c>
    </row>
    <row r="95">
      <c r="A95" s="12" t="inlineStr">
        <is>
          <t>VRS</t>
        </is>
      </c>
      <c r="B95" s="12" t="inlineStr">
        <is>
          <t>AA1</t>
        </is>
      </c>
      <c r="C95" s="12" t="inlineStr">
        <is>
          <t>G-I-JJJ10</t>
        </is>
      </c>
      <c r="D95" s="12" t="inlineStr">
        <is>
          <t>Poste fictif Kappa</t>
        </is>
      </c>
      <c r="E95" s="12" t="inlineStr">
        <is>
          <t>COMPTAGE</t>
        </is>
      </c>
      <c r="F95" s="12" t="n">
        <v>2032</v>
      </c>
      <c r="G95" s="12" t="inlineStr">
        <is>
          <t>EC SIMPLE</t>
        </is>
      </c>
      <c r="H95" s="12" t="n">
        <v>2</v>
      </c>
      <c r="I95" s="12" t="inlineStr">
        <is>
          <t>EC Simple</t>
        </is>
      </c>
      <c r="J95" s="12" t="inlineStr">
        <is>
          <t>G-I-JJJ10</t>
        </is>
      </c>
      <c r="K95" s="12" t="inlineStr">
        <is>
          <t>G-I-JJJ10-INS03</t>
        </is>
      </c>
      <c r="L95" s="12" t="inlineStr">
        <is>
          <t>Code Emprise</t>
        </is>
      </c>
      <c r="M95" s="12" t="inlineStr">
        <is>
          <t>G-I-JJJ10</t>
        </is>
      </c>
      <c r="N95" s="12" t="b">
        <v>0</v>
      </c>
      <c r="O95" s="12" t="n"/>
      <c r="P95" s="12" t="n">
        <v>95</v>
      </c>
      <c r="Q95" s="12" t="n">
        <v>0</v>
      </c>
      <c r="R95" s="12" t="inlineStr">
        <is>
          <t>DEMO_PDM.xlsx</t>
        </is>
      </c>
      <c r="S95" s="24" t="n">
        <v>46309.625</v>
      </c>
    </row>
    <row r="96">
      <c r="A96" s="12" t="inlineStr">
        <is>
          <t>VRS</t>
        </is>
      </c>
      <c r="B96" s="12" t="inlineStr">
        <is>
          <t>AA3</t>
        </is>
      </c>
      <c r="C96" s="12" t="inlineStr">
        <is>
          <t>G-I-KKK11</t>
        </is>
      </c>
      <c r="D96" s="12" t="inlineStr">
        <is>
          <t>Poste fictif Lambda</t>
        </is>
      </c>
      <c r="E96" s="12" t="inlineStr">
        <is>
          <t>COUPURE</t>
        </is>
      </c>
      <c r="F96" s="12" t="n">
        <v>2026</v>
      </c>
      <c r="G96" s="12" t="inlineStr">
        <is>
          <t>PIS</t>
        </is>
      </c>
      <c r="H96" s="12" t="n">
        <v>1</v>
      </c>
      <c r="I96" s="12" t="inlineStr">
        <is>
          <t>PIS</t>
        </is>
      </c>
      <c r="J96" s="12" t="inlineStr">
        <is>
          <t>G-I-KKK11</t>
        </is>
      </c>
      <c r="K96" s="12" t="inlineStr">
        <is>
          <t>G-I-KKK11-INS04</t>
        </is>
      </c>
      <c r="L96" s="12" t="inlineStr">
        <is>
          <t>Code Emprise</t>
        </is>
      </c>
      <c r="M96" s="12" t="inlineStr">
        <is>
          <t>G-I-KKK11</t>
        </is>
      </c>
      <c r="N96" s="12" t="b">
        <v>0</v>
      </c>
      <c r="O96" s="12" t="n"/>
      <c r="P96" s="12" t="n">
        <v>96</v>
      </c>
      <c r="Q96" s="12" t="n">
        <v>0</v>
      </c>
      <c r="R96" s="12" t="inlineStr">
        <is>
          <t>DEMO_PDM.xlsx</t>
        </is>
      </c>
      <c r="S96" s="24" t="n">
        <v>46309.625</v>
      </c>
    </row>
    <row r="97">
      <c r="A97" s="12" t="inlineStr">
        <is>
          <t>VRS</t>
        </is>
      </c>
      <c r="B97" s="12" t="inlineStr">
        <is>
          <t>AA3</t>
        </is>
      </c>
      <c r="C97" s="12" t="inlineStr">
        <is>
          <t>G-I-KKK11</t>
        </is>
      </c>
      <c r="D97" s="12" t="inlineStr">
        <is>
          <t>Poste fictif Lambda</t>
        </is>
      </c>
      <c r="E97" s="12" t="inlineStr">
        <is>
          <t>COUPURE</t>
        </is>
      </c>
      <c r="F97" s="12" t="n">
        <v>2027</v>
      </c>
      <c r="G97" s="12" t="inlineStr">
        <is>
          <t>PIS</t>
        </is>
      </c>
      <c r="H97" s="12" t="n">
        <v>1</v>
      </c>
      <c r="I97" s="12" t="inlineStr">
        <is>
          <t>PIS</t>
        </is>
      </c>
      <c r="J97" s="12" t="inlineStr">
        <is>
          <t>G-I-KKK11</t>
        </is>
      </c>
      <c r="K97" s="12" t="inlineStr">
        <is>
          <t>G-I-KKK11-INS04</t>
        </is>
      </c>
      <c r="L97" s="12" t="inlineStr">
        <is>
          <t>Code Emprise</t>
        </is>
      </c>
      <c r="M97" s="12" t="inlineStr">
        <is>
          <t>G-I-KKK11</t>
        </is>
      </c>
      <c r="N97" s="12" t="b">
        <v>0</v>
      </c>
      <c r="O97" s="12" t="n"/>
      <c r="P97" s="12" t="n">
        <v>97</v>
      </c>
      <c r="Q97" s="12" t="n">
        <v>0</v>
      </c>
      <c r="R97" s="12" t="inlineStr">
        <is>
          <t>DEMO_PDM.xlsx</t>
        </is>
      </c>
      <c r="S97" s="24" t="n">
        <v>46309.625</v>
      </c>
    </row>
    <row r="98">
      <c r="A98" s="12" t="inlineStr">
        <is>
          <t>VRS</t>
        </is>
      </c>
      <c r="B98" s="12" t="inlineStr">
        <is>
          <t>AA3</t>
        </is>
      </c>
      <c r="C98" s="12" t="inlineStr">
        <is>
          <t>G-I-KKK11</t>
        </is>
      </c>
      <c r="D98" s="12" t="inlineStr">
        <is>
          <t>Poste fictif Lambda</t>
        </is>
      </c>
      <c r="E98" s="12" t="inlineStr">
        <is>
          <t>COUPURE</t>
        </is>
      </c>
      <c r="F98" s="12" t="n">
        <v>2028</v>
      </c>
      <c r="G98" s="12" t="inlineStr">
        <is>
          <t>PIS</t>
        </is>
      </c>
      <c r="H98" s="12" t="n">
        <v>1</v>
      </c>
      <c r="I98" s="12" t="inlineStr">
        <is>
          <t>PIS</t>
        </is>
      </c>
      <c r="J98" s="12" t="inlineStr">
        <is>
          <t>G-I-KKK11</t>
        </is>
      </c>
      <c r="K98" s="12" t="inlineStr">
        <is>
          <t>G-I-KKK11-INS04</t>
        </is>
      </c>
      <c r="L98" s="12" t="inlineStr">
        <is>
          <t>Code Emprise</t>
        </is>
      </c>
      <c r="M98" s="12" t="inlineStr">
        <is>
          <t>G-I-KKK11</t>
        </is>
      </c>
      <c r="N98" s="12" t="b">
        <v>0</v>
      </c>
      <c r="O98" s="12" t="n"/>
      <c r="P98" s="12" t="n">
        <v>98</v>
      </c>
      <c r="Q98" s="12" t="n">
        <v>0</v>
      </c>
      <c r="R98" s="12" t="inlineStr">
        <is>
          <t>DEMO_PDM.xlsx</t>
        </is>
      </c>
      <c r="S98" s="24" t="n">
        <v>46309.625</v>
      </c>
    </row>
    <row r="99">
      <c r="A99" s="12" t="inlineStr">
        <is>
          <t>VRS</t>
        </is>
      </c>
      <c r="B99" s="12" t="inlineStr">
        <is>
          <t>AA3</t>
        </is>
      </c>
      <c r="C99" s="12" t="inlineStr">
        <is>
          <t>G-I-KKK11</t>
        </is>
      </c>
      <c r="D99" s="12" t="inlineStr">
        <is>
          <t>Poste fictif Lambda</t>
        </is>
      </c>
      <c r="E99" s="12" t="inlineStr">
        <is>
          <t>COUPURE</t>
        </is>
      </c>
      <c r="F99" s="12" t="n">
        <v>2028</v>
      </c>
      <c r="G99" s="12" t="inlineStr">
        <is>
          <t>EC SIMPLE</t>
        </is>
      </c>
      <c r="H99" s="12" t="n">
        <v>2</v>
      </c>
      <c r="I99" s="12" t="inlineStr">
        <is>
          <t>EC Simple</t>
        </is>
      </c>
      <c r="J99" s="12" t="inlineStr">
        <is>
          <t>G-I-KKK11</t>
        </is>
      </c>
      <c r="K99" s="12" t="inlineStr">
        <is>
          <t>G-I-KKK11-INS04</t>
        </is>
      </c>
      <c r="L99" s="12" t="inlineStr">
        <is>
          <t>Code Emprise</t>
        </is>
      </c>
      <c r="M99" s="12" t="inlineStr">
        <is>
          <t>G-I-KKK11</t>
        </is>
      </c>
      <c r="N99" s="12" t="b">
        <v>0</v>
      </c>
      <c r="O99" s="12" t="n"/>
      <c r="P99" s="12" t="n">
        <v>99</v>
      </c>
      <c r="Q99" s="12" t="n">
        <v>0</v>
      </c>
      <c r="R99" s="12" t="inlineStr">
        <is>
          <t>DEMO_PDM.xlsx</t>
        </is>
      </c>
      <c r="S99" s="24" t="n">
        <v>46309.625</v>
      </c>
    </row>
    <row r="100">
      <c r="A100" s="12" t="inlineStr">
        <is>
          <t>VRS</t>
        </is>
      </c>
      <c r="B100" s="12" t="inlineStr">
        <is>
          <t>AA3</t>
        </is>
      </c>
      <c r="C100" s="12" t="inlineStr">
        <is>
          <t>G-I-KKK11</t>
        </is>
      </c>
      <c r="D100" s="12" t="inlineStr">
        <is>
          <t>Poste fictif Lambda</t>
        </is>
      </c>
      <c r="E100" s="12" t="inlineStr">
        <is>
          <t>COUPURE</t>
        </is>
      </c>
      <c r="F100" s="12" t="n">
        <v>2029</v>
      </c>
      <c r="G100" s="12" t="inlineStr">
        <is>
          <t>PIS</t>
        </is>
      </c>
      <c r="H100" s="12" t="n">
        <v>1</v>
      </c>
      <c r="I100" s="12" t="inlineStr">
        <is>
          <t>PIS</t>
        </is>
      </c>
      <c r="J100" s="12" t="inlineStr">
        <is>
          <t>G-I-KKK11</t>
        </is>
      </c>
      <c r="K100" s="12" t="inlineStr">
        <is>
          <t>G-I-KKK11-INS04</t>
        </is>
      </c>
      <c r="L100" s="12" t="inlineStr">
        <is>
          <t>Code Emprise</t>
        </is>
      </c>
      <c r="M100" s="12" t="inlineStr">
        <is>
          <t>G-I-KKK11</t>
        </is>
      </c>
      <c r="N100" s="12" t="b">
        <v>0</v>
      </c>
      <c r="O100" s="12" t="n"/>
      <c r="P100" s="12" t="n">
        <v>100</v>
      </c>
      <c r="Q100" s="12" t="n">
        <v>0</v>
      </c>
      <c r="R100" s="12" t="inlineStr">
        <is>
          <t>DEMO_PDM.xlsx</t>
        </is>
      </c>
      <c r="S100" s="24" t="n">
        <v>46309.625</v>
      </c>
    </row>
    <row r="101">
      <c r="A101" s="12" t="inlineStr">
        <is>
          <t>VRS</t>
        </is>
      </c>
      <c r="B101" s="12" t="inlineStr">
        <is>
          <t>AA3</t>
        </is>
      </c>
      <c r="C101" s="12" t="inlineStr">
        <is>
          <t>G-I-KKK11</t>
        </is>
      </c>
      <c r="D101" s="12" t="inlineStr">
        <is>
          <t>Poste fictif Lambda</t>
        </is>
      </c>
      <c r="E101" s="12" t="inlineStr">
        <is>
          <t>COUPURE</t>
        </is>
      </c>
      <c r="F101" s="12" t="n">
        <v>2030</v>
      </c>
      <c r="G101" s="12" t="inlineStr">
        <is>
          <t>PIS</t>
        </is>
      </c>
      <c r="H101" s="12" t="n">
        <v>1</v>
      </c>
      <c r="I101" s="12" t="inlineStr">
        <is>
          <t>PIS</t>
        </is>
      </c>
      <c r="J101" s="12" t="inlineStr">
        <is>
          <t>G-I-KKK11</t>
        </is>
      </c>
      <c r="K101" s="12" t="inlineStr">
        <is>
          <t>G-I-KKK11-INS04</t>
        </is>
      </c>
      <c r="L101" s="12" t="inlineStr">
        <is>
          <t>Code Emprise</t>
        </is>
      </c>
      <c r="M101" s="12" t="inlineStr">
        <is>
          <t>G-I-KKK11</t>
        </is>
      </c>
      <c r="N101" s="12" t="b">
        <v>0</v>
      </c>
      <c r="O101" s="12" t="n"/>
      <c r="P101" s="12" t="n">
        <v>101</v>
      </c>
      <c r="Q101" s="12" t="n">
        <v>0</v>
      </c>
      <c r="R101" s="12" t="inlineStr">
        <is>
          <t>DEMO_PDM.xlsx</t>
        </is>
      </c>
      <c r="S101" s="24" t="n">
        <v>46309.625</v>
      </c>
    </row>
    <row r="102">
      <c r="A102" s="12" t="inlineStr">
        <is>
          <t>VRS</t>
        </is>
      </c>
      <c r="B102" s="12" t="inlineStr">
        <is>
          <t>AA3</t>
        </is>
      </c>
      <c r="C102" s="12" t="inlineStr">
        <is>
          <t>G-I-KKK11</t>
        </is>
      </c>
      <c r="D102" s="12" t="inlineStr">
        <is>
          <t>Poste fictif Lambda</t>
        </is>
      </c>
      <c r="E102" s="12" t="inlineStr">
        <is>
          <t>COUPURE</t>
        </is>
      </c>
      <c r="F102" s="12" t="n">
        <v>2031</v>
      </c>
      <c r="G102" s="12" t="inlineStr">
        <is>
          <t>PIS</t>
        </is>
      </c>
      <c r="H102" s="12" t="n">
        <v>1</v>
      </c>
      <c r="I102" s="12" t="inlineStr">
        <is>
          <t>PIS</t>
        </is>
      </c>
      <c r="J102" s="12" t="inlineStr">
        <is>
          <t>G-I-KKK11</t>
        </is>
      </c>
      <c r="K102" s="12" t="inlineStr">
        <is>
          <t>G-I-KKK11-INS04</t>
        </is>
      </c>
      <c r="L102" s="12" t="inlineStr">
        <is>
          <t>Code Emprise</t>
        </is>
      </c>
      <c r="M102" s="12" t="inlineStr">
        <is>
          <t>G-I-KKK11</t>
        </is>
      </c>
      <c r="N102" s="12" t="b">
        <v>0</v>
      </c>
      <c r="O102" s="12" t="n"/>
      <c r="P102" s="12" t="n">
        <v>102</v>
      </c>
      <c r="Q102" s="12" t="n">
        <v>0</v>
      </c>
      <c r="R102" s="12" t="inlineStr">
        <is>
          <t>DEMO_PDM.xlsx</t>
        </is>
      </c>
      <c r="S102" s="24" t="n">
        <v>46309.625</v>
      </c>
    </row>
    <row r="103">
      <c r="A103" s="12" t="inlineStr">
        <is>
          <t>VRS</t>
        </is>
      </c>
      <c r="B103" s="12" t="inlineStr">
        <is>
          <t>AA3</t>
        </is>
      </c>
      <c r="C103" s="12" t="inlineStr">
        <is>
          <t>G-I-KKK11</t>
        </is>
      </c>
      <c r="D103" s="12" t="inlineStr">
        <is>
          <t>Poste fictif Lambda</t>
        </is>
      </c>
      <c r="E103" s="12" t="inlineStr">
        <is>
          <t>COUPURE</t>
        </is>
      </c>
      <c r="F103" s="12" t="n">
        <v>2031</v>
      </c>
      <c r="G103" s="12" t="inlineStr">
        <is>
          <t>EC SIMPLE</t>
        </is>
      </c>
      <c r="H103" s="12" t="n">
        <v>2</v>
      </c>
      <c r="I103" s="12" t="inlineStr">
        <is>
          <t>EC Simple</t>
        </is>
      </c>
      <c r="J103" s="12" t="inlineStr">
        <is>
          <t>G-I-KKK11</t>
        </is>
      </c>
      <c r="K103" s="12" t="inlineStr">
        <is>
          <t>G-I-KKK11-INS04</t>
        </is>
      </c>
      <c r="L103" s="12" t="inlineStr">
        <is>
          <t>Code Emprise</t>
        </is>
      </c>
      <c r="M103" s="12" t="inlineStr">
        <is>
          <t>G-I-KKK11</t>
        </is>
      </c>
      <c r="N103" s="12" t="b">
        <v>0</v>
      </c>
      <c r="O103" s="12" t="n"/>
      <c r="P103" s="12" t="n">
        <v>103</v>
      </c>
      <c r="Q103" s="12" t="n">
        <v>0</v>
      </c>
      <c r="R103" s="12" t="inlineStr">
        <is>
          <t>DEMO_PDM.xlsx</t>
        </is>
      </c>
      <c r="S103" s="24" t="n">
        <v>46309.625</v>
      </c>
    </row>
    <row r="104">
      <c r="A104" s="12" t="inlineStr">
        <is>
          <t>VRS</t>
        </is>
      </c>
      <c r="B104" s="12" t="inlineStr">
        <is>
          <t>AA3</t>
        </is>
      </c>
      <c r="C104" s="12" t="inlineStr">
        <is>
          <t>G-I-KKK11</t>
        </is>
      </c>
      <c r="D104" s="12" t="inlineStr">
        <is>
          <t>Poste fictif Lambda</t>
        </is>
      </c>
      <c r="E104" s="12" t="inlineStr">
        <is>
          <t>COUPURE</t>
        </is>
      </c>
      <c r="F104" s="12" t="n">
        <v>2031</v>
      </c>
      <c r="G104" s="12" t="inlineStr">
        <is>
          <t>REVISION</t>
        </is>
      </c>
      <c r="H104" s="12" t="n">
        <v>4</v>
      </c>
      <c r="I104" s="12" t="inlineStr">
        <is>
          <t>Révision</t>
        </is>
      </c>
      <c r="J104" s="12" t="inlineStr">
        <is>
          <t>G-I-KKK11</t>
        </is>
      </c>
      <c r="K104" s="12" t="inlineStr">
        <is>
          <t>G-I-KKK11-INS04</t>
        </is>
      </c>
      <c r="L104" s="12" t="inlineStr">
        <is>
          <t>Code Emprise</t>
        </is>
      </c>
      <c r="M104" s="12" t="inlineStr">
        <is>
          <t>G-I-KKK11</t>
        </is>
      </c>
      <c r="N104" s="12" t="b">
        <v>0</v>
      </c>
      <c r="O104" s="12" t="n"/>
      <c r="P104" s="12" t="n">
        <v>104</v>
      </c>
      <c r="Q104" s="12" t="n">
        <v>0</v>
      </c>
      <c r="R104" s="12" t="inlineStr">
        <is>
          <t>DEMO_PDM.xlsx</t>
        </is>
      </c>
      <c r="S104" s="24" t="n">
        <v>46309.625</v>
      </c>
    </row>
    <row r="105">
      <c r="A105" s="12" t="inlineStr">
        <is>
          <t>VRS</t>
        </is>
      </c>
      <c r="B105" s="12" t="inlineStr">
        <is>
          <t>AA3</t>
        </is>
      </c>
      <c r="C105" s="12" t="inlineStr">
        <is>
          <t>G-I-KKK11</t>
        </is>
      </c>
      <c r="D105" s="12" t="inlineStr">
        <is>
          <t>Poste fictif Lambda</t>
        </is>
      </c>
      <c r="E105" s="12" t="inlineStr">
        <is>
          <t>COUPURE</t>
        </is>
      </c>
      <c r="F105" s="12" t="n">
        <v>2032</v>
      </c>
      <c r="G105" s="12" t="inlineStr">
        <is>
          <t>PIS</t>
        </is>
      </c>
      <c r="H105" s="12" t="n">
        <v>1</v>
      </c>
      <c r="I105" s="12" t="inlineStr">
        <is>
          <t>PIS</t>
        </is>
      </c>
      <c r="J105" s="12" t="inlineStr">
        <is>
          <t>G-I-KKK11</t>
        </is>
      </c>
      <c r="K105" s="12" t="inlineStr">
        <is>
          <t>G-I-KKK11-INS04</t>
        </is>
      </c>
      <c r="L105" s="12" t="inlineStr">
        <is>
          <t>Code Emprise</t>
        </is>
      </c>
      <c r="M105" s="12" t="inlineStr">
        <is>
          <t>G-I-KKK11</t>
        </is>
      </c>
      <c r="N105" s="12" t="b">
        <v>0</v>
      </c>
      <c r="O105" s="12" t="n"/>
      <c r="P105" s="12" t="n">
        <v>105</v>
      </c>
      <c r="Q105" s="12" t="n">
        <v>0</v>
      </c>
      <c r="R105" s="12" t="inlineStr">
        <is>
          <t>DEMO_PDM.xlsx</t>
        </is>
      </c>
      <c r="S105" s="24" t="n">
        <v>46309.625</v>
      </c>
    </row>
    <row r="106">
      <c r="A106" s="12" t="inlineStr">
        <is>
          <t>VRS</t>
        </is>
      </c>
      <c r="B106" s="12" t="inlineStr">
        <is>
          <t>AA4</t>
        </is>
      </c>
      <c r="C106" s="12" t="inlineStr">
        <is>
          <t>G-I-LLL12</t>
        </is>
      </c>
      <c r="D106" s="12" t="inlineStr">
        <is>
          <t>Poste fictif Mu</t>
        </is>
      </c>
      <c r="E106" s="12" t="inlineStr">
        <is>
          <t>COMPTAGE</t>
        </is>
      </c>
      <c r="F106" s="12" t="n">
        <v>2026</v>
      </c>
      <c r="G106" s="12" t="inlineStr">
        <is>
          <t>PIS</t>
        </is>
      </c>
      <c r="H106" s="12" t="n">
        <v>1</v>
      </c>
      <c r="I106" s="12" t="inlineStr">
        <is>
          <t>PIS</t>
        </is>
      </c>
      <c r="J106" s="12" t="inlineStr">
        <is>
          <t>G-I-LLL12</t>
        </is>
      </c>
      <c r="K106" s="12" t="inlineStr">
        <is>
          <t>G-I-LLL12-INS05</t>
        </is>
      </c>
      <c r="L106" s="12" t="inlineStr">
        <is>
          <t>Code Emprise</t>
        </is>
      </c>
      <c r="M106" s="12" t="inlineStr">
        <is>
          <t>G-I-LLL12</t>
        </is>
      </c>
      <c r="N106" s="12" t="b">
        <v>0</v>
      </c>
      <c r="O106" s="12" t="n"/>
      <c r="P106" s="12" t="n">
        <v>106</v>
      </c>
      <c r="Q106" s="12" t="n">
        <v>0</v>
      </c>
      <c r="R106" s="12" t="inlineStr">
        <is>
          <t>DEMO_PDM.xlsx</t>
        </is>
      </c>
      <c r="S106" s="24" t="n">
        <v>46309.625</v>
      </c>
    </row>
    <row r="107">
      <c r="A107" s="12" t="inlineStr">
        <is>
          <t>VRS</t>
        </is>
      </c>
      <c r="B107" s="12" t="inlineStr">
        <is>
          <t>AA4</t>
        </is>
      </c>
      <c r="C107" s="12" t="inlineStr">
        <is>
          <t>G-I-LLL12</t>
        </is>
      </c>
      <c r="D107" s="12" t="inlineStr">
        <is>
          <t>Poste fictif Mu</t>
        </is>
      </c>
      <c r="E107" s="12" t="inlineStr">
        <is>
          <t>COMPTAGE</t>
        </is>
      </c>
      <c r="F107" s="12" t="n">
        <v>2026</v>
      </c>
      <c r="G107" s="12" t="inlineStr">
        <is>
          <t>EC SIMPLE</t>
        </is>
      </c>
      <c r="H107" s="12" t="n">
        <v>2</v>
      </c>
      <c r="I107" s="12" t="inlineStr">
        <is>
          <t>EC Simple</t>
        </is>
      </c>
      <c r="J107" s="12" t="inlineStr">
        <is>
          <t>G-I-LLL12</t>
        </is>
      </c>
      <c r="K107" s="12" t="inlineStr">
        <is>
          <t>G-I-LLL12-INS05</t>
        </is>
      </c>
      <c r="L107" s="12" t="inlineStr">
        <is>
          <t>Code Emprise</t>
        </is>
      </c>
      <c r="M107" s="12" t="inlineStr">
        <is>
          <t>G-I-LLL12</t>
        </is>
      </c>
      <c r="N107" s="12" t="b">
        <v>0</v>
      </c>
      <c r="O107" s="12" t="n"/>
      <c r="P107" s="12" t="n">
        <v>107</v>
      </c>
      <c r="Q107" s="12" t="n">
        <v>0</v>
      </c>
      <c r="R107" s="12" t="inlineStr">
        <is>
          <t>DEMO_PDM.xlsx</t>
        </is>
      </c>
      <c r="S107" s="24" t="n">
        <v>46309.625</v>
      </c>
    </row>
    <row r="108">
      <c r="A108" s="12" t="inlineStr">
        <is>
          <t>VRS</t>
        </is>
      </c>
      <c r="B108" s="12" t="inlineStr">
        <is>
          <t>AA4</t>
        </is>
      </c>
      <c r="C108" s="12" t="inlineStr">
        <is>
          <t>G-I-LLL12</t>
        </is>
      </c>
      <c r="D108" s="12" t="inlineStr">
        <is>
          <t>Poste fictif Mu</t>
        </is>
      </c>
      <c r="E108" s="12" t="inlineStr">
        <is>
          <t>COMPTAGE</t>
        </is>
      </c>
      <c r="F108" s="12" t="n">
        <v>2027</v>
      </c>
      <c r="G108" s="12" t="inlineStr">
        <is>
          <t>PIS</t>
        </is>
      </c>
      <c r="H108" s="12" t="n">
        <v>1</v>
      </c>
      <c r="I108" s="12" t="inlineStr">
        <is>
          <t>PIS</t>
        </is>
      </c>
      <c r="J108" s="12" t="inlineStr">
        <is>
          <t>G-I-LLL12</t>
        </is>
      </c>
      <c r="K108" s="12" t="inlineStr">
        <is>
          <t>G-I-LLL12-INS05</t>
        </is>
      </c>
      <c r="L108" s="12" t="inlineStr">
        <is>
          <t>Code Emprise</t>
        </is>
      </c>
      <c r="M108" s="12" t="inlineStr">
        <is>
          <t>G-I-LLL12</t>
        </is>
      </c>
      <c r="N108" s="12" t="b">
        <v>0</v>
      </c>
      <c r="O108" s="12" t="n"/>
      <c r="P108" s="12" t="n">
        <v>108</v>
      </c>
      <c r="Q108" s="12" t="n">
        <v>0</v>
      </c>
      <c r="R108" s="12" t="inlineStr">
        <is>
          <t>DEMO_PDM.xlsx</t>
        </is>
      </c>
      <c r="S108" s="24" t="n">
        <v>46309.625</v>
      </c>
    </row>
    <row r="109">
      <c r="A109" s="12" t="inlineStr">
        <is>
          <t>VRS</t>
        </is>
      </c>
      <c r="B109" s="12" t="inlineStr">
        <is>
          <t>AA4</t>
        </is>
      </c>
      <c r="C109" s="12" t="inlineStr">
        <is>
          <t>G-I-LLL12</t>
        </is>
      </c>
      <c r="D109" s="12" t="inlineStr">
        <is>
          <t>Poste fictif Mu</t>
        </is>
      </c>
      <c r="E109" s="12" t="inlineStr">
        <is>
          <t>COMPTAGE</t>
        </is>
      </c>
      <c r="F109" s="12" t="n">
        <v>2028</v>
      </c>
      <c r="G109" s="12" t="inlineStr">
        <is>
          <t>PIS</t>
        </is>
      </c>
      <c r="H109" s="12" t="n">
        <v>1</v>
      </c>
      <c r="I109" s="12" t="inlineStr">
        <is>
          <t>PIS</t>
        </is>
      </c>
      <c r="J109" s="12" t="inlineStr">
        <is>
          <t>G-I-LLL12</t>
        </is>
      </c>
      <c r="K109" s="12" t="inlineStr">
        <is>
          <t>G-I-LLL12-INS05</t>
        </is>
      </c>
      <c r="L109" s="12" t="inlineStr">
        <is>
          <t>Code Emprise</t>
        </is>
      </c>
      <c r="M109" s="12" t="inlineStr">
        <is>
          <t>G-I-LLL12</t>
        </is>
      </c>
      <c r="N109" s="12" t="b">
        <v>0</v>
      </c>
      <c r="O109" s="12" t="n"/>
      <c r="P109" s="12" t="n">
        <v>109</v>
      </c>
      <c r="Q109" s="12" t="n">
        <v>0</v>
      </c>
      <c r="R109" s="12" t="inlineStr">
        <is>
          <t>DEMO_PDM.xlsx</t>
        </is>
      </c>
      <c r="S109" s="24" t="n">
        <v>46309.625</v>
      </c>
    </row>
    <row r="110">
      <c r="A110" s="12" t="inlineStr">
        <is>
          <t>VRS</t>
        </is>
      </c>
      <c r="B110" s="12" t="inlineStr">
        <is>
          <t>AA4</t>
        </is>
      </c>
      <c r="C110" s="12" t="inlineStr">
        <is>
          <t>G-I-LLL12</t>
        </is>
      </c>
      <c r="D110" s="12" t="inlineStr">
        <is>
          <t>Poste fictif Mu</t>
        </is>
      </c>
      <c r="E110" s="12" t="inlineStr">
        <is>
          <t>COMPTAGE</t>
        </is>
      </c>
      <c r="F110" s="12" t="n">
        <v>2028</v>
      </c>
      <c r="G110" s="12" t="inlineStr">
        <is>
          <t>EC SIMPLE</t>
        </is>
      </c>
      <c r="H110" s="12" t="n">
        <v>2</v>
      </c>
      <c r="I110" s="12" t="inlineStr">
        <is>
          <t>EC Simple</t>
        </is>
      </c>
      <c r="J110" s="12" t="inlineStr">
        <is>
          <t>G-I-LLL12</t>
        </is>
      </c>
      <c r="K110" s="12" t="inlineStr">
        <is>
          <t>G-I-LLL12-INS05</t>
        </is>
      </c>
      <c r="L110" s="12" t="inlineStr">
        <is>
          <t>Code Emprise</t>
        </is>
      </c>
      <c r="M110" s="12" t="inlineStr">
        <is>
          <t>G-I-LLL12</t>
        </is>
      </c>
      <c r="N110" s="12" t="b">
        <v>0</v>
      </c>
      <c r="O110" s="12" t="n"/>
      <c r="P110" s="12" t="n">
        <v>110</v>
      </c>
      <c r="Q110" s="12" t="n">
        <v>0</v>
      </c>
      <c r="R110" s="12" t="inlineStr">
        <is>
          <t>DEMO_PDM.xlsx</t>
        </is>
      </c>
      <c r="S110" s="24" t="n">
        <v>46309.625</v>
      </c>
    </row>
    <row r="111">
      <c r="A111" s="12" t="inlineStr">
        <is>
          <t>VRS</t>
        </is>
      </c>
      <c r="B111" s="12" t="inlineStr">
        <is>
          <t>AA4</t>
        </is>
      </c>
      <c r="C111" s="12" t="inlineStr">
        <is>
          <t>G-I-LLL12</t>
        </is>
      </c>
      <c r="D111" s="12" t="inlineStr">
        <is>
          <t>Poste fictif Mu</t>
        </is>
      </c>
      <c r="E111" s="12" t="inlineStr">
        <is>
          <t>COMPTAGE</t>
        </is>
      </c>
      <c r="F111" s="12" t="n">
        <v>2028</v>
      </c>
      <c r="G111" s="12" t="inlineStr">
        <is>
          <t>REVISION</t>
        </is>
      </c>
      <c r="H111" s="12" t="n">
        <v>4</v>
      </c>
      <c r="I111" s="12" t="inlineStr">
        <is>
          <t>Révision</t>
        </is>
      </c>
      <c r="J111" s="12" t="inlineStr">
        <is>
          <t>G-I-LLL12</t>
        </is>
      </c>
      <c r="K111" s="12" t="inlineStr">
        <is>
          <t>G-I-LLL12-INS05</t>
        </is>
      </c>
      <c r="L111" s="12" t="inlineStr">
        <is>
          <t>Code Emprise</t>
        </is>
      </c>
      <c r="M111" s="12" t="inlineStr">
        <is>
          <t>G-I-LLL12</t>
        </is>
      </c>
      <c r="N111" s="12" t="b">
        <v>0</v>
      </c>
      <c r="O111" s="12" t="n"/>
      <c r="P111" s="12" t="n">
        <v>111</v>
      </c>
      <c r="Q111" s="12" t="n">
        <v>0</v>
      </c>
      <c r="R111" s="12" t="inlineStr">
        <is>
          <t>DEMO_PDM.xlsx</t>
        </is>
      </c>
      <c r="S111" s="24" t="n">
        <v>46309.625</v>
      </c>
    </row>
    <row r="112">
      <c r="A112" s="12" t="inlineStr">
        <is>
          <t>VRS</t>
        </is>
      </c>
      <c r="B112" s="12" t="inlineStr">
        <is>
          <t>AA4</t>
        </is>
      </c>
      <c r="C112" s="12" t="inlineStr">
        <is>
          <t>G-I-LLL12</t>
        </is>
      </c>
      <c r="D112" s="12" t="inlineStr">
        <is>
          <t>Poste fictif Mu</t>
        </is>
      </c>
      <c r="E112" s="12" t="inlineStr">
        <is>
          <t>COMPTAGE</t>
        </is>
      </c>
      <c r="F112" s="12" t="n">
        <v>2029</v>
      </c>
      <c r="G112" s="12" t="inlineStr">
        <is>
          <t>PIS</t>
        </is>
      </c>
      <c r="H112" s="12" t="n">
        <v>1</v>
      </c>
      <c r="I112" s="12" t="inlineStr">
        <is>
          <t>PIS</t>
        </is>
      </c>
      <c r="J112" s="12" t="inlineStr">
        <is>
          <t>G-I-LLL12</t>
        </is>
      </c>
      <c r="K112" s="12" t="inlineStr">
        <is>
          <t>G-I-LLL12-INS05</t>
        </is>
      </c>
      <c r="L112" s="12" t="inlineStr">
        <is>
          <t>Code Emprise</t>
        </is>
      </c>
      <c r="M112" s="12" t="inlineStr">
        <is>
          <t>G-I-LLL12</t>
        </is>
      </c>
      <c r="N112" s="12" t="b">
        <v>0</v>
      </c>
      <c r="O112" s="12" t="n"/>
      <c r="P112" s="12" t="n">
        <v>112</v>
      </c>
      <c r="Q112" s="12" t="n">
        <v>0</v>
      </c>
      <c r="R112" s="12" t="inlineStr">
        <is>
          <t>DEMO_PDM.xlsx</t>
        </is>
      </c>
      <c r="S112" s="24" t="n">
        <v>46309.625</v>
      </c>
    </row>
    <row r="113">
      <c r="A113" s="12" t="inlineStr">
        <is>
          <t>VRS</t>
        </is>
      </c>
      <c r="B113" s="12" t="inlineStr">
        <is>
          <t>AA4</t>
        </is>
      </c>
      <c r="C113" s="12" t="inlineStr">
        <is>
          <t>G-I-LLL12</t>
        </is>
      </c>
      <c r="D113" s="12" t="inlineStr">
        <is>
          <t>Poste fictif Mu</t>
        </is>
      </c>
      <c r="E113" s="12" t="inlineStr">
        <is>
          <t>COMPTAGE</t>
        </is>
      </c>
      <c r="F113" s="12" t="n">
        <v>2030</v>
      </c>
      <c r="G113" s="12" t="inlineStr">
        <is>
          <t>PIS</t>
        </is>
      </c>
      <c r="H113" s="12" t="n">
        <v>1</v>
      </c>
      <c r="I113" s="12" t="inlineStr">
        <is>
          <t>PIS</t>
        </is>
      </c>
      <c r="J113" s="12" t="inlineStr">
        <is>
          <t>G-I-LLL12</t>
        </is>
      </c>
      <c r="K113" s="12" t="inlineStr">
        <is>
          <t>G-I-LLL12-INS05</t>
        </is>
      </c>
      <c r="L113" s="12" t="inlineStr">
        <is>
          <t>Code Emprise</t>
        </is>
      </c>
      <c r="M113" s="12" t="inlineStr">
        <is>
          <t>G-I-LLL12</t>
        </is>
      </c>
      <c r="N113" s="12" t="b">
        <v>0</v>
      </c>
      <c r="O113" s="12" t="n"/>
      <c r="P113" s="12" t="n">
        <v>113</v>
      </c>
      <c r="Q113" s="12" t="n">
        <v>0</v>
      </c>
      <c r="R113" s="12" t="inlineStr">
        <is>
          <t>DEMO_PDM.xlsx</t>
        </is>
      </c>
      <c r="S113" s="24" t="n">
        <v>46309.625</v>
      </c>
    </row>
    <row r="114">
      <c r="A114" s="12" t="inlineStr">
        <is>
          <t>VRS</t>
        </is>
      </c>
      <c r="B114" s="12" t="inlineStr">
        <is>
          <t>AA4</t>
        </is>
      </c>
      <c r="C114" s="12" t="inlineStr">
        <is>
          <t>G-I-LLL12</t>
        </is>
      </c>
      <c r="D114" s="12" t="inlineStr">
        <is>
          <t>Poste fictif Mu</t>
        </is>
      </c>
      <c r="E114" s="12" t="inlineStr">
        <is>
          <t>COMPTAGE</t>
        </is>
      </c>
      <c r="F114" s="12" t="n">
        <v>2030</v>
      </c>
      <c r="G114" s="12" t="inlineStr">
        <is>
          <t>EC SIMPLE</t>
        </is>
      </c>
      <c r="H114" s="12" t="n">
        <v>2</v>
      </c>
      <c r="I114" s="12" t="inlineStr">
        <is>
          <t>EC Simple</t>
        </is>
      </c>
      <c r="J114" s="12" t="inlineStr">
        <is>
          <t>G-I-LLL12</t>
        </is>
      </c>
      <c r="K114" s="12" t="inlineStr">
        <is>
          <t>G-I-LLL12-INS05</t>
        </is>
      </c>
      <c r="L114" s="12" t="inlineStr">
        <is>
          <t>Code Emprise</t>
        </is>
      </c>
      <c r="M114" s="12" t="inlineStr">
        <is>
          <t>G-I-LLL12</t>
        </is>
      </c>
      <c r="N114" s="12" t="b">
        <v>0</v>
      </c>
      <c r="O114" s="12" t="n"/>
      <c r="P114" s="12" t="n">
        <v>114</v>
      </c>
      <c r="Q114" s="12" t="n">
        <v>0</v>
      </c>
      <c r="R114" s="12" t="inlineStr">
        <is>
          <t>DEMO_PDM.xlsx</t>
        </is>
      </c>
      <c r="S114" s="24" t="n">
        <v>46309.625</v>
      </c>
    </row>
    <row r="115">
      <c r="A115" s="12" t="inlineStr">
        <is>
          <t>VRS</t>
        </is>
      </c>
      <c r="B115" s="12" t="inlineStr">
        <is>
          <t>AA4</t>
        </is>
      </c>
      <c r="C115" s="12" t="inlineStr">
        <is>
          <t>G-I-LLL12</t>
        </is>
      </c>
      <c r="D115" s="12" t="inlineStr">
        <is>
          <t>Poste fictif Mu</t>
        </is>
      </c>
      <c r="E115" s="12" t="inlineStr">
        <is>
          <t>COMPTAGE</t>
        </is>
      </c>
      <c r="F115" s="12" t="n">
        <v>2031</v>
      </c>
      <c r="G115" s="12" t="inlineStr">
        <is>
          <t>PIS</t>
        </is>
      </c>
      <c r="H115" s="12" t="n">
        <v>1</v>
      </c>
      <c r="I115" s="12" t="inlineStr">
        <is>
          <t>PIS</t>
        </is>
      </c>
      <c r="J115" s="12" t="inlineStr">
        <is>
          <t>G-I-LLL12</t>
        </is>
      </c>
      <c r="K115" s="12" t="inlineStr">
        <is>
          <t>G-I-LLL12-INS05</t>
        </is>
      </c>
      <c r="L115" s="12" t="inlineStr">
        <is>
          <t>Code Emprise</t>
        </is>
      </c>
      <c r="M115" s="12" t="inlineStr">
        <is>
          <t>G-I-LLL12</t>
        </is>
      </c>
      <c r="N115" s="12" t="b">
        <v>0</v>
      </c>
      <c r="O115" s="12" t="n"/>
      <c r="P115" s="12" t="n">
        <v>115</v>
      </c>
      <c r="Q115" s="12" t="n">
        <v>0</v>
      </c>
      <c r="R115" s="12" t="inlineStr">
        <is>
          <t>DEMO_PDM.xlsx</t>
        </is>
      </c>
      <c r="S115" s="24" t="n">
        <v>46309.625</v>
      </c>
    </row>
    <row r="116">
      <c r="A116" s="12" t="inlineStr">
        <is>
          <t>VRS</t>
        </is>
      </c>
      <c r="B116" s="12" t="inlineStr">
        <is>
          <t>AA4</t>
        </is>
      </c>
      <c r="C116" s="12" t="inlineStr">
        <is>
          <t>G-I-LLL12</t>
        </is>
      </c>
      <c r="D116" s="12" t="inlineStr">
        <is>
          <t>Poste fictif Mu</t>
        </is>
      </c>
      <c r="E116" s="12" t="inlineStr">
        <is>
          <t>COMPTAGE</t>
        </is>
      </c>
      <c r="F116" s="12" t="n">
        <v>2032</v>
      </c>
      <c r="G116" s="12" t="inlineStr">
        <is>
          <t>PIS</t>
        </is>
      </c>
      <c r="H116" s="12" t="n">
        <v>1</v>
      </c>
      <c r="I116" s="12" t="inlineStr">
        <is>
          <t>PIS</t>
        </is>
      </c>
      <c r="J116" s="12" t="inlineStr">
        <is>
          <t>G-I-LLL12</t>
        </is>
      </c>
      <c r="K116" s="12" t="inlineStr">
        <is>
          <t>G-I-LLL12-INS05</t>
        </is>
      </c>
      <c r="L116" s="12" t="inlineStr">
        <is>
          <t>Code Emprise</t>
        </is>
      </c>
      <c r="M116" s="12" t="inlineStr">
        <is>
          <t>G-I-LLL12</t>
        </is>
      </c>
      <c r="N116" s="12" t="b">
        <v>0</v>
      </c>
      <c r="O116" s="12" t="n"/>
      <c r="P116" s="12" t="n">
        <v>116</v>
      </c>
      <c r="Q116" s="12" t="n">
        <v>0</v>
      </c>
      <c r="R116" s="12" t="inlineStr">
        <is>
          <t>DEMO_PDM.xlsx</t>
        </is>
      </c>
      <c r="S116" s="24" t="n">
        <v>46309.625</v>
      </c>
    </row>
    <row r="117">
      <c r="A117" s="12" t="inlineStr">
        <is>
          <t>VRS</t>
        </is>
      </c>
      <c r="B117" s="12" t="inlineStr">
        <is>
          <t>AA4</t>
        </is>
      </c>
      <c r="C117" s="12" t="inlineStr">
        <is>
          <t>G-I-LLL12</t>
        </is>
      </c>
      <c r="D117" s="12" t="inlineStr">
        <is>
          <t>Poste fictif Mu</t>
        </is>
      </c>
      <c r="E117" s="12" t="inlineStr">
        <is>
          <t>COMPTAGE</t>
        </is>
      </c>
      <c r="F117" s="12" t="n">
        <v>2032</v>
      </c>
      <c r="G117" s="12" t="inlineStr">
        <is>
          <t>EC SIMPLE</t>
        </is>
      </c>
      <c r="H117" s="12" t="n">
        <v>2</v>
      </c>
      <c r="I117" s="12" t="inlineStr">
        <is>
          <t>EC Simple</t>
        </is>
      </c>
      <c r="J117" s="12" t="inlineStr">
        <is>
          <t>G-I-LLL12</t>
        </is>
      </c>
      <c r="K117" s="12" t="inlineStr">
        <is>
          <t>G-I-LLL12-INS05</t>
        </is>
      </c>
      <c r="L117" s="12" t="inlineStr">
        <is>
          <t>Code Emprise</t>
        </is>
      </c>
      <c r="M117" s="12" t="inlineStr">
        <is>
          <t>G-I-LLL12</t>
        </is>
      </c>
      <c r="N117" s="12" t="b">
        <v>0</v>
      </c>
      <c r="O117" s="12" t="n"/>
      <c r="P117" s="12" t="n">
        <v>117</v>
      </c>
      <c r="Q117" s="12" t="n">
        <v>0</v>
      </c>
      <c r="R117" s="12" t="inlineStr">
        <is>
          <t>DEMO_PDM.xlsx</t>
        </is>
      </c>
      <c r="S117" s="24" t="n">
        <v>46309.625</v>
      </c>
    </row>
    <row r="118">
      <c r="A118" s="12" t="inlineStr">
        <is>
          <t>LRO</t>
        </is>
      </c>
      <c r="B118" s="12" t="inlineStr">
        <is>
          <t>AA1</t>
        </is>
      </c>
      <c r="C118" s="12" t="inlineStr">
        <is>
          <t>G-I-MMM13</t>
        </is>
      </c>
      <c r="D118" s="12" t="inlineStr">
        <is>
          <t>Poste fictif Nu</t>
        </is>
      </c>
      <c r="E118" s="12" t="inlineStr">
        <is>
          <t>LIVRAISON</t>
        </is>
      </c>
      <c r="F118" s="12" t="n">
        <v>2026</v>
      </c>
      <c r="G118" s="12" t="inlineStr">
        <is>
          <t>PIS</t>
        </is>
      </c>
      <c r="H118" s="12" t="n">
        <v>1</v>
      </c>
      <c r="I118" s="12" t="inlineStr">
        <is>
          <t>PIS</t>
        </is>
      </c>
      <c r="J118" s="12" t="inlineStr">
        <is>
          <t>G-I-MMM13</t>
        </is>
      </c>
      <c r="K118" s="12" t="inlineStr">
        <is>
          <t>G-I-MMM13-INS06</t>
        </is>
      </c>
      <c r="L118" s="12" t="inlineStr">
        <is>
          <t>Code Emprise</t>
        </is>
      </c>
      <c r="M118" s="12" t="inlineStr">
        <is>
          <t>G-I-MMN13</t>
        </is>
      </c>
      <c r="N118" s="12" t="b">
        <v>1</v>
      </c>
      <c r="O118" s="12" t="n"/>
      <c r="P118" s="12" t="n">
        <v>118</v>
      </c>
      <c r="Q118" s="12" t="n">
        <v>0</v>
      </c>
      <c r="R118" s="12" t="inlineStr">
        <is>
          <t>DEMO_PDM.xlsx</t>
        </is>
      </c>
      <c r="S118" s="24" t="n">
        <v>46309.625</v>
      </c>
    </row>
    <row r="119">
      <c r="A119" s="12" t="inlineStr">
        <is>
          <t>LRO</t>
        </is>
      </c>
      <c r="B119" s="12" t="inlineStr">
        <is>
          <t>AA1</t>
        </is>
      </c>
      <c r="C119" s="12" t="inlineStr">
        <is>
          <t>G-I-MMM13</t>
        </is>
      </c>
      <c r="D119" s="12" t="inlineStr">
        <is>
          <t>Poste fictif Nu</t>
        </is>
      </c>
      <c r="E119" s="12" t="inlineStr">
        <is>
          <t>LIVRAISON</t>
        </is>
      </c>
      <c r="F119" s="12" t="n">
        <v>2027</v>
      </c>
      <c r="G119" s="12" t="inlineStr">
        <is>
          <t>PIS</t>
        </is>
      </c>
      <c r="H119" s="12" t="n">
        <v>1</v>
      </c>
      <c r="I119" s="12" t="inlineStr">
        <is>
          <t>PIS</t>
        </is>
      </c>
      <c r="J119" s="12" t="inlineStr">
        <is>
          <t>G-I-MMM13</t>
        </is>
      </c>
      <c r="K119" s="12" t="inlineStr">
        <is>
          <t>G-I-MMM13-INS06</t>
        </is>
      </c>
      <c r="L119" s="12" t="inlineStr">
        <is>
          <t>Code Emprise</t>
        </is>
      </c>
      <c r="M119" s="12" t="inlineStr">
        <is>
          <t>G-I-MMN13</t>
        </is>
      </c>
      <c r="N119" s="12" t="b">
        <v>1</v>
      </c>
      <c r="O119" s="12" t="n"/>
      <c r="P119" s="12" t="n">
        <v>119</v>
      </c>
      <c r="Q119" s="12" t="n">
        <v>0</v>
      </c>
      <c r="R119" s="12" t="inlineStr">
        <is>
          <t>DEMO_PDM.xlsx</t>
        </is>
      </c>
      <c r="S119" s="24" t="n">
        <v>46309.625</v>
      </c>
    </row>
    <row r="120">
      <c r="A120" s="12" t="inlineStr">
        <is>
          <t>LRO</t>
        </is>
      </c>
      <c r="B120" s="12" t="inlineStr">
        <is>
          <t>AA1</t>
        </is>
      </c>
      <c r="C120" s="12" t="inlineStr">
        <is>
          <t>G-I-MMM13</t>
        </is>
      </c>
      <c r="D120" s="12" t="inlineStr">
        <is>
          <t>Poste fictif Nu</t>
        </is>
      </c>
      <c r="E120" s="12" t="inlineStr">
        <is>
          <t>LIVRAISON</t>
        </is>
      </c>
      <c r="F120" s="12" t="n">
        <v>2027</v>
      </c>
      <c r="G120" s="12" t="inlineStr">
        <is>
          <t>EC SIMPLE</t>
        </is>
      </c>
      <c r="H120" s="12" t="n">
        <v>2</v>
      </c>
      <c r="I120" s="12" t="inlineStr">
        <is>
          <t>EC Simple</t>
        </is>
      </c>
      <c r="J120" s="12" t="inlineStr">
        <is>
          <t>G-I-MMM13</t>
        </is>
      </c>
      <c r="K120" s="12" t="inlineStr">
        <is>
          <t>G-I-MMM13-INS06</t>
        </is>
      </c>
      <c r="L120" s="12" t="inlineStr">
        <is>
          <t>Code Emprise</t>
        </is>
      </c>
      <c r="M120" s="12" t="inlineStr">
        <is>
          <t>G-I-MMN13</t>
        </is>
      </c>
      <c r="N120" s="12" t="b">
        <v>1</v>
      </c>
      <c r="O120" s="12" t="n"/>
      <c r="P120" s="12" t="n">
        <v>120</v>
      </c>
      <c r="Q120" s="12" t="n">
        <v>0</v>
      </c>
      <c r="R120" s="12" t="inlineStr">
        <is>
          <t>DEMO_PDM.xlsx</t>
        </is>
      </c>
      <c r="S120" s="24" t="n">
        <v>46309.625</v>
      </c>
    </row>
    <row r="121">
      <c r="A121" s="12" t="inlineStr">
        <is>
          <t>LRO</t>
        </is>
      </c>
      <c r="B121" s="12" t="inlineStr">
        <is>
          <t>AA1</t>
        </is>
      </c>
      <c r="C121" s="12" t="inlineStr">
        <is>
          <t>G-I-MMM13</t>
        </is>
      </c>
      <c r="D121" s="12" t="inlineStr">
        <is>
          <t>Poste fictif Nu</t>
        </is>
      </c>
      <c r="E121" s="12" t="inlineStr">
        <is>
          <t>LIVRAISON</t>
        </is>
      </c>
      <c r="F121" s="12" t="n">
        <v>2028</v>
      </c>
      <c r="G121" s="12" t="inlineStr">
        <is>
          <t>PIS</t>
        </is>
      </c>
      <c r="H121" s="12" t="n">
        <v>1</v>
      </c>
      <c r="I121" s="12" t="inlineStr">
        <is>
          <t>PIS</t>
        </is>
      </c>
      <c r="J121" s="12" t="inlineStr">
        <is>
          <t>G-I-MMM13</t>
        </is>
      </c>
      <c r="K121" s="12" t="inlineStr">
        <is>
          <t>G-I-MMM13-INS06</t>
        </is>
      </c>
      <c r="L121" s="12" t="inlineStr">
        <is>
          <t>Code Emprise</t>
        </is>
      </c>
      <c r="M121" s="12" t="inlineStr">
        <is>
          <t>G-I-MMN13</t>
        </is>
      </c>
      <c r="N121" s="12" t="b">
        <v>1</v>
      </c>
      <c r="O121" s="12" t="n"/>
      <c r="P121" s="12" t="n">
        <v>121</v>
      </c>
      <c r="Q121" s="12" t="n">
        <v>0</v>
      </c>
      <c r="R121" s="12" t="inlineStr">
        <is>
          <t>DEMO_PDM.xlsx</t>
        </is>
      </c>
      <c r="S121" s="24" t="n">
        <v>46309.625</v>
      </c>
    </row>
    <row r="122">
      <c r="A122" s="12" t="inlineStr">
        <is>
          <t>LRO</t>
        </is>
      </c>
      <c r="B122" s="12" t="inlineStr">
        <is>
          <t>AA1</t>
        </is>
      </c>
      <c r="C122" s="12" t="inlineStr">
        <is>
          <t>G-I-MMM13</t>
        </is>
      </c>
      <c r="D122" s="12" t="inlineStr">
        <is>
          <t>Poste fictif Nu</t>
        </is>
      </c>
      <c r="E122" s="12" t="inlineStr">
        <is>
          <t>LIVRAISON</t>
        </is>
      </c>
      <c r="F122" s="12" t="n">
        <v>2029</v>
      </c>
      <c r="G122" s="12" t="inlineStr">
        <is>
          <t>REVISION</t>
        </is>
      </c>
      <c r="H122" s="12" t="n">
        <v>4</v>
      </c>
      <c r="I122" s="12" t="inlineStr">
        <is>
          <t>Révision</t>
        </is>
      </c>
      <c r="J122" s="12" t="inlineStr">
        <is>
          <t>G-I-MMM13</t>
        </is>
      </c>
      <c r="K122" s="12" t="inlineStr">
        <is>
          <t>G-I-MMM13-INS06</t>
        </is>
      </c>
      <c r="L122" s="12" t="inlineStr">
        <is>
          <t>Code Emprise</t>
        </is>
      </c>
      <c r="M122" s="12" t="inlineStr">
        <is>
          <t>G-I-MMN13</t>
        </is>
      </c>
      <c r="N122" s="12" t="b">
        <v>1</v>
      </c>
      <c r="O122" s="12" t="n"/>
      <c r="P122" s="12" t="n">
        <v>122</v>
      </c>
      <c r="Q122" s="12" t="n">
        <v>0</v>
      </c>
      <c r="R122" s="12" t="inlineStr">
        <is>
          <t>DEMO_PDM.xlsx</t>
        </is>
      </c>
      <c r="S122" s="24" t="n">
        <v>46309.625</v>
      </c>
    </row>
    <row r="123">
      <c r="A123" s="12" t="inlineStr">
        <is>
          <t>LRO</t>
        </is>
      </c>
      <c r="B123" s="12" t="inlineStr">
        <is>
          <t>AA1</t>
        </is>
      </c>
      <c r="C123" s="12" t="inlineStr">
        <is>
          <t>G-I-MMM13</t>
        </is>
      </c>
      <c r="D123" s="12" t="inlineStr">
        <is>
          <t>Poste fictif Nu</t>
        </is>
      </c>
      <c r="E123" s="12" t="inlineStr">
        <is>
          <t>LIVRAISON</t>
        </is>
      </c>
      <c r="F123" s="12" t="n">
        <v>2030</v>
      </c>
      <c r="G123" s="12" t="inlineStr">
        <is>
          <t>PIS</t>
        </is>
      </c>
      <c r="H123" s="12" t="n">
        <v>1</v>
      </c>
      <c r="I123" s="12" t="inlineStr">
        <is>
          <t>PIS</t>
        </is>
      </c>
      <c r="J123" s="12" t="inlineStr">
        <is>
          <t>G-I-MMM13</t>
        </is>
      </c>
      <c r="K123" s="12" t="inlineStr">
        <is>
          <t>G-I-MMM13-INS06</t>
        </is>
      </c>
      <c r="L123" s="12" t="inlineStr">
        <is>
          <t>Code Emprise</t>
        </is>
      </c>
      <c r="M123" s="12" t="inlineStr">
        <is>
          <t>G-I-MMN13</t>
        </is>
      </c>
      <c r="N123" s="12" t="b">
        <v>1</v>
      </c>
      <c r="O123" s="12" t="n"/>
      <c r="P123" s="12" t="n">
        <v>123</v>
      </c>
      <c r="Q123" s="12" t="n">
        <v>0</v>
      </c>
      <c r="R123" s="12" t="inlineStr">
        <is>
          <t>DEMO_PDM.xlsx</t>
        </is>
      </c>
      <c r="S123" s="24" t="n">
        <v>46309.625</v>
      </c>
    </row>
    <row r="124">
      <c r="A124" s="12" t="inlineStr">
        <is>
          <t>LRO</t>
        </is>
      </c>
      <c r="B124" s="12" t="inlineStr">
        <is>
          <t>AA1</t>
        </is>
      </c>
      <c r="C124" s="12" t="inlineStr">
        <is>
          <t>G-I-MMM13</t>
        </is>
      </c>
      <c r="D124" s="12" t="inlineStr">
        <is>
          <t>Poste fictif Nu</t>
        </is>
      </c>
      <c r="E124" s="12" t="inlineStr">
        <is>
          <t>LIVRAISON</t>
        </is>
      </c>
      <c r="F124" s="12" t="n">
        <v>2031</v>
      </c>
      <c r="G124" s="12" t="inlineStr">
        <is>
          <t>PIS</t>
        </is>
      </c>
      <c r="H124" s="12" t="n">
        <v>1</v>
      </c>
      <c r="I124" s="12" t="inlineStr">
        <is>
          <t>PIS</t>
        </is>
      </c>
      <c r="J124" s="12" t="inlineStr">
        <is>
          <t>G-I-MMM13</t>
        </is>
      </c>
      <c r="K124" s="12" t="inlineStr">
        <is>
          <t>G-I-MMM13-INS06</t>
        </is>
      </c>
      <c r="L124" s="12" t="inlineStr">
        <is>
          <t>Code Emprise</t>
        </is>
      </c>
      <c r="M124" s="12" t="inlineStr">
        <is>
          <t>G-I-MMN13</t>
        </is>
      </c>
      <c r="N124" s="12" t="b">
        <v>1</v>
      </c>
      <c r="O124" s="12" t="n"/>
      <c r="P124" s="12" t="n">
        <v>124</v>
      </c>
      <c r="Q124" s="12" t="n">
        <v>0</v>
      </c>
      <c r="R124" s="12" t="inlineStr">
        <is>
          <t>DEMO_PDM.xlsx</t>
        </is>
      </c>
      <c r="S124" s="24" t="n">
        <v>46309.625</v>
      </c>
    </row>
    <row r="125">
      <c r="A125" s="12" t="inlineStr">
        <is>
          <t>LRO</t>
        </is>
      </c>
      <c r="B125" s="12" t="inlineStr">
        <is>
          <t>AA1</t>
        </is>
      </c>
      <c r="C125" s="12" t="inlineStr">
        <is>
          <t>G-I-MMM13</t>
        </is>
      </c>
      <c r="D125" s="12" t="inlineStr">
        <is>
          <t>Poste fictif Nu</t>
        </is>
      </c>
      <c r="E125" s="12" t="inlineStr">
        <is>
          <t>LIVRAISON</t>
        </is>
      </c>
      <c r="F125" s="12" t="n">
        <v>2031</v>
      </c>
      <c r="G125" s="12" t="inlineStr">
        <is>
          <t>EC SIMPLE</t>
        </is>
      </c>
      <c r="H125" s="12" t="n">
        <v>2</v>
      </c>
      <c r="I125" s="12" t="inlineStr">
        <is>
          <t>EC Simple</t>
        </is>
      </c>
      <c r="J125" s="12" t="inlineStr">
        <is>
          <t>G-I-MMM13</t>
        </is>
      </c>
      <c r="K125" s="12" t="inlineStr">
        <is>
          <t>G-I-MMM13-INS06</t>
        </is>
      </c>
      <c r="L125" s="12" t="inlineStr">
        <is>
          <t>Code Emprise</t>
        </is>
      </c>
      <c r="M125" s="12" t="inlineStr">
        <is>
          <t>G-I-MMN13</t>
        </is>
      </c>
      <c r="N125" s="12" t="b">
        <v>1</v>
      </c>
      <c r="O125" s="12" t="n"/>
      <c r="P125" s="12" t="n">
        <v>125</v>
      </c>
      <c r="Q125" s="12" t="n">
        <v>0</v>
      </c>
      <c r="R125" s="12" t="inlineStr">
        <is>
          <t>DEMO_PDM.xlsx</t>
        </is>
      </c>
      <c r="S125" s="24" t="n">
        <v>46309.625</v>
      </c>
    </row>
    <row r="126">
      <c r="A126" s="12" t="inlineStr">
        <is>
          <t>LRO</t>
        </is>
      </c>
      <c r="B126" s="12" t="inlineStr">
        <is>
          <t>AA1</t>
        </is>
      </c>
      <c r="C126" s="12" t="inlineStr">
        <is>
          <t>G-I-MMM13</t>
        </is>
      </c>
      <c r="D126" s="12" t="inlineStr">
        <is>
          <t>Poste fictif Nu</t>
        </is>
      </c>
      <c r="E126" s="12" t="inlineStr">
        <is>
          <t>LIVRAISON</t>
        </is>
      </c>
      <c r="F126" s="12" t="n">
        <v>2032</v>
      </c>
      <c r="G126" s="12" t="inlineStr">
        <is>
          <t>PIS</t>
        </is>
      </c>
      <c r="H126" s="12" t="n">
        <v>1</v>
      </c>
      <c r="I126" s="12" t="inlineStr">
        <is>
          <t>PIS</t>
        </is>
      </c>
      <c r="J126" s="12" t="inlineStr">
        <is>
          <t>G-I-MMM13</t>
        </is>
      </c>
      <c r="K126" s="12" t="inlineStr">
        <is>
          <t>G-I-MMM13-INS06</t>
        </is>
      </c>
      <c r="L126" s="12" t="inlineStr">
        <is>
          <t>Code Emprise</t>
        </is>
      </c>
      <c r="M126" s="12" t="inlineStr">
        <is>
          <t>G-I-MMN13</t>
        </is>
      </c>
      <c r="N126" s="12" t="b">
        <v>1</v>
      </c>
      <c r="O126" s="12" t="n"/>
      <c r="P126" s="12" t="n">
        <v>126</v>
      </c>
      <c r="Q126" s="12" t="n">
        <v>0</v>
      </c>
      <c r="R126" s="12" t="inlineStr">
        <is>
          <t>DEMO_PDM.xlsx</t>
        </is>
      </c>
      <c r="S126" s="24" t="n">
        <v>46309.625</v>
      </c>
    </row>
    <row r="127">
      <c r="A127" s="12" t="inlineStr">
        <is>
          <t>LRO</t>
        </is>
      </c>
      <c r="B127" s="12" t="inlineStr">
        <is>
          <t>AA3</t>
        </is>
      </c>
      <c r="C127" s="12" t="inlineStr">
        <is>
          <t>G-I-NNN14</t>
        </is>
      </c>
      <c r="D127" s="12" t="inlineStr">
        <is>
          <t>Poste fictif Xi</t>
        </is>
      </c>
      <c r="E127" s="12" t="inlineStr">
        <is>
          <t>SECTIONNEMENT</t>
        </is>
      </c>
      <c r="F127" s="12" t="n">
        <v>2026</v>
      </c>
      <c r="G127" s="12" t="inlineStr">
        <is>
          <t>PIS</t>
        </is>
      </c>
      <c r="H127" s="12" t="n">
        <v>1</v>
      </c>
      <c r="I127" s="12" t="inlineStr">
        <is>
          <t>PIS</t>
        </is>
      </c>
      <c r="J127" s="12" t="inlineStr">
        <is>
          <t>G-I-NNN14</t>
        </is>
      </c>
      <c r="K127" s="12" t="inlineStr">
        <is>
          <t>G-I-NNN14-INS07</t>
        </is>
      </c>
      <c r="L127" s="12" t="inlineStr">
        <is>
          <t>Code Emprise</t>
        </is>
      </c>
      <c r="M127" s="12" t="inlineStr">
        <is>
          <t>G-I-NNN14</t>
        </is>
      </c>
      <c r="N127" s="12" t="b">
        <v>0</v>
      </c>
      <c r="O127" s="12" t="n"/>
      <c r="P127" s="12" t="n">
        <v>127</v>
      </c>
      <c r="Q127" s="12" t="n">
        <v>0</v>
      </c>
      <c r="R127" s="12" t="inlineStr">
        <is>
          <t>DEMO_PDM.xlsx</t>
        </is>
      </c>
      <c r="S127" s="24" t="n">
        <v>46309.625</v>
      </c>
    </row>
    <row r="128">
      <c r="A128" s="12" t="inlineStr">
        <is>
          <t>LRO</t>
        </is>
      </c>
      <c r="B128" s="12" t="inlineStr">
        <is>
          <t>AA3</t>
        </is>
      </c>
      <c r="C128" s="12" t="inlineStr">
        <is>
          <t>G-I-NNN14</t>
        </is>
      </c>
      <c r="D128" s="12" t="inlineStr">
        <is>
          <t>Poste fictif Xi</t>
        </is>
      </c>
      <c r="E128" s="12" t="inlineStr">
        <is>
          <t>SECTIONNEMENT</t>
        </is>
      </c>
      <c r="F128" s="12" t="n">
        <v>2026</v>
      </c>
      <c r="G128" s="12" t="inlineStr">
        <is>
          <t>EC SIMPLE</t>
        </is>
      </c>
      <c r="H128" s="12" t="n">
        <v>2</v>
      </c>
      <c r="I128" s="12" t="inlineStr">
        <is>
          <t>EC Simple</t>
        </is>
      </c>
      <c r="J128" s="12" t="inlineStr">
        <is>
          <t>G-I-NNN14</t>
        </is>
      </c>
      <c r="K128" s="12" t="inlineStr">
        <is>
          <t>G-I-NNN14-INS07</t>
        </is>
      </c>
      <c r="L128" s="12" t="inlineStr">
        <is>
          <t>Code Emprise</t>
        </is>
      </c>
      <c r="M128" s="12" t="inlineStr">
        <is>
          <t>G-I-NNN14</t>
        </is>
      </c>
      <c r="N128" s="12" t="b">
        <v>0</v>
      </c>
      <c r="O128" s="12" t="n"/>
      <c r="P128" s="12" t="n">
        <v>128</v>
      </c>
      <c r="Q128" s="12" t="n">
        <v>0</v>
      </c>
      <c r="R128" s="12" t="inlineStr">
        <is>
          <t>DEMO_PDM.xlsx</t>
        </is>
      </c>
      <c r="S128" s="24" t="n">
        <v>46309.625</v>
      </c>
    </row>
    <row r="129">
      <c r="A129" s="12" t="inlineStr">
        <is>
          <t>LRO</t>
        </is>
      </c>
      <c r="B129" s="12" t="inlineStr">
        <is>
          <t>AA3</t>
        </is>
      </c>
      <c r="C129" s="12" t="inlineStr">
        <is>
          <t>G-I-NNN14</t>
        </is>
      </c>
      <c r="D129" s="12" t="inlineStr">
        <is>
          <t>Poste fictif Xi</t>
        </is>
      </c>
      <c r="E129" s="12" t="inlineStr">
        <is>
          <t>SECTIONNEMENT</t>
        </is>
      </c>
      <c r="F129" s="12" t="n">
        <v>2027</v>
      </c>
      <c r="G129" s="12" t="inlineStr">
        <is>
          <t>PIS</t>
        </is>
      </c>
      <c r="H129" s="12" t="n">
        <v>1</v>
      </c>
      <c r="I129" s="12" t="inlineStr">
        <is>
          <t>PIS</t>
        </is>
      </c>
      <c r="J129" s="12" t="inlineStr">
        <is>
          <t>G-I-NNN14</t>
        </is>
      </c>
      <c r="K129" s="12" t="inlineStr">
        <is>
          <t>G-I-NNN14-INS07</t>
        </is>
      </c>
      <c r="L129" s="12" t="inlineStr">
        <is>
          <t>Code Emprise</t>
        </is>
      </c>
      <c r="M129" s="12" t="inlineStr">
        <is>
          <t>G-I-NNN14</t>
        </is>
      </c>
      <c r="N129" s="12" t="b">
        <v>0</v>
      </c>
      <c r="O129" s="12" t="n"/>
      <c r="P129" s="12" t="n">
        <v>129</v>
      </c>
      <c r="Q129" s="12" t="n">
        <v>0</v>
      </c>
      <c r="R129" s="12" t="inlineStr">
        <is>
          <t>DEMO_PDM.xlsx</t>
        </is>
      </c>
      <c r="S129" s="24" t="n">
        <v>46309.625</v>
      </c>
    </row>
    <row r="130">
      <c r="A130" s="12" t="inlineStr">
        <is>
          <t>LRO</t>
        </is>
      </c>
      <c r="B130" s="12" t="inlineStr">
        <is>
          <t>AA3</t>
        </is>
      </c>
      <c r="C130" s="12" t="inlineStr">
        <is>
          <t>G-I-NNN14</t>
        </is>
      </c>
      <c r="D130" s="12" t="inlineStr">
        <is>
          <t>Poste fictif Xi</t>
        </is>
      </c>
      <c r="E130" s="12" t="inlineStr">
        <is>
          <t>SECTIONNEMENT</t>
        </is>
      </c>
      <c r="F130" s="12" t="n">
        <v>2027</v>
      </c>
      <c r="G130" s="12" t="inlineStr">
        <is>
          <t>REVISION</t>
        </is>
      </c>
      <c r="H130" s="12" t="n">
        <v>4</v>
      </c>
      <c r="I130" s="12" t="inlineStr">
        <is>
          <t>Révision</t>
        </is>
      </c>
      <c r="J130" s="12" t="inlineStr">
        <is>
          <t>G-I-NNN14</t>
        </is>
      </c>
      <c r="K130" s="12" t="inlineStr">
        <is>
          <t>G-I-NNN14-INS07</t>
        </is>
      </c>
      <c r="L130" s="12" t="inlineStr">
        <is>
          <t>Code Emprise</t>
        </is>
      </c>
      <c r="M130" s="12" t="inlineStr">
        <is>
          <t>G-I-NNN14</t>
        </is>
      </c>
      <c r="N130" s="12" t="b">
        <v>0</v>
      </c>
      <c r="O130" s="12" t="n"/>
      <c r="P130" s="12" t="n">
        <v>130</v>
      </c>
      <c r="Q130" s="12" t="n">
        <v>0</v>
      </c>
      <c r="R130" s="12" t="inlineStr">
        <is>
          <t>DEMO_PDM.xlsx</t>
        </is>
      </c>
      <c r="S130" s="24" t="n">
        <v>46309.625</v>
      </c>
    </row>
    <row r="131">
      <c r="A131" s="12" t="inlineStr">
        <is>
          <t>LRO</t>
        </is>
      </c>
      <c r="B131" s="12" t="inlineStr">
        <is>
          <t>AA3</t>
        </is>
      </c>
      <c r="C131" s="12" t="inlineStr">
        <is>
          <t>G-I-NNN14</t>
        </is>
      </c>
      <c r="D131" s="12" t="inlineStr">
        <is>
          <t>Poste fictif Xi</t>
        </is>
      </c>
      <c r="E131" s="12" t="inlineStr">
        <is>
          <t>SECTIONNEMENT</t>
        </is>
      </c>
      <c r="F131" s="12" t="n">
        <v>2028</v>
      </c>
      <c r="G131" s="12" t="inlineStr">
        <is>
          <t>PIS</t>
        </is>
      </c>
      <c r="H131" s="12" t="n">
        <v>1</v>
      </c>
      <c r="I131" s="12" t="inlineStr">
        <is>
          <t>PIS</t>
        </is>
      </c>
      <c r="J131" s="12" t="inlineStr">
        <is>
          <t>G-I-NNN14</t>
        </is>
      </c>
      <c r="K131" s="12" t="inlineStr">
        <is>
          <t>G-I-NNN14-INS07</t>
        </is>
      </c>
      <c r="L131" s="12" t="inlineStr">
        <is>
          <t>Code Emprise</t>
        </is>
      </c>
      <c r="M131" s="12" t="inlineStr">
        <is>
          <t>G-I-NNN14</t>
        </is>
      </c>
      <c r="N131" s="12" t="b">
        <v>0</v>
      </c>
      <c r="O131" s="12" t="n"/>
      <c r="P131" s="12" t="n">
        <v>131</v>
      </c>
      <c r="Q131" s="12" t="n">
        <v>0</v>
      </c>
      <c r="R131" s="12" t="inlineStr">
        <is>
          <t>DEMO_PDM.xlsx</t>
        </is>
      </c>
      <c r="S131" s="24" t="n">
        <v>46309.625</v>
      </c>
    </row>
    <row r="132">
      <c r="A132" s="12" t="inlineStr">
        <is>
          <t>LRO</t>
        </is>
      </c>
      <c r="B132" s="12" t="inlineStr">
        <is>
          <t>AA3</t>
        </is>
      </c>
      <c r="C132" s="12" t="inlineStr">
        <is>
          <t>G-I-NNN14</t>
        </is>
      </c>
      <c r="D132" s="12" t="inlineStr">
        <is>
          <t>Poste fictif Xi</t>
        </is>
      </c>
      <c r="E132" s="12" t="inlineStr">
        <is>
          <t>SECTIONNEMENT</t>
        </is>
      </c>
      <c r="F132" s="12" t="n">
        <v>2028</v>
      </c>
      <c r="G132" s="12" t="inlineStr">
        <is>
          <t>EC FILTRE</t>
        </is>
      </c>
      <c r="H132" s="12" t="n">
        <v>3</v>
      </c>
      <c r="I132" s="12" t="inlineStr">
        <is>
          <t>EC Filtre</t>
        </is>
      </c>
      <c r="J132" s="12" t="inlineStr">
        <is>
          <t>G-I-NNN14</t>
        </is>
      </c>
      <c r="K132" s="12" t="inlineStr">
        <is>
          <t>G-I-NNN14-INS07</t>
        </is>
      </c>
      <c r="L132" s="12" t="inlineStr">
        <is>
          <t>Code Emprise</t>
        </is>
      </c>
      <c r="M132" s="12" t="inlineStr">
        <is>
          <t>G-I-NNN14</t>
        </is>
      </c>
      <c r="N132" s="12" t="b">
        <v>0</v>
      </c>
      <c r="O132" s="12" t="n"/>
      <c r="P132" s="12" t="n">
        <v>132</v>
      </c>
      <c r="Q132" s="12" t="n">
        <v>0</v>
      </c>
      <c r="R132" s="12" t="inlineStr">
        <is>
          <t>DEMO_PDM.xlsx</t>
        </is>
      </c>
      <c r="S132" s="24" t="n">
        <v>46309.625</v>
      </c>
    </row>
    <row r="133">
      <c r="A133" s="12" t="inlineStr">
        <is>
          <t>LRO</t>
        </is>
      </c>
      <c r="B133" s="12" t="inlineStr">
        <is>
          <t>AA3</t>
        </is>
      </c>
      <c r="C133" s="12" t="inlineStr">
        <is>
          <t>G-I-NNN14</t>
        </is>
      </c>
      <c r="D133" s="12" t="inlineStr">
        <is>
          <t>Poste fictif Xi</t>
        </is>
      </c>
      <c r="E133" s="12" t="inlineStr">
        <is>
          <t>SECTIONNEMENT</t>
        </is>
      </c>
      <c r="F133" s="12" t="n">
        <v>2029</v>
      </c>
      <c r="G133" s="12" t="inlineStr">
        <is>
          <t>PIS</t>
        </is>
      </c>
      <c r="H133" s="12" t="n">
        <v>1</v>
      </c>
      <c r="I133" s="12" t="inlineStr">
        <is>
          <t>PIS</t>
        </is>
      </c>
      <c r="J133" s="12" t="inlineStr">
        <is>
          <t>G-I-NNN14</t>
        </is>
      </c>
      <c r="K133" s="12" t="inlineStr">
        <is>
          <t>G-I-NNN14-INS07</t>
        </is>
      </c>
      <c r="L133" s="12" t="inlineStr">
        <is>
          <t>Code Emprise</t>
        </is>
      </c>
      <c r="M133" s="12" t="inlineStr">
        <is>
          <t>G-I-NNN14</t>
        </is>
      </c>
      <c r="N133" s="12" t="b">
        <v>0</v>
      </c>
      <c r="O133" s="12" t="n"/>
      <c r="P133" s="12" t="n">
        <v>133</v>
      </c>
      <c r="Q133" s="12" t="n">
        <v>0</v>
      </c>
      <c r="R133" s="12" t="inlineStr">
        <is>
          <t>DEMO_PDM.xlsx</t>
        </is>
      </c>
      <c r="S133" s="24" t="n">
        <v>46309.625</v>
      </c>
    </row>
    <row r="134">
      <c r="A134" s="12" t="inlineStr">
        <is>
          <t>LRO</t>
        </is>
      </c>
      <c r="B134" s="12" t="inlineStr">
        <is>
          <t>AA3</t>
        </is>
      </c>
      <c r="C134" s="12" t="inlineStr">
        <is>
          <t>G-I-NNN14</t>
        </is>
      </c>
      <c r="D134" s="12" t="inlineStr">
        <is>
          <t>Poste fictif Xi</t>
        </is>
      </c>
      <c r="E134" s="12" t="inlineStr">
        <is>
          <t>SECTIONNEMENT</t>
        </is>
      </c>
      <c r="F134" s="12" t="n">
        <v>2030</v>
      </c>
      <c r="G134" s="12" t="inlineStr">
        <is>
          <t>PIS</t>
        </is>
      </c>
      <c r="H134" s="12" t="n">
        <v>1</v>
      </c>
      <c r="I134" s="12" t="inlineStr">
        <is>
          <t>PIS</t>
        </is>
      </c>
      <c r="J134" s="12" t="inlineStr">
        <is>
          <t>G-I-NNN14</t>
        </is>
      </c>
      <c r="K134" s="12" t="inlineStr">
        <is>
          <t>G-I-NNN14-INS07</t>
        </is>
      </c>
      <c r="L134" s="12" t="inlineStr">
        <is>
          <t>Code Emprise</t>
        </is>
      </c>
      <c r="M134" s="12" t="inlineStr">
        <is>
          <t>G-I-NNN14</t>
        </is>
      </c>
      <c r="N134" s="12" t="b">
        <v>0</v>
      </c>
      <c r="O134" s="12" t="n"/>
      <c r="P134" s="12" t="n">
        <v>134</v>
      </c>
      <c r="Q134" s="12" t="n">
        <v>0</v>
      </c>
      <c r="R134" s="12" t="inlineStr">
        <is>
          <t>DEMO_PDM.xlsx</t>
        </is>
      </c>
      <c r="S134" s="24" t="n">
        <v>46309.625</v>
      </c>
    </row>
    <row r="135">
      <c r="A135" s="12" t="inlineStr">
        <is>
          <t>LRO</t>
        </is>
      </c>
      <c r="B135" s="12" t="inlineStr">
        <is>
          <t>AA3</t>
        </is>
      </c>
      <c r="C135" s="12" t="inlineStr">
        <is>
          <t>G-I-NNN14</t>
        </is>
      </c>
      <c r="D135" s="12" t="inlineStr">
        <is>
          <t>Poste fictif Xi</t>
        </is>
      </c>
      <c r="E135" s="12" t="inlineStr">
        <is>
          <t>SECTIONNEMENT</t>
        </is>
      </c>
      <c r="F135" s="12" t="n">
        <v>2030</v>
      </c>
      <c r="G135" s="12" t="inlineStr">
        <is>
          <t>EC SIMPLE</t>
        </is>
      </c>
      <c r="H135" s="12" t="n">
        <v>2</v>
      </c>
      <c r="I135" s="12" t="inlineStr">
        <is>
          <t>EC Simple</t>
        </is>
      </c>
      <c r="J135" s="12" t="inlineStr">
        <is>
          <t>G-I-NNN14</t>
        </is>
      </c>
      <c r="K135" s="12" t="inlineStr">
        <is>
          <t>G-I-NNN14-INS07</t>
        </is>
      </c>
      <c r="L135" s="12" t="inlineStr">
        <is>
          <t>Code Emprise</t>
        </is>
      </c>
      <c r="M135" s="12" t="inlineStr">
        <is>
          <t>G-I-NNN14</t>
        </is>
      </c>
      <c r="N135" s="12" t="b">
        <v>0</v>
      </c>
      <c r="O135" s="12" t="n"/>
      <c r="P135" s="12" t="n">
        <v>135</v>
      </c>
      <c r="Q135" s="12" t="n">
        <v>0</v>
      </c>
      <c r="R135" s="12" t="inlineStr">
        <is>
          <t>DEMO_PDM.xlsx</t>
        </is>
      </c>
      <c r="S135" s="24" t="n">
        <v>46309.625</v>
      </c>
    </row>
    <row r="136">
      <c r="A136" s="12" t="inlineStr">
        <is>
          <t>LRO</t>
        </is>
      </c>
      <c r="B136" s="12" t="inlineStr">
        <is>
          <t>AA3</t>
        </is>
      </c>
      <c r="C136" s="12" t="inlineStr">
        <is>
          <t>G-I-NNN14</t>
        </is>
      </c>
      <c r="D136" s="12" t="inlineStr">
        <is>
          <t>Poste fictif Xi</t>
        </is>
      </c>
      <c r="E136" s="12" t="inlineStr">
        <is>
          <t>SECTIONNEMENT</t>
        </is>
      </c>
      <c r="F136" s="12" t="n">
        <v>2031</v>
      </c>
      <c r="G136" s="12" t="inlineStr">
        <is>
          <t>PIS</t>
        </is>
      </c>
      <c r="H136" s="12" t="n">
        <v>1</v>
      </c>
      <c r="I136" s="12" t="inlineStr">
        <is>
          <t>PIS</t>
        </is>
      </c>
      <c r="J136" s="12" t="inlineStr">
        <is>
          <t>G-I-NNN14</t>
        </is>
      </c>
      <c r="K136" s="12" t="inlineStr">
        <is>
          <t>G-I-NNN14-INS07</t>
        </is>
      </c>
      <c r="L136" s="12" t="inlineStr">
        <is>
          <t>Code Emprise</t>
        </is>
      </c>
      <c r="M136" s="12" t="inlineStr">
        <is>
          <t>G-I-NNN14</t>
        </is>
      </c>
      <c r="N136" s="12" t="b">
        <v>0</v>
      </c>
      <c r="O136" s="12" t="n"/>
      <c r="P136" s="12" t="n">
        <v>136</v>
      </c>
      <c r="Q136" s="12" t="n">
        <v>0</v>
      </c>
      <c r="R136" s="12" t="inlineStr">
        <is>
          <t>DEMO_PDM.xlsx</t>
        </is>
      </c>
      <c r="S136" s="24" t="n">
        <v>46309.625</v>
      </c>
    </row>
    <row r="137">
      <c r="A137" s="12" t="inlineStr">
        <is>
          <t>LRO</t>
        </is>
      </c>
      <c r="B137" s="12" t="inlineStr">
        <is>
          <t>AA3</t>
        </is>
      </c>
      <c r="C137" s="12" t="inlineStr">
        <is>
          <t>G-I-NNN14</t>
        </is>
      </c>
      <c r="D137" s="12" t="inlineStr">
        <is>
          <t>Poste fictif Xi</t>
        </is>
      </c>
      <c r="E137" s="12" t="inlineStr">
        <is>
          <t>SECTIONNEMENT</t>
        </is>
      </c>
      <c r="F137" s="12" t="n">
        <v>2032</v>
      </c>
      <c r="G137" s="12" t="inlineStr">
        <is>
          <t>PIS</t>
        </is>
      </c>
      <c r="H137" s="12" t="n">
        <v>1</v>
      </c>
      <c r="I137" s="12" t="inlineStr">
        <is>
          <t>PIS</t>
        </is>
      </c>
      <c r="J137" s="12" t="inlineStr">
        <is>
          <t>G-I-NNN14</t>
        </is>
      </c>
      <c r="K137" s="12" t="inlineStr">
        <is>
          <t>G-I-NNN14-INS07</t>
        </is>
      </c>
      <c r="L137" s="12" t="inlineStr">
        <is>
          <t>Code Emprise</t>
        </is>
      </c>
      <c r="M137" s="12" t="inlineStr">
        <is>
          <t>G-I-NNN14</t>
        </is>
      </c>
      <c r="N137" s="12" t="b">
        <v>0</v>
      </c>
      <c r="O137" s="12" t="n"/>
      <c r="P137" s="12" t="n">
        <v>137</v>
      </c>
      <c r="Q137" s="12" t="n">
        <v>0</v>
      </c>
      <c r="R137" s="12" t="inlineStr">
        <is>
          <t>DEMO_PDM.xlsx</t>
        </is>
      </c>
      <c r="S137" s="24" t="n">
        <v>46309.625</v>
      </c>
    </row>
    <row r="138">
      <c r="A138" s="12" t="inlineStr">
        <is>
          <t>LRO</t>
        </is>
      </c>
      <c r="B138" s="12" t="inlineStr">
        <is>
          <t>AA3</t>
        </is>
      </c>
      <c r="C138" s="12" t="inlineStr">
        <is>
          <t>G-I-NNN14</t>
        </is>
      </c>
      <c r="D138" s="12" t="inlineStr">
        <is>
          <t>Poste fictif Xi</t>
        </is>
      </c>
      <c r="E138" s="12" t="inlineStr">
        <is>
          <t>SECTIONNEMENT</t>
        </is>
      </c>
      <c r="F138" s="12" t="n">
        <v>2032</v>
      </c>
      <c r="G138" s="12" t="inlineStr">
        <is>
          <t>EC FILTRE</t>
        </is>
      </c>
      <c r="H138" s="12" t="n">
        <v>3</v>
      </c>
      <c r="I138" s="12" t="inlineStr">
        <is>
          <t>EC Filtre</t>
        </is>
      </c>
      <c r="J138" s="12" t="inlineStr">
        <is>
          <t>G-I-NNN14</t>
        </is>
      </c>
      <c r="K138" s="12" t="inlineStr">
        <is>
          <t>G-I-NNN14-INS07</t>
        </is>
      </c>
      <c r="L138" s="12" t="inlineStr">
        <is>
          <t>Code Emprise</t>
        </is>
      </c>
      <c r="M138" s="12" t="inlineStr">
        <is>
          <t>G-I-NNN14</t>
        </is>
      </c>
      <c r="N138" s="12" t="b">
        <v>0</v>
      </c>
      <c r="O138" s="12" t="n"/>
      <c r="P138" s="12" t="n">
        <v>138</v>
      </c>
      <c r="Q138" s="12" t="n">
        <v>0</v>
      </c>
      <c r="R138" s="12" t="inlineStr">
        <is>
          <t>DEMO_PDM.xlsx</t>
        </is>
      </c>
      <c r="S138" s="24" t="n">
        <v>46309.625</v>
      </c>
    </row>
    <row r="139">
      <c r="A139" s="12" t="inlineStr">
        <is>
          <t>LRO</t>
        </is>
      </c>
      <c r="B139" s="12" t="inlineStr">
        <is>
          <t>AA4</t>
        </is>
      </c>
      <c r="C139" s="12" t="inlineStr">
        <is>
          <t>G-I-OOO15</t>
        </is>
      </c>
      <c r="D139" s="12" t="inlineStr">
        <is>
          <t>Poste fictif Omicron</t>
        </is>
      </c>
      <c r="E139" s="12" t="inlineStr">
        <is>
          <t>SECTIONNEMENT</t>
        </is>
      </c>
      <c r="F139" s="12" t="n">
        <v>2026</v>
      </c>
      <c r="G139" s="12" t="inlineStr">
        <is>
          <t>PIS</t>
        </is>
      </c>
      <c r="H139" s="12" t="n">
        <v>1</v>
      </c>
      <c r="I139" s="12" t="inlineStr">
        <is>
          <t>PIS</t>
        </is>
      </c>
      <c r="J139" s="12" t="inlineStr">
        <is>
          <t>G-I-OOO15</t>
        </is>
      </c>
      <c r="K139" s="12" t="inlineStr">
        <is>
          <t>G-I-OOO15-INS01</t>
        </is>
      </c>
      <c r="L139" s="12" t="inlineStr">
        <is>
          <t>Code Emprise</t>
        </is>
      </c>
      <c r="M139" s="12" t="inlineStr">
        <is>
          <t>G-I-OOO15</t>
        </is>
      </c>
      <c r="N139" s="12" t="b">
        <v>0</v>
      </c>
      <c r="O139" s="12" t="n"/>
      <c r="P139" s="12" t="n">
        <v>139</v>
      </c>
      <c r="Q139" s="12" t="n">
        <v>0</v>
      </c>
      <c r="R139" s="12" t="inlineStr">
        <is>
          <t>DEMO_PDM.xlsx</t>
        </is>
      </c>
      <c r="S139" s="24" t="n">
        <v>46309.625</v>
      </c>
    </row>
    <row r="140">
      <c r="A140" s="12" t="inlineStr">
        <is>
          <t>LRO</t>
        </is>
      </c>
      <c r="B140" s="12" t="inlineStr">
        <is>
          <t>AA4</t>
        </is>
      </c>
      <c r="C140" s="12" t="inlineStr">
        <is>
          <t>G-I-OOO15</t>
        </is>
      </c>
      <c r="D140" s="12" t="inlineStr">
        <is>
          <t>Poste fictif Omicron</t>
        </is>
      </c>
      <c r="E140" s="12" t="inlineStr">
        <is>
          <t>SECTIONNEMENT</t>
        </is>
      </c>
      <c r="F140" s="12" t="n">
        <v>2028</v>
      </c>
      <c r="G140" s="12" t="inlineStr">
        <is>
          <t>REVISION</t>
        </is>
      </c>
      <c r="H140" s="12" t="n">
        <v>4</v>
      </c>
      <c r="I140" s="12" t="inlineStr">
        <is>
          <t>Révision</t>
        </is>
      </c>
      <c r="J140" s="12" t="inlineStr">
        <is>
          <t>G-I-OOO15</t>
        </is>
      </c>
      <c r="K140" s="12" t="inlineStr">
        <is>
          <t>G-I-OOO15-INS01</t>
        </is>
      </c>
      <c r="L140" s="12" t="inlineStr">
        <is>
          <t>Code Emprise</t>
        </is>
      </c>
      <c r="M140" s="12" t="inlineStr">
        <is>
          <t>G-I-OOO15</t>
        </is>
      </c>
      <c r="N140" s="12" t="b">
        <v>0</v>
      </c>
      <c r="O140" s="12" t="n"/>
      <c r="P140" s="12" t="n">
        <v>140</v>
      </c>
      <c r="Q140" s="12" t="n">
        <v>0</v>
      </c>
      <c r="R140" s="12" t="inlineStr">
        <is>
          <t>DEMO_PDM.xlsx</t>
        </is>
      </c>
      <c r="S140" s="24" t="n">
        <v>46309.625</v>
      </c>
    </row>
    <row r="141">
      <c r="A141" s="12" t="inlineStr">
        <is>
          <t>LRO</t>
        </is>
      </c>
      <c r="B141" s="12" t="inlineStr">
        <is>
          <t>AA4</t>
        </is>
      </c>
      <c r="C141" s="12" t="inlineStr">
        <is>
          <t>G-I-OOO15</t>
        </is>
      </c>
      <c r="D141" s="12" t="inlineStr">
        <is>
          <t>Poste fictif Omicron</t>
        </is>
      </c>
      <c r="E141" s="12" t="inlineStr">
        <is>
          <t>SECTIONNEMENT</t>
        </is>
      </c>
      <c r="F141" s="12" t="n">
        <v>2030</v>
      </c>
      <c r="G141" s="12" t="inlineStr">
        <is>
          <t>PIS</t>
        </is>
      </c>
      <c r="H141" s="12" t="n">
        <v>1</v>
      </c>
      <c r="I141" s="12" t="inlineStr">
        <is>
          <t>PIS</t>
        </is>
      </c>
      <c r="J141" s="12" t="inlineStr">
        <is>
          <t>G-I-OOO15</t>
        </is>
      </c>
      <c r="K141" s="12" t="inlineStr">
        <is>
          <t>G-I-OOO15-INS01</t>
        </is>
      </c>
      <c r="L141" s="12" t="inlineStr">
        <is>
          <t>Code Emprise</t>
        </is>
      </c>
      <c r="M141" s="12" t="inlineStr">
        <is>
          <t>G-I-OOO15</t>
        </is>
      </c>
      <c r="N141" s="12" t="b">
        <v>0</v>
      </c>
      <c r="O141" s="12" t="n"/>
      <c r="P141" s="12" t="n">
        <v>141</v>
      </c>
      <c r="Q141" s="12" t="n">
        <v>0</v>
      </c>
      <c r="R141" s="12" t="inlineStr">
        <is>
          <t>DEMO_PDM.xlsx</t>
        </is>
      </c>
      <c r="S141" s="24" t="n">
        <v>46309.625</v>
      </c>
    </row>
    <row r="142">
      <c r="A142" s="12" t="inlineStr">
        <is>
          <t>LRO</t>
        </is>
      </c>
      <c r="B142" s="12" t="inlineStr">
        <is>
          <t>AA4</t>
        </is>
      </c>
      <c r="C142" s="12" t="inlineStr">
        <is>
          <t>G-I-OOO15</t>
        </is>
      </c>
      <c r="D142" s="12" t="inlineStr">
        <is>
          <t>Poste fictif Omicron</t>
        </is>
      </c>
      <c r="E142" s="12" t="inlineStr">
        <is>
          <t>SECTIONNEMENT</t>
        </is>
      </c>
      <c r="F142" s="12" t="n">
        <v>2031</v>
      </c>
      <c r="G142" s="12" t="inlineStr">
        <is>
          <t>EC SIMPLE</t>
        </is>
      </c>
      <c r="H142" s="12" t="n">
        <v>2</v>
      </c>
      <c r="I142" s="12" t="inlineStr">
        <is>
          <t>EC Simple</t>
        </is>
      </c>
      <c r="J142" s="12" t="inlineStr">
        <is>
          <t>G-I-OOO15</t>
        </is>
      </c>
      <c r="K142" s="12" t="inlineStr">
        <is>
          <t>G-I-OOO15-INS01</t>
        </is>
      </c>
      <c r="L142" s="12" t="inlineStr">
        <is>
          <t>Code Emprise</t>
        </is>
      </c>
      <c r="M142" s="12" t="inlineStr">
        <is>
          <t>G-I-OOO15</t>
        </is>
      </c>
      <c r="N142" s="12" t="b">
        <v>0</v>
      </c>
      <c r="O142" s="12" t="n"/>
      <c r="P142" s="12" t="n">
        <v>142</v>
      </c>
      <c r="Q142" s="12" t="n">
        <v>0</v>
      </c>
      <c r="R142" s="12" t="inlineStr">
        <is>
          <t>DEMO_PDM.xlsx</t>
        </is>
      </c>
      <c r="S142" s="24" t="n">
        <v>46309.625</v>
      </c>
    </row>
    <row r="143">
      <c r="A143" s="12" t="inlineStr">
        <is>
          <t>LRO</t>
        </is>
      </c>
      <c r="B143" s="12" t="inlineStr">
        <is>
          <t>AA4</t>
        </is>
      </c>
      <c r="C143" s="12" t="inlineStr">
        <is>
          <t>G-I-OOO15</t>
        </is>
      </c>
      <c r="D143" s="12" t="inlineStr">
        <is>
          <t>Poste fictif Omicron</t>
        </is>
      </c>
      <c r="E143" s="12" t="inlineStr">
        <is>
          <t>SECTIONNEMENT</t>
        </is>
      </c>
      <c r="F143" s="12" t="n">
        <v>2032</v>
      </c>
      <c r="G143" s="12" t="inlineStr">
        <is>
          <t>PIS</t>
        </is>
      </c>
      <c r="H143" s="12" t="n">
        <v>1</v>
      </c>
      <c r="I143" s="12" t="inlineStr">
        <is>
          <t>PIS</t>
        </is>
      </c>
      <c r="J143" s="12" t="inlineStr">
        <is>
          <t>G-I-OOO15</t>
        </is>
      </c>
      <c r="K143" s="12" t="inlineStr">
        <is>
          <t>G-I-OOO15-INS01</t>
        </is>
      </c>
      <c r="L143" s="12" t="inlineStr">
        <is>
          <t>Code Emprise</t>
        </is>
      </c>
      <c r="M143" s="12" t="inlineStr">
        <is>
          <t>G-I-OOO15</t>
        </is>
      </c>
      <c r="N143" s="12" t="b">
        <v>0</v>
      </c>
      <c r="O143" s="12" t="n"/>
      <c r="P143" s="12" t="n">
        <v>143</v>
      </c>
      <c r="Q143" s="12" t="n">
        <v>0</v>
      </c>
      <c r="R143" s="12" t="inlineStr">
        <is>
          <t>DEMO_PDM.xlsx</t>
        </is>
      </c>
      <c r="S143" s="24" t="n">
        <v>46309.625</v>
      </c>
    </row>
    <row r="144">
      <c r="A144" s="12" t="inlineStr">
        <is>
          <t>ALZ</t>
        </is>
      </c>
      <c r="B144" s="12" t="inlineStr">
        <is>
          <t>AA1</t>
        </is>
      </c>
      <c r="C144" s="12" t="inlineStr">
        <is>
          <t>G-I-PPP16</t>
        </is>
      </c>
      <c r="D144" s="12" t="inlineStr">
        <is>
          <t>Poste fictif Pi</t>
        </is>
      </c>
      <c r="E144" s="12" t="inlineStr">
        <is>
          <t>COMPTAGE</t>
        </is>
      </c>
      <c r="F144" s="12" t="n">
        <v>2026</v>
      </c>
      <c r="G144" s="12" t="inlineStr">
        <is>
          <t>PIS</t>
        </is>
      </c>
      <c r="H144" s="12" t="n">
        <v>1</v>
      </c>
      <c r="I144" s="12" t="inlineStr">
        <is>
          <t>PIS</t>
        </is>
      </c>
      <c r="J144" s="12" t="inlineStr">
        <is>
          <t>G-I-PPP16</t>
        </is>
      </c>
      <c r="K144" s="12" t="inlineStr">
        <is>
          <t>G-I-PPP16-INS02</t>
        </is>
      </c>
      <c r="L144" s="12" t="inlineStr">
        <is>
          <t>Code Emprise</t>
        </is>
      </c>
      <c r="M144" s="12" t="inlineStr">
        <is>
          <t>G-I-PPP16</t>
        </is>
      </c>
      <c r="N144" s="12" t="b">
        <v>0</v>
      </c>
      <c r="O144" s="12" t="n"/>
      <c r="P144" s="12" t="n">
        <v>144</v>
      </c>
      <c r="Q144" s="12" t="n">
        <v>0</v>
      </c>
      <c r="R144" s="12" t="inlineStr">
        <is>
          <t>DEMO_PDM.xlsx</t>
        </is>
      </c>
      <c r="S144" s="24" t="n">
        <v>46309.625</v>
      </c>
    </row>
    <row r="145">
      <c r="A145" s="12" t="inlineStr">
        <is>
          <t>ALZ</t>
        </is>
      </c>
      <c r="B145" s="12" t="inlineStr">
        <is>
          <t>AA1</t>
        </is>
      </c>
      <c r="C145" s="12" t="inlineStr">
        <is>
          <t>G-I-PPP16</t>
        </is>
      </c>
      <c r="D145" s="12" t="inlineStr">
        <is>
          <t>Poste fictif Pi</t>
        </is>
      </c>
      <c r="E145" s="12" t="inlineStr">
        <is>
          <t>COMPTAGE</t>
        </is>
      </c>
      <c r="F145" s="12" t="n">
        <v>2027</v>
      </c>
      <c r="G145" s="12" t="inlineStr">
        <is>
          <t>PIS</t>
        </is>
      </c>
      <c r="H145" s="12" t="n">
        <v>1</v>
      </c>
      <c r="I145" s="12" t="inlineStr">
        <is>
          <t>PIS</t>
        </is>
      </c>
      <c r="J145" s="12" t="inlineStr">
        <is>
          <t>G-I-PPP16</t>
        </is>
      </c>
      <c r="K145" s="12" t="inlineStr">
        <is>
          <t>G-I-PPP16-INS02</t>
        </is>
      </c>
      <c r="L145" s="12" t="inlineStr">
        <is>
          <t>Code Emprise</t>
        </is>
      </c>
      <c r="M145" s="12" t="inlineStr">
        <is>
          <t>G-I-PPP16</t>
        </is>
      </c>
      <c r="N145" s="12" t="b">
        <v>0</v>
      </c>
      <c r="O145" s="12" t="n"/>
      <c r="P145" s="12" t="n">
        <v>145</v>
      </c>
      <c r="Q145" s="12" t="n">
        <v>0</v>
      </c>
      <c r="R145" s="12" t="inlineStr">
        <is>
          <t>DEMO_PDM.xlsx</t>
        </is>
      </c>
      <c r="S145" s="24" t="n">
        <v>46309.625</v>
      </c>
    </row>
    <row r="146">
      <c r="A146" s="12" t="inlineStr">
        <is>
          <t>ALZ</t>
        </is>
      </c>
      <c r="B146" s="12" t="inlineStr">
        <is>
          <t>AA1</t>
        </is>
      </c>
      <c r="C146" s="12" t="inlineStr">
        <is>
          <t>G-I-PPP16</t>
        </is>
      </c>
      <c r="D146" s="12" t="inlineStr">
        <is>
          <t>Poste fictif Pi</t>
        </is>
      </c>
      <c r="E146" s="12" t="inlineStr">
        <is>
          <t>COMPTAGE</t>
        </is>
      </c>
      <c r="F146" s="12" t="n">
        <v>2028</v>
      </c>
      <c r="G146" s="12" t="inlineStr">
        <is>
          <t>REVISION</t>
        </is>
      </c>
      <c r="H146" s="12" t="n">
        <v>4</v>
      </c>
      <c r="I146" s="12" t="inlineStr">
        <is>
          <t>Révision</t>
        </is>
      </c>
      <c r="J146" s="12" t="inlineStr">
        <is>
          <t>G-I-PPP16</t>
        </is>
      </c>
      <c r="K146" s="12" t="inlineStr">
        <is>
          <t>G-I-PPP16-INS02</t>
        </is>
      </c>
      <c r="L146" s="12" t="inlineStr">
        <is>
          <t>Code Emprise</t>
        </is>
      </c>
      <c r="M146" s="12" t="inlineStr">
        <is>
          <t>G-I-PPP16</t>
        </is>
      </c>
      <c r="N146" s="12" t="b">
        <v>0</v>
      </c>
      <c r="O146" s="12" t="n"/>
      <c r="P146" s="12" t="n">
        <v>146</v>
      </c>
      <c r="Q146" s="12" t="n">
        <v>0</v>
      </c>
      <c r="R146" s="12" t="inlineStr">
        <is>
          <t>DEMO_PDM.xlsx</t>
        </is>
      </c>
      <c r="S146" s="24" t="n">
        <v>46309.625</v>
      </c>
    </row>
    <row r="147">
      <c r="A147" s="12" t="inlineStr">
        <is>
          <t>ALZ</t>
        </is>
      </c>
      <c r="B147" s="12" t="inlineStr">
        <is>
          <t>AA1</t>
        </is>
      </c>
      <c r="C147" s="12" t="inlineStr">
        <is>
          <t>G-I-PPP16</t>
        </is>
      </c>
      <c r="D147" s="12" t="inlineStr">
        <is>
          <t>Poste fictif Pi</t>
        </is>
      </c>
      <c r="E147" s="12" t="inlineStr">
        <is>
          <t>COMPTAGE</t>
        </is>
      </c>
      <c r="F147" s="12" t="n">
        <v>2029</v>
      </c>
      <c r="G147" s="12" t="inlineStr">
        <is>
          <t>PIS</t>
        </is>
      </c>
      <c r="H147" s="12" t="n">
        <v>1</v>
      </c>
      <c r="I147" s="12" t="inlineStr">
        <is>
          <t>PIS</t>
        </is>
      </c>
      <c r="J147" s="12" t="inlineStr">
        <is>
          <t>G-I-PPP16</t>
        </is>
      </c>
      <c r="K147" s="12" t="inlineStr">
        <is>
          <t>G-I-PPP16-INS02</t>
        </is>
      </c>
      <c r="L147" s="12" t="inlineStr">
        <is>
          <t>Code Emprise</t>
        </is>
      </c>
      <c r="M147" s="12" t="inlineStr">
        <is>
          <t>G-I-PPP16</t>
        </is>
      </c>
      <c r="N147" s="12" t="b">
        <v>0</v>
      </c>
      <c r="O147" s="12" t="n"/>
      <c r="P147" s="12" t="n">
        <v>147</v>
      </c>
      <c r="Q147" s="12" t="n">
        <v>0</v>
      </c>
      <c r="R147" s="12" t="inlineStr">
        <is>
          <t>DEMO_PDM.xlsx</t>
        </is>
      </c>
      <c r="S147" s="24" t="n">
        <v>46309.625</v>
      </c>
    </row>
    <row r="148">
      <c r="A148" s="12" t="inlineStr">
        <is>
          <t>ALZ</t>
        </is>
      </c>
      <c r="B148" s="12" t="inlineStr">
        <is>
          <t>AA1</t>
        </is>
      </c>
      <c r="C148" s="12" t="inlineStr">
        <is>
          <t>G-I-PPP16</t>
        </is>
      </c>
      <c r="D148" s="12" t="inlineStr">
        <is>
          <t>Poste fictif Pi</t>
        </is>
      </c>
      <c r="E148" s="12" t="inlineStr">
        <is>
          <t>COMPTAGE</t>
        </is>
      </c>
      <c r="F148" s="12" t="n">
        <v>2030</v>
      </c>
      <c r="G148" s="12" t="inlineStr">
        <is>
          <t>PIS</t>
        </is>
      </c>
      <c r="H148" s="12" t="n">
        <v>1</v>
      </c>
      <c r="I148" s="12" t="inlineStr">
        <is>
          <t>PIS</t>
        </is>
      </c>
      <c r="J148" s="12" t="inlineStr">
        <is>
          <t>G-I-PPP16</t>
        </is>
      </c>
      <c r="K148" s="12" t="inlineStr">
        <is>
          <t>G-I-PPP16-INS02</t>
        </is>
      </c>
      <c r="L148" s="12" t="inlineStr">
        <is>
          <t>Code Emprise</t>
        </is>
      </c>
      <c r="M148" s="12" t="inlineStr">
        <is>
          <t>G-I-PPP16</t>
        </is>
      </c>
      <c r="N148" s="12" t="b">
        <v>0</v>
      </c>
      <c r="O148" s="12" t="n"/>
      <c r="P148" s="12" t="n">
        <v>148</v>
      </c>
      <c r="Q148" s="12" t="n">
        <v>0</v>
      </c>
      <c r="R148" s="12" t="inlineStr">
        <is>
          <t>DEMO_PDM.xlsx</t>
        </is>
      </c>
      <c r="S148" s="24" t="n">
        <v>46309.625</v>
      </c>
    </row>
    <row r="149">
      <c r="A149" s="12" t="inlineStr">
        <is>
          <t>ALZ</t>
        </is>
      </c>
      <c r="B149" s="12" t="inlineStr">
        <is>
          <t>AA1</t>
        </is>
      </c>
      <c r="C149" s="12" t="inlineStr">
        <is>
          <t>G-I-PPP16</t>
        </is>
      </c>
      <c r="D149" s="12" t="inlineStr">
        <is>
          <t>Poste fictif Pi</t>
        </is>
      </c>
      <c r="E149" s="12" t="inlineStr">
        <is>
          <t>COMPTAGE</t>
        </is>
      </c>
      <c r="F149" s="12" t="n">
        <v>2031</v>
      </c>
      <c r="G149" s="12" t="inlineStr">
        <is>
          <t>PIS</t>
        </is>
      </c>
      <c r="H149" s="12" t="n">
        <v>1</v>
      </c>
      <c r="I149" s="12" t="inlineStr">
        <is>
          <t>PIS</t>
        </is>
      </c>
      <c r="J149" s="12" t="inlineStr">
        <is>
          <t>G-I-PPP16</t>
        </is>
      </c>
      <c r="K149" s="12" t="inlineStr">
        <is>
          <t>G-I-PPP16-INS02</t>
        </is>
      </c>
      <c r="L149" s="12" t="inlineStr">
        <is>
          <t>Code Emprise</t>
        </is>
      </c>
      <c r="M149" s="12" t="inlineStr">
        <is>
          <t>G-I-PPP16</t>
        </is>
      </c>
      <c r="N149" s="12" t="b">
        <v>0</v>
      </c>
      <c r="O149" s="12" t="n"/>
      <c r="P149" s="12" t="n">
        <v>149</v>
      </c>
      <c r="Q149" s="12" t="n">
        <v>0</v>
      </c>
      <c r="R149" s="12" t="inlineStr">
        <is>
          <t>DEMO_PDM.xlsx</t>
        </is>
      </c>
      <c r="S149" s="24" t="n">
        <v>46309.625</v>
      </c>
    </row>
    <row r="150">
      <c r="A150" s="12" t="inlineStr">
        <is>
          <t>ALZ</t>
        </is>
      </c>
      <c r="B150" s="12" t="inlineStr">
        <is>
          <t>AA1</t>
        </is>
      </c>
      <c r="C150" s="12" t="inlineStr">
        <is>
          <t>G-I-PPP16</t>
        </is>
      </c>
      <c r="D150" s="12" t="inlineStr">
        <is>
          <t>Poste fictif Pi</t>
        </is>
      </c>
      <c r="E150" s="12" t="inlineStr">
        <is>
          <t>COMPTAGE</t>
        </is>
      </c>
      <c r="F150" s="12" t="n">
        <v>2031</v>
      </c>
      <c r="G150" s="12" t="inlineStr">
        <is>
          <t>EC SIMPLE</t>
        </is>
      </c>
      <c r="H150" s="12" t="n">
        <v>2</v>
      </c>
      <c r="I150" s="12" t="inlineStr">
        <is>
          <t>EC Simple</t>
        </is>
      </c>
      <c r="J150" s="12" t="inlineStr">
        <is>
          <t>G-I-PPP16</t>
        </is>
      </c>
      <c r="K150" s="12" t="inlineStr">
        <is>
          <t>G-I-PPP16-INS02</t>
        </is>
      </c>
      <c r="L150" s="12" t="inlineStr">
        <is>
          <t>Code Emprise</t>
        </is>
      </c>
      <c r="M150" s="12" t="inlineStr">
        <is>
          <t>G-I-PPP16</t>
        </is>
      </c>
      <c r="N150" s="12" t="b">
        <v>0</v>
      </c>
      <c r="O150" s="12" t="n"/>
      <c r="P150" s="12" t="n">
        <v>150</v>
      </c>
      <c r="Q150" s="12" t="n">
        <v>0</v>
      </c>
      <c r="R150" s="12" t="inlineStr">
        <is>
          <t>DEMO_PDM.xlsx</t>
        </is>
      </c>
      <c r="S150" s="24" t="n">
        <v>46309.625</v>
      </c>
    </row>
    <row r="151">
      <c r="A151" s="12" t="inlineStr">
        <is>
          <t>ALZ</t>
        </is>
      </c>
      <c r="B151" s="12" t="inlineStr">
        <is>
          <t>AA1</t>
        </is>
      </c>
      <c r="C151" s="12" t="inlineStr">
        <is>
          <t>G-I-PPP16</t>
        </is>
      </c>
      <c r="D151" s="12" t="inlineStr">
        <is>
          <t>Poste fictif Pi</t>
        </is>
      </c>
      <c r="E151" s="12" t="inlineStr">
        <is>
          <t>COMPTAGE</t>
        </is>
      </c>
      <c r="F151" s="12" t="n">
        <v>2032</v>
      </c>
      <c r="G151" s="12" t="inlineStr">
        <is>
          <t>PIS</t>
        </is>
      </c>
      <c r="H151" s="12" t="n">
        <v>1</v>
      </c>
      <c r="I151" s="12" t="inlineStr">
        <is>
          <t>PIS</t>
        </is>
      </c>
      <c r="J151" s="12" t="inlineStr">
        <is>
          <t>G-I-PPP16</t>
        </is>
      </c>
      <c r="K151" s="12" t="inlineStr">
        <is>
          <t>G-I-PPP16-INS02</t>
        </is>
      </c>
      <c r="L151" s="12" t="inlineStr">
        <is>
          <t>Code Emprise</t>
        </is>
      </c>
      <c r="M151" s="12" t="inlineStr">
        <is>
          <t>G-I-PPP16</t>
        </is>
      </c>
      <c r="N151" s="12" t="b">
        <v>0</v>
      </c>
      <c r="O151" s="12" t="n"/>
      <c r="P151" s="12" t="n">
        <v>151</v>
      </c>
      <c r="Q151" s="12" t="n">
        <v>0</v>
      </c>
      <c r="R151" s="12" t="inlineStr">
        <is>
          <t>DEMO_PDM.xlsx</t>
        </is>
      </c>
      <c r="S151" s="24" t="n">
        <v>46309.625</v>
      </c>
    </row>
    <row r="152">
      <c r="A152" s="12" t="inlineStr">
        <is>
          <t>ALZ</t>
        </is>
      </c>
      <c r="B152" s="12" t="inlineStr">
        <is>
          <t>AA3</t>
        </is>
      </c>
      <c r="C152" s="12" t="inlineStr">
        <is>
          <t>G-I-QQQ17</t>
        </is>
      </c>
      <c r="D152" s="12" t="inlineStr">
        <is>
          <t>Poste fictif Rho</t>
        </is>
      </c>
      <c r="E152" s="12" t="inlineStr">
        <is>
          <t>DETENTE</t>
        </is>
      </c>
      <c r="F152" s="12" t="n">
        <v>2026</v>
      </c>
      <c r="G152" s="12" t="inlineStr">
        <is>
          <t>PIS</t>
        </is>
      </c>
      <c r="H152" s="12" t="n">
        <v>1</v>
      </c>
      <c r="I152" s="12" t="inlineStr">
        <is>
          <t>PIS</t>
        </is>
      </c>
      <c r="J152" s="12" t="inlineStr">
        <is>
          <t>G-I-QQQ17</t>
        </is>
      </c>
      <c r="K152" s="12" t="inlineStr">
        <is>
          <t>G-I-QQQ17-INS03</t>
        </is>
      </c>
      <c r="L152" s="12" t="inlineStr">
        <is>
          <t>Code Emprise</t>
        </is>
      </c>
      <c r="M152" s="12" t="inlineStr">
        <is>
          <t>G-I-QQQ17</t>
        </is>
      </c>
      <c r="N152" s="12" t="b">
        <v>0</v>
      </c>
      <c r="O152" s="12" t="n"/>
      <c r="P152" s="12" t="n">
        <v>152</v>
      </c>
      <c r="Q152" s="12" t="n">
        <v>0</v>
      </c>
      <c r="R152" s="12" t="inlineStr">
        <is>
          <t>DEMO_PDM.xlsx</t>
        </is>
      </c>
      <c r="S152" s="24" t="n">
        <v>46309.625</v>
      </c>
    </row>
    <row r="153">
      <c r="A153" s="12" t="inlineStr">
        <is>
          <t>ALZ</t>
        </is>
      </c>
      <c r="B153" s="12" t="inlineStr">
        <is>
          <t>AA3</t>
        </is>
      </c>
      <c r="C153" s="12" t="inlineStr">
        <is>
          <t>G-I-QQQ17</t>
        </is>
      </c>
      <c r="D153" s="12" t="inlineStr">
        <is>
          <t>Poste fictif Rho</t>
        </is>
      </c>
      <c r="E153" s="12" t="inlineStr">
        <is>
          <t>DETENTE</t>
        </is>
      </c>
      <c r="F153" s="12" t="n">
        <v>2026</v>
      </c>
      <c r="G153" s="12" t="inlineStr">
        <is>
          <t>EC FILTRE</t>
        </is>
      </c>
      <c r="H153" s="12" t="n">
        <v>3</v>
      </c>
      <c r="I153" s="12" t="inlineStr">
        <is>
          <t>EC Filtre</t>
        </is>
      </c>
      <c r="J153" s="12" t="inlineStr">
        <is>
          <t>G-I-QQQ17</t>
        </is>
      </c>
      <c r="K153" s="12" t="inlineStr">
        <is>
          <t>G-I-QQQ17-INS03</t>
        </is>
      </c>
      <c r="L153" s="12" t="inlineStr">
        <is>
          <t>Code Emprise</t>
        </is>
      </c>
      <c r="M153" s="12" t="inlineStr">
        <is>
          <t>G-I-QQQ17</t>
        </is>
      </c>
      <c r="N153" s="12" t="b">
        <v>0</v>
      </c>
      <c r="O153" s="12" t="n"/>
      <c r="P153" s="12" t="n">
        <v>153</v>
      </c>
      <c r="Q153" s="12" t="n">
        <v>0</v>
      </c>
      <c r="R153" s="12" t="inlineStr">
        <is>
          <t>DEMO_PDM.xlsx</t>
        </is>
      </c>
      <c r="S153" s="24" t="n">
        <v>46309.625</v>
      </c>
    </row>
    <row r="154">
      <c r="A154" s="12" t="inlineStr">
        <is>
          <t>ALZ</t>
        </is>
      </c>
      <c r="B154" s="12" t="inlineStr">
        <is>
          <t>AA3</t>
        </is>
      </c>
      <c r="C154" s="12" t="inlineStr">
        <is>
          <t>G-I-QQQ17</t>
        </is>
      </c>
      <c r="D154" s="12" t="inlineStr">
        <is>
          <t>Poste fictif Rho</t>
        </is>
      </c>
      <c r="E154" s="12" t="inlineStr">
        <is>
          <t>DETENTE</t>
        </is>
      </c>
      <c r="F154" s="12" t="n">
        <v>2026</v>
      </c>
      <c r="G154" s="12" t="inlineStr">
        <is>
          <t>REVISION</t>
        </is>
      </c>
      <c r="H154" s="12" t="n">
        <v>4</v>
      </c>
      <c r="I154" s="12" t="inlineStr">
        <is>
          <t>Révision</t>
        </is>
      </c>
      <c r="J154" s="12" t="inlineStr">
        <is>
          <t>G-I-QQQ17</t>
        </is>
      </c>
      <c r="K154" s="12" t="inlineStr">
        <is>
          <t>G-I-QQQ17-INS03</t>
        </is>
      </c>
      <c r="L154" s="12" t="inlineStr">
        <is>
          <t>Code Emprise</t>
        </is>
      </c>
      <c r="M154" s="12" t="inlineStr">
        <is>
          <t>G-I-QQQ17</t>
        </is>
      </c>
      <c r="N154" s="12" t="b">
        <v>0</v>
      </c>
      <c r="O154" s="12" t="n"/>
      <c r="P154" s="12" t="n">
        <v>154</v>
      </c>
      <c r="Q154" s="12" t="n">
        <v>0</v>
      </c>
      <c r="R154" s="12" t="inlineStr">
        <is>
          <t>DEMO_PDM.xlsx</t>
        </is>
      </c>
      <c r="S154" s="24" t="n">
        <v>46309.625</v>
      </c>
    </row>
    <row r="155">
      <c r="A155" s="12" t="inlineStr">
        <is>
          <t>ALZ</t>
        </is>
      </c>
      <c r="B155" s="12" t="inlineStr">
        <is>
          <t>AA3</t>
        </is>
      </c>
      <c r="C155" s="12" t="inlineStr">
        <is>
          <t>G-I-QQQ17</t>
        </is>
      </c>
      <c r="D155" s="12" t="inlineStr">
        <is>
          <t>Poste fictif Rho</t>
        </is>
      </c>
      <c r="E155" s="12" t="inlineStr">
        <is>
          <t>DETENTE</t>
        </is>
      </c>
      <c r="F155" s="12" t="n">
        <v>2027</v>
      </c>
      <c r="G155" s="12" t="inlineStr">
        <is>
          <t>PIS</t>
        </is>
      </c>
      <c r="H155" s="12" t="n">
        <v>1</v>
      </c>
      <c r="I155" s="12" t="inlineStr">
        <is>
          <t>PIS</t>
        </is>
      </c>
      <c r="J155" s="12" t="inlineStr">
        <is>
          <t>G-I-QQQ17</t>
        </is>
      </c>
      <c r="K155" s="12" t="inlineStr">
        <is>
          <t>G-I-QQQ17-INS03</t>
        </is>
      </c>
      <c r="L155" s="12" t="inlineStr">
        <is>
          <t>Code Emprise</t>
        </is>
      </c>
      <c r="M155" s="12" t="inlineStr">
        <is>
          <t>G-I-QQQ17</t>
        </is>
      </c>
      <c r="N155" s="12" t="b">
        <v>0</v>
      </c>
      <c r="O155" s="12" t="n"/>
      <c r="P155" s="12" t="n">
        <v>155</v>
      </c>
      <c r="Q155" s="12" t="n">
        <v>0</v>
      </c>
      <c r="R155" s="12" t="inlineStr">
        <is>
          <t>DEMO_PDM.xlsx</t>
        </is>
      </c>
      <c r="S155" s="24" t="n">
        <v>46309.625</v>
      </c>
    </row>
    <row r="156">
      <c r="A156" s="12" t="inlineStr">
        <is>
          <t>ALZ</t>
        </is>
      </c>
      <c r="B156" s="12" t="inlineStr">
        <is>
          <t>AA3</t>
        </is>
      </c>
      <c r="C156" s="12" t="inlineStr">
        <is>
          <t>G-I-QQQ17</t>
        </is>
      </c>
      <c r="D156" s="12" t="inlineStr">
        <is>
          <t>Poste fictif Rho</t>
        </is>
      </c>
      <c r="E156" s="12" t="inlineStr">
        <is>
          <t>DETENTE</t>
        </is>
      </c>
      <c r="F156" s="12" t="n">
        <v>2028</v>
      </c>
      <c r="G156" s="12" t="inlineStr">
        <is>
          <t>PIS</t>
        </is>
      </c>
      <c r="H156" s="12" t="n">
        <v>1</v>
      </c>
      <c r="I156" s="12" t="inlineStr">
        <is>
          <t>PIS</t>
        </is>
      </c>
      <c r="J156" s="12" t="inlineStr">
        <is>
          <t>G-I-QQQ17</t>
        </is>
      </c>
      <c r="K156" s="12" t="inlineStr">
        <is>
          <t>G-I-QQQ17-INS03</t>
        </is>
      </c>
      <c r="L156" s="12" t="inlineStr">
        <is>
          <t>Code Emprise</t>
        </is>
      </c>
      <c r="M156" s="12" t="inlineStr">
        <is>
          <t>G-I-QQQ17</t>
        </is>
      </c>
      <c r="N156" s="12" t="b">
        <v>0</v>
      </c>
      <c r="O156" s="12" t="n"/>
      <c r="P156" s="12" t="n">
        <v>156</v>
      </c>
      <c r="Q156" s="12" t="n">
        <v>0</v>
      </c>
      <c r="R156" s="12" t="inlineStr">
        <is>
          <t>DEMO_PDM.xlsx</t>
        </is>
      </c>
      <c r="S156" s="24" t="n">
        <v>46309.625</v>
      </c>
    </row>
    <row r="157">
      <c r="A157" s="12" t="inlineStr">
        <is>
          <t>ALZ</t>
        </is>
      </c>
      <c r="B157" s="12" t="inlineStr">
        <is>
          <t>AA3</t>
        </is>
      </c>
      <c r="C157" s="12" t="inlineStr">
        <is>
          <t>G-I-QQQ17</t>
        </is>
      </c>
      <c r="D157" s="12" t="inlineStr">
        <is>
          <t>Poste fictif Rho</t>
        </is>
      </c>
      <c r="E157" s="12" t="inlineStr">
        <is>
          <t>DETENTE</t>
        </is>
      </c>
      <c r="F157" s="12" t="n">
        <v>2029</v>
      </c>
      <c r="G157" s="12" t="inlineStr">
        <is>
          <t>PIS</t>
        </is>
      </c>
      <c r="H157" s="12" t="n">
        <v>1</v>
      </c>
      <c r="I157" s="12" t="inlineStr">
        <is>
          <t>PIS</t>
        </is>
      </c>
      <c r="J157" s="12" t="inlineStr">
        <is>
          <t>G-I-QQQ17</t>
        </is>
      </c>
      <c r="K157" s="12" t="inlineStr">
        <is>
          <t>G-I-QQQ17-INS03</t>
        </is>
      </c>
      <c r="L157" s="12" t="inlineStr">
        <is>
          <t>Code Emprise</t>
        </is>
      </c>
      <c r="M157" s="12" t="inlineStr">
        <is>
          <t>G-I-QQQ17</t>
        </is>
      </c>
      <c r="N157" s="12" t="b">
        <v>0</v>
      </c>
      <c r="O157" s="12" t="n"/>
      <c r="P157" s="12" t="n">
        <v>157</v>
      </c>
      <c r="Q157" s="12" t="n">
        <v>0</v>
      </c>
      <c r="R157" s="12" t="inlineStr">
        <is>
          <t>DEMO_PDM.xlsx</t>
        </is>
      </c>
      <c r="S157" s="24" t="n">
        <v>46309.625</v>
      </c>
    </row>
    <row r="158">
      <c r="A158" s="12" t="inlineStr">
        <is>
          <t>ALZ</t>
        </is>
      </c>
      <c r="B158" s="12" t="inlineStr">
        <is>
          <t>AA3</t>
        </is>
      </c>
      <c r="C158" s="12" t="inlineStr">
        <is>
          <t>G-I-QQQ17</t>
        </is>
      </c>
      <c r="D158" s="12" t="inlineStr">
        <is>
          <t>Poste fictif Rho</t>
        </is>
      </c>
      <c r="E158" s="12" t="inlineStr">
        <is>
          <t>DETENTE</t>
        </is>
      </c>
      <c r="F158" s="12" t="n">
        <v>2029</v>
      </c>
      <c r="G158" s="12" t="inlineStr">
        <is>
          <t>EC SIMPLE</t>
        </is>
      </c>
      <c r="H158" s="12" t="n">
        <v>2</v>
      </c>
      <c r="I158" s="12" t="inlineStr">
        <is>
          <t>EC Simple</t>
        </is>
      </c>
      <c r="J158" s="12" t="inlineStr">
        <is>
          <t>G-I-QQQ17</t>
        </is>
      </c>
      <c r="K158" s="12" t="inlineStr">
        <is>
          <t>G-I-QQQ17-INS03</t>
        </is>
      </c>
      <c r="L158" s="12" t="inlineStr">
        <is>
          <t>Code Emprise</t>
        </is>
      </c>
      <c r="M158" s="12" t="inlineStr">
        <is>
          <t>G-I-QQQ17</t>
        </is>
      </c>
      <c r="N158" s="12" t="b">
        <v>0</v>
      </c>
      <c r="O158" s="12" t="n"/>
      <c r="P158" s="12" t="n">
        <v>158</v>
      </c>
      <c r="Q158" s="12" t="n">
        <v>0</v>
      </c>
      <c r="R158" s="12" t="inlineStr">
        <is>
          <t>DEMO_PDM.xlsx</t>
        </is>
      </c>
      <c r="S158" s="24" t="n">
        <v>46309.625</v>
      </c>
    </row>
    <row r="159">
      <c r="A159" s="12" t="inlineStr">
        <is>
          <t>ALZ</t>
        </is>
      </c>
      <c r="B159" s="12" t="inlineStr">
        <is>
          <t>AA3</t>
        </is>
      </c>
      <c r="C159" s="12" t="inlineStr">
        <is>
          <t>G-I-QQQ17</t>
        </is>
      </c>
      <c r="D159" s="12" t="inlineStr">
        <is>
          <t>Poste fictif Rho</t>
        </is>
      </c>
      <c r="E159" s="12" t="inlineStr">
        <is>
          <t>DETENTE</t>
        </is>
      </c>
      <c r="F159" s="12" t="n">
        <v>2030</v>
      </c>
      <c r="G159" s="12" t="inlineStr">
        <is>
          <t>PIS</t>
        </is>
      </c>
      <c r="H159" s="12" t="n">
        <v>1</v>
      </c>
      <c r="I159" s="12" t="inlineStr">
        <is>
          <t>PIS</t>
        </is>
      </c>
      <c r="J159" s="12" t="inlineStr">
        <is>
          <t>G-I-QQQ17</t>
        </is>
      </c>
      <c r="K159" s="12" t="inlineStr">
        <is>
          <t>G-I-QQQ17-INS03</t>
        </is>
      </c>
      <c r="L159" s="12" t="inlineStr">
        <is>
          <t>Code Emprise</t>
        </is>
      </c>
      <c r="M159" s="12" t="inlineStr">
        <is>
          <t>G-I-QQQ17</t>
        </is>
      </c>
      <c r="N159" s="12" t="b">
        <v>0</v>
      </c>
      <c r="O159" s="12" t="n"/>
      <c r="P159" s="12" t="n">
        <v>159</v>
      </c>
      <c r="Q159" s="12" t="n">
        <v>0</v>
      </c>
      <c r="R159" s="12" t="inlineStr">
        <is>
          <t>DEMO_PDM.xlsx</t>
        </is>
      </c>
      <c r="S159" s="24" t="n">
        <v>46309.625</v>
      </c>
    </row>
    <row r="160">
      <c r="A160" s="12" t="inlineStr">
        <is>
          <t>ALZ</t>
        </is>
      </c>
      <c r="B160" s="12" t="inlineStr">
        <is>
          <t>AA3</t>
        </is>
      </c>
      <c r="C160" s="12" t="inlineStr">
        <is>
          <t>G-I-QQQ17</t>
        </is>
      </c>
      <c r="D160" s="12" t="inlineStr">
        <is>
          <t>Poste fictif Rho</t>
        </is>
      </c>
      <c r="E160" s="12" t="inlineStr">
        <is>
          <t>DETENTE</t>
        </is>
      </c>
      <c r="F160" s="12" t="n">
        <v>2031</v>
      </c>
      <c r="G160" s="12" t="inlineStr">
        <is>
          <t>PIS</t>
        </is>
      </c>
      <c r="H160" s="12" t="n">
        <v>1</v>
      </c>
      <c r="I160" s="12" t="inlineStr">
        <is>
          <t>PIS</t>
        </is>
      </c>
      <c r="J160" s="12" t="inlineStr">
        <is>
          <t>G-I-QQQ17</t>
        </is>
      </c>
      <c r="K160" s="12" t="inlineStr">
        <is>
          <t>G-I-QQQ17-INS03</t>
        </is>
      </c>
      <c r="L160" s="12" t="inlineStr">
        <is>
          <t>Code Emprise</t>
        </is>
      </c>
      <c r="M160" s="12" t="inlineStr">
        <is>
          <t>G-I-QQQ17</t>
        </is>
      </c>
      <c r="N160" s="12" t="b">
        <v>0</v>
      </c>
      <c r="O160" s="12" t="n"/>
      <c r="P160" s="12" t="n">
        <v>160</v>
      </c>
      <c r="Q160" s="12" t="n">
        <v>0</v>
      </c>
      <c r="R160" s="12" t="inlineStr">
        <is>
          <t>DEMO_PDM.xlsx</t>
        </is>
      </c>
      <c r="S160" s="24" t="n">
        <v>46309.625</v>
      </c>
    </row>
    <row r="161">
      <c r="A161" s="12" t="inlineStr">
        <is>
          <t>ALZ</t>
        </is>
      </c>
      <c r="B161" s="12" t="inlineStr">
        <is>
          <t>AA3</t>
        </is>
      </c>
      <c r="C161" s="12" t="inlineStr">
        <is>
          <t>G-I-QQQ17</t>
        </is>
      </c>
      <c r="D161" s="12" t="inlineStr">
        <is>
          <t>Poste fictif Rho</t>
        </is>
      </c>
      <c r="E161" s="12" t="inlineStr">
        <is>
          <t>DETENTE</t>
        </is>
      </c>
      <c r="F161" s="12" t="n">
        <v>2032</v>
      </c>
      <c r="G161" s="12" t="inlineStr">
        <is>
          <t>PIS</t>
        </is>
      </c>
      <c r="H161" s="12" t="n">
        <v>1</v>
      </c>
      <c r="I161" s="12" t="inlineStr">
        <is>
          <t>PIS</t>
        </is>
      </c>
      <c r="J161" s="12" t="inlineStr">
        <is>
          <t>G-I-QQQ17</t>
        </is>
      </c>
      <c r="K161" s="12" t="inlineStr">
        <is>
          <t>G-I-QQQ17-INS03</t>
        </is>
      </c>
      <c r="L161" s="12" t="inlineStr">
        <is>
          <t>Code Emprise</t>
        </is>
      </c>
      <c r="M161" s="12" t="inlineStr">
        <is>
          <t>G-I-QQQ17</t>
        </is>
      </c>
      <c r="N161" s="12" t="b">
        <v>0</v>
      </c>
      <c r="O161" s="12" t="n"/>
      <c r="P161" s="12" t="n">
        <v>161</v>
      </c>
      <c r="Q161" s="12" t="n">
        <v>0</v>
      </c>
      <c r="R161" s="12" t="inlineStr">
        <is>
          <t>DEMO_PDM.xlsx</t>
        </is>
      </c>
      <c r="S161" s="24" t="n">
        <v>46309.625</v>
      </c>
    </row>
    <row r="162">
      <c r="A162" s="12" t="inlineStr">
        <is>
          <t>ALZ</t>
        </is>
      </c>
      <c r="B162" s="12" t="inlineStr">
        <is>
          <t>AA3</t>
        </is>
      </c>
      <c r="C162" s="12" t="inlineStr">
        <is>
          <t>G-I-QQQ17</t>
        </is>
      </c>
      <c r="D162" s="12" t="inlineStr">
        <is>
          <t>Poste fictif Rho</t>
        </is>
      </c>
      <c r="E162" s="12" t="inlineStr">
        <is>
          <t>DETENTE</t>
        </is>
      </c>
      <c r="F162" s="12" t="n">
        <v>2032</v>
      </c>
      <c r="G162" s="12" t="inlineStr">
        <is>
          <t>EC FILTRE</t>
        </is>
      </c>
      <c r="H162" s="12" t="n">
        <v>3</v>
      </c>
      <c r="I162" s="12" t="inlineStr">
        <is>
          <t>EC Filtre</t>
        </is>
      </c>
      <c r="J162" s="12" t="inlineStr">
        <is>
          <t>G-I-QQQ17</t>
        </is>
      </c>
      <c r="K162" s="12" t="inlineStr">
        <is>
          <t>G-I-QQQ17-INS03</t>
        </is>
      </c>
      <c r="L162" s="12" t="inlineStr">
        <is>
          <t>Code Emprise</t>
        </is>
      </c>
      <c r="M162" s="12" t="inlineStr">
        <is>
          <t>G-I-QQQ17</t>
        </is>
      </c>
      <c r="N162" s="12" t="b">
        <v>0</v>
      </c>
      <c r="O162" s="12" t="n"/>
      <c r="P162" s="12" t="n">
        <v>162</v>
      </c>
      <c r="Q162" s="12" t="n">
        <v>0</v>
      </c>
      <c r="R162" s="12" t="inlineStr">
        <is>
          <t>DEMO_PDM.xlsx</t>
        </is>
      </c>
      <c r="S162" s="24" t="n">
        <v>46309.625</v>
      </c>
    </row>
    <row r="163">
      <c r="A163" s="12" t="inlineStr">
        <is>
          <t>ALZ</t>
        </is>
      </c>
      <c r="B163" s="12" t="inlineStr">
        <is>
          <t>AA3</t>
        </is>
      </c>
      <c r="C163" s="12" t="inlineStr">
        <is>
          <t>G-I-QQQ17</t>
        </is>
      </c>
      <c r="D163" s="12" t="inlineStr">
        <is>
          <t>Poste fictif Rho</t>
        </is>
      </c>
      <c r="E163" s="12" t="inlineStr">
        <is>
          <t>DETENTE</t>
        </is>
      </c>
      <c r="F163" s="12" t="n">
        <v>2032</v>
      </c>
      <c r="G163" s="12" t="inlineStr">
        <is>
          <t>REVISION</t>
        </is>
      </c>
      <c r="H163" s="12" t="n">
        <v>4</v>
      </c>
      <c r="I163" s="12" t="inlineStr">
        <is>
          <t>Révision</t>
        </is>
      </c>
      <c r="J163" s="12" t="inlineStr">
        <is>
          <t>G-I-QQQ17</t>
        </is>
      </c>
      <c r="K163" s="12" t="inlineStr">
        <is>
          <t>G-I-QQQ17-INS03</t>
        </is>
      </c>
      <c r="L163" s="12" t="inlineStr">
        <is>
          <t>Code Emprise</t>
        </is>
      </c>
      <c r="M163" s="12" t="inlineStr">
        <is>
          <t>G-I-QQQ17</t>
        </is>
      </c>
      <c r="N163" s="12" t="b">
        <v>0</v>
      </c>
      <c r="O163" s="12" t="n"/>
      <c r="P163" s="12" t="n">
        <v>163</v>
      </c>
      <c r="Q163" s="12" t="n">
        <v>0</v>
      </c>
      <c r="R163" s="12" t="inlineStr">
        <is>
          <t>DEMO_PDM.xlsx</t>
        </is>
      </c>
      <c r="S163" s="24" t="n">
        <v>46309.625</v>
      </c>
    </row>
    <row r="164">
      <c r="A164" s="12" t="inlineStr">
        <is>
          <t>ALZ</t>
        </is>
      </c>
      <c r="B164" s="12" t="inlineStr">
        <is>
          <t>AA4</t>
        </is>
      </c>
      <c r="C164" s="12" t="inlineStr">
        <is>
          <t>G-I-RRR18</t>
        </is>
      </c>
      <c r="D164" s="12" t="inlineStr">
        <is>
          <t>Poste fictif Sigma</t>
        </is>
      </c>
      <c r="E164" s="12" t="inlineStr">
        <is>
          <t>LIVRAISON</t>
        </is>
      </c>
      <c r="F164" s="12" t="n">
        <v>2026</v>
      </c>
      <c r="G164" s="12" t="inlineStr">
        <is>
          <t>PIS</t>
        </is>
      </c>
      <c r="H164" s="12" t="n">
        <v>1</v>
      </c>
      <c r="I164" s="12" t="inlineStr">
        <is>
          <t>PIS</t>
        </is>
      </c>
      <c r="J164" s="12" t="n"/>
      <c r="K164" s="12" t="inlineStr">
        <is>
          <t>G-I-RRR18-INS04</t>
        </is>
      </c>
      <c r="L164" s="12" t="inlineStr">
        <is>
          <t>Code Installation (9 car.)</t>
        </is>
      </c>
      <c r="M164" s="12" t="inlineStr">
        <is>
          <t>G-I-RRR18</t>
        </is>
      </c>
      <c r="N164" s="12" t="b">
        <v>0</v>
      </c>
      <c r="O164" s="12" t="inlineStr">
        <is>
          <t>PDM : Code Emprise vide (code repris du Code Installation)</t>
        </is>
      </c>
      <c r="P164" s="12" t="n">
        <v>164</v>
      </c>
      <c r="Q164" s="12" t="n">
        <v>0</v>
      </c>
      <c r="R164" s="12" t="inlineStr">
        <is>
          <t>DEMO_PDM.xlsx</t>
        </is>
      </c>
      <c r="S164" s="24" t="n">
        <v>46309.625</v>
      </c>
    </row>
    <row r="165">
      <c r="A165" s="12" t="inlineStr">
        <is>
          <t>ALZ</t>
        </is>
      </c>
      <c r="B165" s="12" t="inlineStr">
        <is>
          <t>AA4</t>
        </is>
      </c>
      <c r="C165" s="12" t="inlineStr">
        <is>
          <t>G-I-RRR18</t>
        </is>
      </c>
      <c r="D165" s="12" t="inlineStr">
        <is>
          <t>Poste fictif Sigma</t>
        </is>
      </c>
      <c r="E165" s="12" t="inlineStr">
        <is>
          <t>LIVRAISON</t>
        </is>
      </c>
      <c r="F165" s="12" t="n">
        <v>2027</v>
      </c>
      <c r="G165" s="12" t="inlineStr">
        <is>
          <t>PIS</t>
        </is>
      </c>
      <c r="H165" s="12" t="n">
        <v>1</v>
      </c>
      <c r="I165" s="12" t="inlineStr">
        <is>
          <t>PIS</t>
        </is>
      </c>
      <c r="J165" s="12" t="n"/>
      <c r="K165" s="12" t="inlineStr">
        <is>
          <t>G-I-RRR18-INS04</t>
        </is>
      </c>
      <c r="L165" s="12" t="inlineStr">
        <is>
          <t>Code Installation (9 car.)</t>
        </is>
      </c>
      <c r="M165" s="12" t="inlineStr">
        <is>
          <t>G-I-RRR18</t>
        </is>
      </c>
      <c r="N165" s="12" t="b">
        <v>0</v>
      </c>
      <c r="O165" s="12" t="inlineStr">
        <is>
          <t>PDM : Code Emprise vide (code repris du Code Installation)</t>
        </is>
      </c>
      <c r="P165" s="12" t="n">
        <v>165</v>
      </c>
      <c r="Q165" s="12" t="n">
        <v>0</v>
      </c>
      <c r="R165" s="12" t="inlineStr">
        <is>
          <t>DEMO_PDM.xlsx</t>
        </is>
      </c>
      <c r="S165" s="24" t="n">
        <v>46309.625</v>
      </c>
    </row>
    <row r="166">
      <c r="A166" s="12" t="inlineStr">
        <is>
          <t>ALZ</t>
        </is>
      </c>
      <c r="B166" s="12" t="inlineStr">
        <is>
          <t>AA4</t>
        </is>
      </c>
      <c r="C166" s="12" t="inlineStr">
        <is>
          <t>G-I-RRR18</t>
        </is>
      </c>
      <c r="D166" s="12" t="inlineStr">
        <is>
          <t>Poste fictif Sigma</t>
        </is>
      </c>
      <c r="E166" s="12" t="inlineStr">
        <is>
          <t>LIVRAISON</t>
        </is>
      </c>
      <c r="F166" s="12" t="n">
        <v>2028</v>
      </c>
      <c r="G166" s="12" t="inlineStr">
        <is>
          <t>PIS</t>
        </is>
      </c>
      <c r="H166" s="12" t="n">
        <v>1</v>
      </c>
      <c r="I166" s="12" t="inlineStr">
        <is>
          <t>PIS</t>
        </is>
      </c>
      <c r="J166" s="12" t="n"/>
      <c r="K166" s="12" t="inlineStr">
        <is>
          <t>G-I-RRR18-INS04</t>
        </is>
      </c>
      <c r="L166" s="12" t="inlineStr">
        <is>
          <t>Code Installation (9 car.)</t>
        </is>
      </c>
      <c r="M166" s="12" t="inlineStr">
        <is>
          <t>G-I-RRR18</t>
        </is>
      </c>
      <c r="N166" s="12" t="b">
        <v>0</v>
      </c>
      <c r="O166" s="12" t="inlineStr">
        <is>
          <t>PDM : Code Emprise vide (code repris du Code Installation)</t>
        </is>
      </c>
      <c r="P166" s="12" t="n">
        <v>166</v>
      </c>
      <c r="Q166" s="12" t="n">
        <v>0</v>
      </c>
      <c r="R166" s="12" t="inlineStr">
        <is>
          <t>DEMO_PDM.xlsx</t>
        </is>
      </c>
      <c r="S166" s="24" t="n">
        <v>46309.625</v>
      </c>
    </row>
    <row r="167">
      <c r="A167" s="12" t="inlineStr">
        <is>
          <t>ALZ</t>
        </is>
      </c>
      <c r="B167" s="12" t="inlineStr">
        <is>
          <t>AA4</t>
        </is>
      </c>
      <c r="C167" s="12" t="inlineStr">
        <is>
          <t>G-I-RRR18</t>
        </is>
      </c>
      <c r="D167" s="12" t="inlineStr">
        <is>
          <t>Poste fictif Sigma</t>
        </is>
      </c>
      <c r="E167" s="12" t="inlineStr">
        <is>
          <t>LIVRAISON</t>
        </is>
      </c>
      <c r="F167" s="12" t="n">
        <v>2028</v>
      </c>
      <c r="G167" s="12" t="inlineStr">
        <is>
          <t>EC SIMPLE</t>
        </is>
      </c>
      <c r="H167" s="12" t="n">
        <v>2</v>
      </c>
      <c r="I167" s="12" t="inlineStr">
        <is>
          <t>EC Simple</t>
        </is>
      </c>
      <c r="J167" s="12" t="n"/>
      <c r="K167" s="12" t="inlineStr">
        <is>
          <t>G-I-RRR18-INS04</t>
        </is>
      </c>
      <c r="L167" s="12" t="inlineStr">
        <is>
          <t>Code Installation (9 car.)</t>
        </is>
      </c>
      <c r="M167" s="12" t="inlineStr">
        <is>
          <t>G-I-RRR18</t>
        </is>
      </c>
      <c r="N167" s="12" t="b">
        <v>0</v>
      </c>
      <c r="O167" s="12" t="inlineStr">
        <is>
          <t>PDM : Code Emprise vide (code repris du Code Installation)</t>
        </is>
      </c>
      <c r="P167" s="12" t="n">
        <v>167</v>
      </c>
      <c r="Q167" s="12" t="n">
        <v>0</v>
      </c>
      <c r="R167" s="12" t="inlineStr">
        <is>
          <t>DEMO_PDM.xlsx</t>
        </is>
      </c>
      <c r="S167" s="24" t="n">
        <v>46309.625</v>
      </c>
    </row>
    <row r="168">
      <c r="A168" s="12" t="inlineStr">
        <is>
          <t>ALZ</t>
        </is>
      </c>
      <c r="B168" s="12" t="inlineStr">
        <is>
          <t>AA4</t>
        </is>
      </c>
      <c r="C168" s="12" t="inlineStr">
        <is>
          <t>G-I-RRR18</t>
        </is>
      </c>
      <c r="D168" s="12" t="inlineStr">
        <is>
          <t>Poste fictif Sigma</t>
        </is>
      </c>
      <c r="E168" s="12" t="inlineStr">
        <is>
          <t>LIVRAISON</t>
        </is>
      </c>
      <c r="F168" s="12" t="n">
        <v>2029</v>
      </c>
      <c r="G168" s="12" t="inlineStr">
        <is>
          <t>PIS</t>
        </is>
      </c>
      <c r="H168" s="12" t="n">
        <v>1</v>
      </c>
      <c r="I168" s="12" t="inlineStr">
        <is>
          <t>PIS</t>
        </is>
      </c>
      <c r="J168" s="12" t="n"/>
      <c r="K168" s="12" t="inlineStr">
        <is>
          <t>G-I-RRR18-INS04</t>
        </is>
      </c>
      <c r="L168" s="12" t="inlineStr">
        <is>
          <t>Code Installation (9 car.)</t>
        </is>
      </c>
      <c r="M168" s="12" t="inlineStr">
        <is>
          <t>G-I-RRR18</t>
        </is>
      </c>
      <c r="N168" s="12" t="b">
        <v>0</v>
      </c>
      <c r="O168" s="12" t="inlineStr">
        <is>
          <t>PDM : Code Emprise vide (code repris du Code Installation)</t>
        </is>
      </c>
      <c r="P168" s="12" t="n">
        <v>168</v>
      </c>
      <c r="Q168" s="12" t="n">
        <v>0</v>
      </c>
      <c r="R168" s="12" t="inlineStr">
        <is>
          <t>DEMO_PDM.xlsx</t>
        </is>
      </c>
      <c r="S168" s="24" t="n">
        <v>46309.625</v>
      </c>
    </row>
    <row r="169">
      <c r="A169" s="12" t="inlineStr">
        <is>
          <t>ALZ</t>
        </is>
      </c>
      <c r="B169" s="12" t="inlineStr">
        <is>
          <t>AA4</t>
        </is>
      </c>
      <c r="C169" s="12" t="inlineStr">
        <is>
          <t>G-I-RRR18</t>
        </is>
      </c>
      <c r="D169" s="12" t="inlineStr">
        <is>
          <t>Poste fictif Sigma</t>
        </is>
      </c>
      <c r="E169" s="12" t="inlineStr">
        <is>
          <t>LIVRAISON</t>
        </is>
      </c>
      <c r="F169" s="12" t="n">
        <v>2030</v>
      </c>
      <c r="G169" s="12" t="inlineStr">
        <is>
          <t>REVISION</t>
        </is>
      </c>
      <c r="H169" s="12" t="n">
        <v>4</v>
      </c>
      <c r="I169" s="12" t="inlineStr">
        <is>
          <t>Révision</t>
        </is>
      </c>
      <c r="J169" s="12" t="n"/>
      <c r="K169" s="12" t="inlineStr">
        <is>
          <t>G-I-RRR18-INS04</t>
        </is>
      </c>
      <c r="L169" s="12" t="inlineStr">
        <is>
          <t>Code Installation (9 car.)</t>
        </is>
      </c>
      <c r="M169" s="12" t="inlineStr">
        <is>
          <t>G-I-RRR18</t>
        </is>
      </c>
      <c r="N169" s="12" t="b">
        <v>0</v>
      </c>
      <c r="O169" s="12" t="inlineStr">
        <is>
          <t>PDM : Code Emprise vide (code repris du Code Installation)</t>
        </is>
      </c>
      <c r="P169" s="12" t="n">
        <v>169</v>
      </c>
      <c r="Q169" s="12" t="n">
        <v>0</v>
      </c>
      <c r="R169" s="12" t="inlineStr">
        <is>
          <t>DEMO_PDM.xlsx</t>
        </is>
      </c>
      <c r="S169" s="24" t="n">
        <v>46309.625</v>
      </c>
    </row>
    <row r="170">
      <c r="A170" s="12" t="inlineStr">
        <is>
          <t>ALZ</t>
        </is>
      </c>
      <c r="B170" s="12" t="inlineStr">
        <is>
          <t>AA4</t>
        </is>
      </c>
      <c r="C170" s="12" t="inlineStr">
        <is>
          <t>G-I-RRR18</t>
        </is>
      </c>
      <c r="D170" s="12" t="inlineStr">
        <is>
          <t>Poste fictif Sigma</t>
        </is>
      </c>
      <c r="E170" s="12" t="inlineStr">
        <is>
          <t>LIVRAISON</t>
        </is>
      </c>
      <c r="F170" s="12" t="n">
        <v>2031</v>
      </c>
      <c r="G170" s="12" t="inlineStr">
        <is>
          <t>PIS</t>
        </is>
      </c>
      <c r="H170" s="12" t="n">
        <v>1</v>
      </c>
      <c r="I170" s="12" t="inlineStr">
        <is>
          <t>PIS</t>
        </is>
      </c>
      <c r="J170" s="12" t="n"/>
      <c r="K170" s="12" t="inlineStr">
        <is>
          <t>G-I-RRR18-INS04</t>
        </is>
      </c>
      <c r="L170" s="12" t="inlineStr">
        <is>
          <t>Code Installation (9 car.)</t>
        </is>
      </c>
      <c r="M170" s="12" t="inlineStr">
        <is>
          <t>G-I-RRR18</t>
        </is>
      </c>
      <c r="N170" s="12" t="b">
        <v>0</v>
      </c>
      <c r="O170" s="12" t="inlineStr">
        <is>
          <t>PDM : Code Emprise vide (code repris du Code Installation)</t>
        </is>
      </c>
      <c r="P170" s="12" t="n">
        <v>170</v>
      </c>
      <c r="Q170" s="12" t="n">
        <v>0</v>
      </c>
      <c r="R170" s="12" t="inlineStr">
        <is>
          <t>DEMO_PDM.xlsx</t>
        </is>
      </c>
      <c r="S170" s="24" t="n">
        <v>46309.625</v>
      </c>
    </row>
    <row r="171">
      <c r="A171" s="12" t="inlineStr">
        <is>
          <t>ALZ</t>
        </is>
      </c>
      <c r="B171" s="12" t="inlineStr">
        <is>
          <t>AA4</t>
        </is>
      </c>
      <c r="C171" s="12" t="inlineStr">
        <is>
          <t>G-I-RRR18</t>
        </is>
      </c>
      <c r="D171" s="12" t="inlineStr">
        <is>
          <t>Poste fictif Sigma</t>
        </is>
      </c>
      <c r="E171" s="12" t="inlineStr">
        <is>
          <t>LIVRAISON</t>
        </is>
      </c>
      <c r="F171" s="12" t="n">
        <v>2031</v>
      </c>
      <c r="G171" s="12" t="inlineStr">
        <is>
          <t>EC SIMPLE</t>
        </is>
      </c>
      <c r="H171" s="12" t="n">
        <v>2</v>
      </c>
      <c r="I171" s="12" t="inlineStr">
        <is>
          <t>EC Simple</t>
        </is>
      </c>
      <c r="J171" s="12" t="n"/>
      <c r="K171" s="12" t="inlineStr">
        <is>
          <t>G-I-RRR18-INS04</t>
        </is>
      </c>
      <c r="L171" s="12" t="inlineStr">
        <is>
          <t>Code Installation (9 car.)</t>
        </is>
      </c>
      <c r="M171" s="12" t="inlineStr">
        <is>
          <t>G-I-RRR18</t>
        </is>
      </c>
      <c r="N171" s="12" t="b">
        <v>0</v>
      </c>
      <c r="O171" s="12" t="inlineStr">
        <is>
          <t>PDM : Code Emprise vide (code repris du Code Installation)</t>
        </is>
      </c>
      <c r="P171" s="12" t="n">
        <v>171</v>
      </c>
      <c r="Q171" s="12" t="n">
        <v>0</v>
      </c>
      <c r="R171" s="12" t="inlineStr">
        <is>
          <t>DEMO_PDM.xlsx</t>
        </is>
      </c>
      <c r="S171" s="24" t="n">
        <v>46309.625</v>
      </c>
    </row>
    <row r="172">
      <c r="A172" s="12" t="inlineStr">
        <is>
          <t>ALZ</t>
        </is>
      </c>
      <c r="B172" s="12" t="inlineStr">
        <is>
          <t>AA4</t>
        </is>
      </c>
      <c r="C172" s="12" t="inlineStr">
        <is>
          <t>G-I-RRR18</t>
        </is>
      </c>
      <c r="D172" s="12" t="inlineStr">
        <is>
          <t>Poste fictif Sigma</t>
        </is>
      </c>
      <c r="E172" s="12" t="inlineStr">
        <is>
          <t>LIVRAISON</t>
        </is>
      </c>
      <c r="F172" s="12" t="n">
        <v>2032</v>
      </c>
      <c r="G172" s="12" t="inlineStr">
        <is>
          <t>PIS</t>
        </is>
      </c>
      <c r="H172" s="12" t="n">
        <v>1</v>
      </c>
      <c r="I172" s="12" t="inlineStr">
        <is>
          <t>PIS</t>
        </is>
      </c>
      <c r="J172" s="12" t="n"/>
      <c r="K172" s="12" t="inlineStr">
        <is>
          <t>G-I-RRR18-INS04</t>
        </is>
      </c>
      <c r="L172" s="12" t="inlineStr">
        <is>
          <t>Code Installation (9 car.)</t>
        </is>
      </c>
      <c r="M172" s="12" t="inlineStr">
        <is>
          <t>G-I-RRR18</t>
        </is>
      </c>
      <c r="N172" s="12" t="b">
        <v>0</v>
      </c>
      <c r="O172" s="12" t="inlineStr">
        <is>
          <t>PDM : Code Emprise vide (code repris du Code Installation)</t>
        </is>
      </c>
      <c r="P172" s="12" t="n">
        <v>172</v>
      </c>
      <c r="Q172" s="12" t="n">
        <v>0</v>
      </c>
      <c r="R172" s="12" t="inlineStr">
        <is>
          <t>DEMO_PDM.xlsx</t>
        </is>
      </c>
      <c r="S172" s="24" t="n">
        <v>46309.625</v>
      </c>
    </row>
    <row r="173">
      <c r="A173" s="12" t="inlineStr">
        <is>
          <t>VDY</t>
        </is>
      </c>
      <c r="B173" s="12" t="inlineStr">
        <is>
          <t>AA1</t>
        </is>
      </c>
      <c r="C173" s="12" t="inlineStr">
        <is>
          <t>G-I-SSS19</t>
        </is>
      </c>
      <c r="D173" s="12" t="inlineStr">
        <is>
          <t>Poste fictif Tau</t>
        </is>
      </c>
      <c r="E173" s="12" t="inlineStr">
        <is>
          <t>PIQUAGE</t>
        </is>
      </c>
      <c r="F173" s="12" t="n">
        <v>2026</v>
      </c>
      <c r="G173" s="12" t="inlineStr">
        <is>
          <t>PIS</t>
        </is>
      </c>
      <c r="H173" s="12" t="n">
        <v>1</v>
      </c>
      <c r="I173" s="12" t="inlineStr">
        <is>
          <t>PIS</t>
        </is>
      </c>
      <c r="J173" s="12" t="inlineStr">
        <is>
          <t>G-I-SSS19</t>
        </is>
      </c>
      <c r="K173" s="12" t="inlineStr">
        <is>
          <t>G-I-SSS19-INS05</t>
        </is>
      </c>
      <c r="L173" s="12" t="inlineStr">
        <is>
          <t>Code Emprise</t>
        </is>
      </c>
      <c r="M173" s="12" t="inlineStr">
        <is>
          <t>G-I-SSS19</t>
        </is>
      </c>
      <c r="N173" s="12" t="b">
        <v>0</v>
      </c>
      <c r="O173" s="12" t="n"/>
      <c r="P173" s="12" t="n">
        <v>173</v>
      </c>
      <c r="Q173" s="12" t="n">
        <v>0</v>
      </c>
      <c r="R173" s="12" t="inlineStr">
        <is>
          <t>DEMO_PDM.xlsx</t>
        </is>
      </c>
      <c r="S173" s="24" t="n">
        <v>46309.625</v>
      </c>
    </row>
    <row r="174">
      <c r="A174" s="12" t="inlineStr">
        <is>
          <t>VDY</t>
        </is>
      </c>
      <c r="B174" s="12" t="inlineStr">
        <is>
          <t>AA1</t>
        </is>
      </c>
      <c r="C174" s="12" t="inlineStr">
        <is>
          <t>G-I-SSS19</t>
        </is>
      </c>
      <c r="D174" s="12" t="inlineStr">
        <is>
          <t>Poste fictif Tau</t>
        </is>
      </c>
      <c r="E174" s="12" t="inlineStr">
        <is>
          <t>PIQUAGE</t>
        </is>
      </c>
      <c r="F174" s="12" t="n">
        <v>2026</v>
      </c>
      <c r="G174" s="12" t="inlineStr">
        <is>
          <t>EC SIMPLE</t>
        </is>
      </c>
      <c r="H174" s="12" t="n">
        <v>2</v>
      </c>
      <c r="I174" s="12" t="inlineStr">
        <is>
          <t>EC Simple</t>
        </is>
      </c>
      <c r="J174" s="12" t="inlineStr">
        <is>
          <t>G-I-SSS19</t>
        </is>
      </c>
      <c r="K174" s="12" t="inlineStr">
        <is>
          <t>G-I-SSS19-INS05</t>
        </is>
      </c>
      <c r="L174" s="12" t="inlineStr">
        <is>
          <t>Code Emprise</t>
        </is>
      </c>
      <c r="M174" s="12" t="inlineStr">
        <is>
          <t>G-I-SSS19</t>
        </is>
      </c>
      <c r="N174" s="12" t="b">
        <v>0</v>
      </c>
      <c r="O174" s="12" t="n"/>
      <c r="P174" s="12" t="n">
        <v>174</v>
      </c>
      <c r="Q174" s="12" t="n">
        <v>0</v>
      </c>
      <c r="R174" s="12" t="inlineStr">
        <is>
          <t>DEMO_PDM.xlsx</t>
        </is>
      </c>
      <c r="S174" s="24" t="n">
        <v>46309.625</v>
      </c>
    </row>
    <row r="175">
      <c r="A175" s="12" t="inlineStr">
        <is>
          <t>VDY</t>
        </is>
      </c>
      <c r="B175" s="12" t="inlineStr">
        <is>
          <t>AA1</t>
        </is>
      </c>
      <c r="C175" s="12" t="inlineStr">
        <is>
          <t>G-I-SSS19</t>
        </is>
      </c>
      <c r="D175" s="12" t="inlineStr">
        <is>
          <t>Poste fictif Tau</t>
        </is>
      </c>
      <c r="E175" s="12" t="inlineStr">
        <is>
          <t>PIQUAGE</t>
        </is>
      </c>
      <c r="F175" s="12" t="n">
        <v>2027</v>
      </c>
      <c r="G175" s="12" t="inlineStr">
        <is>
          <t>PIS</t>
        </is>
      </c>
      <c r="H175" s="12" t="n">
        <v>1</v>
      </c>
      <c r="I175" s="12" t="inlineStr">
        <is>
          <t>PIS</t>
        </is>
      </c>
      <c r="J175" s="12" t="inlineStr">
        <is>
          <t>G-I-SSS19</t>
        </is>
      </c>
      <c r="K175" s="12" t="inlineStr">
        <is>
          <t>G-I-SSS19-INS05</t>
        </is>
      </c>
      <c r="L175" s="12" t="inlineStr">
        <is>
          <t>Code Emprise</t>
        </is>
      </c>
      <c r="M175" s="12" t="inlineStr">
        <is>
          <t>G-I-SSS19</t>
        </is>
      </c>
      <c r="N175" s="12" t="b">
        <v>0</v>
      </c>
      <c r="O175" s="12" t="n"/>
      <c r="P175" s="12" t="n">
        <v>175</v>
      </c>
      <c r="Q175" s="12" t="n">
        <v>0</v>
      </c>
      <c r="R175" s="12" t="inlineStr">
        <is>
          <t>DEMO_PDM.xlsx</t>
        </is>
      </c>
      <c r="S175" s="24" t="n">
        <v>46309.625</v>
      </c>
    </row>
    <row r="176">
      <c r="A176" s="12" t="inlineStr">
        <is>
          <t>VDY</t>
        </is>
      </c>
      <c r="B176" s="12" t="inlineStr">
        <is>
          <t>AA1</t>
        </is>
      </c>
      <c r="C176" s="12" t="inlineStr">
        <is>
          <t>G-I-SSS19</t>
        </is>
      </c>
      <c r="D176" s="12" t="inlineStr">
        <is>
          <t>Poste fictif Tau</t>
        </is>
      </c>
      <c r="E176" s="12" t="inlineStr">
        <is>
          <t>PIQUAGE</t>
        </is>
      </c>
      <c r="F176" s="12" t="n">
        <v>2028</v>
      </c>
      <c r="G176" s="12" t="inlineStr">
        <is>
          <t>PIS</t>
        </is>
      </c>
      <c r="H176" s="12" t="n">
        <v>1</v>
      </c>
      <c r="I176" s="12" t="inlineStr">
        <is>
          <t>PIS</t>
        </is>
      </c>
      <c r="J176" s="12" t="inlineStr">
        <is>
          <t>G-I-SSS19</t>
        </is>
      </c>
      <c r="K176" s="12" t="inlineStr">
        <is>
          <t>G-I-SSS19-INS05</t>
        </is>
      </c>
      <c r="L176" s="12" t="inlineStr">
        <is>
          <t>Code Emprise</t>
        </is>
      </c>
      <c r="M176" s="12" t="inlineStr">
        <is>
          <t>G-I-SSS19</t>
        </is>
      </c>
      <c r="N176" s="12" t="b">
        <v>0</v>
      </c>
      <c r="O176" s="12" t="n"/>
      <c r="P176" s="12" t="n">
        <v>176</v>
      </c>
      <c r="Q176" s="12" t="n">
        <v>0</v>
      </c>
      <c r="R176" s="12" t="inlineStr">
        <is>
          <t>DEMO_PDM.xlsx</t>
        </is>
      </c>
      <c r="S176" s="24" t="n">
        <v>46309.625</v>
      </c>
    </row>
    <row r="177">
      <c r="A177" s="12" t="inlineStr">
        <is>
          <t>VDY</t>
        </is>
      </c>
      <c r="B177" s="12" t="inlineStr">
        <is>
          <t>AA1</t>
        </is>
      </c>
      <c r="C177" s="12" t="inlineStr">
        <is>
          <t>G-I-SSS19</t>
        </is>
      </c>
      <c r="D177" s="12" t="inlineStr">
        <is>
          <t>Poste fictif Tau</t>
        </is>
      </c>
      <c r="E177" s="12" t="inlineStr">
        <is>
          <t>PIQUAGE</t>
        </is>
      </c>
      <c r="F177" s="12" t="n">
        <v>2029</v>
      </c>
      <c r="G177" s="12" t="inlineStr">
        <is>
          <t>PIS</t>
        </is>
      </c>
      <c r="H177" s="12" t="n">
        <v>1</v>
      </c>
      <c r="I177" s="12" t="inlineStr">
        <is>
          <t>PIS</t>
        </is>
      </c>
      <c r="J177" s="12" t="inlineStr">
        <is>
          <t>G-I-SSS19</t>
        </is>
      </c>
      <c r="K177" s="12" t="inlineStr">
        <is>
          <t>G-I-SSS19-INS05</t>
        </is>
      </c>
      <c r="L177" s="12" t="inlineStr">
        <is>
          <t>Code Emprise</t>
        </is>
      </c>
      <c r="M177" s="12" t="inlineStr">
        <is>
          <t>G-I-SSS19</t>
        </is>
      </c>
      <c r="N177" s="12" t="b">
        <v>0</v>
      </c>
      <c r="O177" s="12" t="n"/>
      <c r="P177" s="12" t="n">
        <v>177</v>
      </c>
      <c r="Q177" s="12" t="n">
        <v>0</v>
      </c>
      <c r="R177" s="12" t="inlineStr">
        <is>
          <t>DEMO_PDM.xlsx</t>
        </is>
      </c>
      <c r="S177" s="24" t="n">
        <v>46309.625</v>
      </c>
    </row>
    <row r="178">
      <c r="A178" s="12" t="inlineStr">
        <is>
          <t>VDY</t>
        </is>
      </c>
      <c r="B178" s="12" t="inlineStr">
        <is>
          <t>AA1</t>
        </is>
      </c>
      <c r="C178" s="12" t="inlineStr">
        <is>
          <t>G-I-SSS19</t>
        </is>
      </c>
      <c r="D178" s="12" t="inlineStr">
        <is>
          <t>Poste fictif Tau</t>
        </is>
      </c>
      <c r="E178" s="12" t="inlineStr">
        <is>
          <t>PIQUAGE</t>
        </is>
      </c>
      <c r="F178" s="12" t="n">
        <v>2029</v>
      </c>
      <c r="G178" s="12" t="inlineStr">
        <is>
          <t>EC SIMPLE</t>
        </is>
      </c>
      <c r="H178" s="12" t="n">
        <v>2</v>
      </c>
      <c r="I178" s="12" t="inlineStr">
        <is>
          <t>EC Simple</t>
        </is>
      </c>
      <c r="J178" s="12" t="inlineStr">
        <is>
          <t>G-I-SSS19</t>
        </is>
      </c>
      <c r="K178" s="12" t="inlineStr">
        <is>
          <t>G-I-SSS19-INS05</t>
        </is>
      </c>
      <c r="L178" s="12" t="inlineStr">
        <is>
          <t>Code Emprise</t>
        </is>
      </c>
      <c r="M178" s="12" t="inlineStr">
        <is>
          <t>G-I-SSS19</t>
        </is>
      </c>
      <c r="N178" s="12" t="b">
        <v>0</v>
      </c>
      <c r="O178" s="12" t="n"/>
      <c r="P178" s="12" t="n">
        <v>178</v>
      </c>
      <c r="Q178" s="12" t="n">
        <v>0</v>
      </c>
      <c r="R178" s="12" t="inlineStr">
        <is>
          <t>DEMO_PDM.xlsx</t>
        </is>
      </c>
      <c r="S178" s="24" t="n">
        <v>46309.625</v>
      </c>
    </row>
    <row r="179">
      <c r="A179" s="12" t="inlineStr">
        <is>
          <t>VDY</t>
        </is>
      </c>
      <c r="B179" s="12" t="inlineStr">
        <is>
          <t>AA1</t>
        </is>
      </c>
      <c r="C179" s="12" t="inlineStr">
        <is>
          <t>G-I-SSS19</t>
        </is>
      </c>
      <c r="D179" s="12" t="inlineStr">
        <is>
          <t>Poste fictif Tau</t>
        </is>
      </c>
      <c r="E179" s="12" t="inlineStr">
        <is>
          <t>PIQUAGE</t>
        </is>
      </c>
      <c r="F179" s="12" t="n">
        <v>2029</v>
      </c>
      <c r="G179" s="12" t="inlineStr">
        <is>
          <t>REVISION</t>
        </is>
      </c>
      <c r="H179" s="12" t="n">
        <v>4</v>
      </c>
      <c r="I179" s="12" t="inlineStr">
        <is>
          <t>Révision</t>
        </is>
      </c>
      <c r="J179" s="12" t="inlineStr">
        <is>
          <t>G-I-SSS19</t>
        </is>
      </c>
      <c r="K179" s="12" t="inlineStr">
        <is>
          <t>G-I-SSS19-INS05</t>
        </is>
      </c>
      <c r="L179" s="12" t="inlineStr">
        <is>
          <t>Code Emprise</t>
        </is>
      </c>
      <c r="M179" s="12" t="inlineStr">
        <is>
          <t>G-I-SSS19</t>
        </is>
      </c>
      <c r="N179" s="12" t="b">
        <v>0</v>
      </c>
      <c r="O179" s="12" t="n"/>
      <c r="P179" s="12" t="n">
        <v>179</v>
      </c>
      <c r="Q179" s="12" t="n">
        <v>0</v>
      </c>
      <c r="R179" s="12" t="inlineStr">
        <is>
          <t>DEMO_PDM.xlsx</t>
        </is>
      </c>
      <c r="S179" s="24" t="n">
        <v>46309.625</v>
      </c>
    </row>
    <row r="180">
      <c r="A180" s="12" t="inlineStr">
        <is>
          <t>VDY</t>
        </is>
      </c>
      <c r="B180" s="12" t="inlineStr">
        <is>
          <t>AA1</t>
        </is>
      </c>
      <c r="C180" s="12" t="inlineStr">
        <is>
          <t>G-I-SSS19</t>
        </is>
      </c>
      <c r="D180" s="12" t="inlineStr">
        <is>
          <t>Poste fictif Tau</t>
        </is>
      </c>
      <c r="E180" s="12" t="inlineStr">
        <is>
          <t>PIQUAGE</t>
        </is>
      </c>
      <c r="F180" s="12" t="n">
        <v>2030</v>
      </c>
      <c r="G180" s="12" t="inlineStr">
        <is>
          <t>PIS</t>
        </is>
      </c>
      <c r="H180" s="12" t="n">
        <v>1</v>
      </c>
      <c r="I180" s="12" t="inlineStr">
        <is>
          <t>PIS</t>
        </is>
      </c>
      <c r="J180" s="12" t="inlineStr">
        <is>
          <t>G-I-SSS19</t>
        </is>
      </c>
      <c r="K180" s="12" t="inlineStr">
        <is>
          <t>G-I-SSS19-INS05</t>
        </is>
      </c>
      <c r="L180" s="12" t="inlineStr">
        <is>
          <t>Code Emprise</t>
        </is>
      </c>
      <c r="M180" s="12" t="inlineStr">
        <is>
          <t>G-I-SSS19</t>
        </is>
      </c>
      <c r="N180" s="12" t="b">
        <v>0</v>
      </c>
      <c r="O180" s="12" t="n"/>
      <c r="P180" s="12" t="n">
        <v>180</v>
      </c>
      <c r="Q180" s="12" t="n">
        <v>0</v>
      </c>
      <c r="R180" s="12" t="inlineStr">
        <is>
          <t>DEMO_PDM.xlsx</t>
        </is>
      </c>
      <c r="S180" s="24" t="n">
        <v>46309.625</v>
      </c>
    </row>
    <row r="181">
      <c r="A181" s="12" t="inlineStr">
        <is>
          <t>VDY</t>
        </is>
      </c>
      <c r="B181" s="12" t="inlineStr">
        <is>
          <t>AA1</t>
        </is>
      </c>
      <c r="C181" s="12" t="inlineStr">
        <is>
          <t>G-I-SSS19</t>
        </is>
      </c>
      <c r="D181" s="12" t="inlineStr">
        <is>
          <t>Poste fictif Tau</t>
        </is>
      </c>
      <c r="E181" s="12" t="inlineStr">
        <is>
          <t>PIQUAGE</t>
        </is>
      </c>
      <c r="F181" s="12" t="n">
        <v>2031</v>
      </c>
      <c r="G181" s="12" t="inlineStr">
        <is>
          <t>PIS</t>
        </is>
      </c>
      <c r="H181" s="12" t="n">
        <v>1</v>
      </c>
      <c r="I181" s="12" t="inlineStr">
        <is>
          <t>PIS</t>
        </is>
      </c>
      <c r="J181" s="12" t="inlineStr">
        <is>
          <t>G-I-SSS19</t>
        </is>
      </c>
      <c r="K181" s="12" t="inlineStr">
        <is>
          <t>G-I-SSS19-INS05</t>
        </is>
      </c>
      <c r="L181" s="12" t="inlineStr">
        <is>
          <t>Code Emprise</t>
        </is>
      </c>
      <c r="M181" s="12" t="inlineStr">
        <is>
          <t>G-I-SSS19</t>
        </is>
      </c>
      <c r="N181" s="12" t="b">
        <v>0</v>
      </c>
      <c r="O181" s="12" t="n"/>
      <c r="P181" s="12" t="n">
        <v>181</v>
      </c>
      <c r="Q181" s="12" t="n">
        <v>0</v>
      </c>
      <c r="R181" s="12" t="inlineStr">
        <is>
          <t>DEMO_PDM.xlsx</t>
        </is>
      </c>
      <c r="S181" s="24" t="n">
        <v>46309.625</v>
      </c>
    </row>
    <row r="182">
      <c r="A182" s="12" t="inlineStr">
        <is>
          <t>VDY</t>
        </is>
      </c>
      <c r="B182" s="12" t="inlineStr">
        <is>
          <t>AA1</t>
        </is>
      </c>
      <c r="C182" s="12" t="inlineStr">
        <is>
          <t>G-I-SSS19</t>
        </is>
      </c>
      <c r="D182" s="12" t="inlineStr">
        <is>
          <t>Poste fictif Tau</t>
        </is>
      </c>
      <c r="E182" s="12" t="inlineStr">
        <is>
          <t>PIQUAGE</t>
        </is>
      </c>
      <c r="F182" s="12" t="n">
        <v>2032</v>
      </c>
      <c r="G182" s="12" t="inlineStr">
        <is>
          <t>PIS</t>
        </is>
      </c>
      <c r="H182" s="12" t="n">
        <v>1</v>
      </c>
      <c r="I182" s="12" t="inlineStr">
        <is>
          <t>PIS</t>
        </is>
      </c>
      <c r="J182" s="12" t="inlineStr">
        <is>
          <t>G-I-SSS19</t>
        </is>
      </c>
      <c r="K182" s="12" t="inlineStr">
        <is>
          <t>G-I-SSS19-INS05</t>
        </is>
      </c>
      <c r="L182" s="12" t="inlineStr">
        <is>
          <t>Code Emprise</t>
        </is>
      </c>
      <c r="M182" s="12" t="inlineStr">
        <is>
          <t>G-I-SSS19</t>
        </is>
      </c>
      <c r="N182" s="12" t="b">
        <v>0</v>
      </c>
      <c r="O182" s="12" t="n"/>
      <c r="P182" s="12" t="n">
        <v>182</v>
      </c>
      <c r="Q182" s="12" t="n">
        <v>0</v>
      </c>
      <c r="R182" s="12" t="inlineStr">
        <is>
          <t>DEMO_PDM.xlsx</t>
        </is>
      </c>
      <c r="S182" s="24" t="n">
        <v>46309.625</v>
      </c>
    </row>
    <row r="183">
      <c r="A183" s="12" t="inlineStr">
        <is>
          <t>VDY</t>
        </is>
      </c>
      <c r="B183" s="12" t="inlineStr">
        <is>
          <t>AA1</t>
        </is>
      </c>
      <c r="C183" s="12" t="inlineStr">
        <is>
          <t>G-I-SSS19</t>
        </is>
      </c>
      <c r="D183" s="12" t="inlineStr">
        <is>
          <t>Poste fictif Tau</t>
        </is>
      </c>
      <c r="E183" s="12" t="inlineStr">
        <is>
          <t>PIQUAGE</t>
        </is>
      </c>
      <c r="F183" s="12" t="n">
        <v>2032</v>
      </c>
      <c r="G183" s="12" t="inlineStr">
        <is>
          <t>EC SIMPLE</t>
        </is>
      </c>
      <c r="H183" s="12" t="n">
        <v>2</v>
      </c>
      <c r="I183" s="12" t="inlineStr">
        <is>
          <t>EC Simple</t>
        </is>
      </c>
      <c r="J183" s="12" t="inlineStr">
        <is>
          <t>G-I-SSS19</t>
        </is>
      </c>
      <c r="K183" s="12" t="inlineStr">
        <is>
          <t>G-I-SSS19-INS05</t>
        </is>
      </c>
      <c r="L183" s="12" t="inlineStr">
        <is>
          <t>Code Emprise</t>
        </is>
      </c>
      <c r="M183" s="12" t="inlineStr">
        <is>
          <t>G-I-SSS19</t>
        </is>
      </c>
      <c r="N183" s="12" t="b">
        <v>0</v>
      </c>
      <c r="O183" s="12" t="n"/>
      <c r="P183" s="12" t="n">
        <v>183</v>
      </c>
      <c r="Q183" s="12" t="n">
        <v>0</v>
      </c>
      <c r="R183" s="12" t="inlineStr">
        <is>
          <t>DEMO_PDM.xlsx</t>
        </is>
      </c>
      <c r="S183" s="24" t="n">
        <v>46309.625</v>
      </c>
    </row>
    <row r="184">
      <c r="A184" s="12" t="inlineStr">
        <is>
          <t>VDY</t>
        </is>
      </c>
      <c r="B184" s="12" t="inlineStr">
        <is>
          <t>AA3</t>
        </is>
      </c>
      <c r="C184" s="12" t="inlineStr">
        <is>
          <t>G-I-TTT20</t>
        </is>
      </c>
      <c r="D184" s="12" t="inlineStr">
        <is>
          <t>Poste fictif Upsilon</t>
        </is>
      </c>
      <c r="E184" s="12" t="inlineStr">
        <is>
          <t>SECTIONNEMENT</t>
        </is>
      </c>
      <c r="F184" s="12" t="n">
        <v>2026</v>
      </c>
      <c r="G184" s="12" t="inlineStr">
        <is>
          <t>PIS</t>
        </is>
      </c>
      <c r="H184" s="12" t="n">
        <v>1</v>
      </c>
      <c r="I184" s="12" t="inlineStr">
        <is>
          <t>PIS</t>
        </is>
      </c>
      <c r="J184" s="12" t="inlineStr">
        <is>
          <t>G-I-TTT20</t>
        </is>
      </c>
      <c r="K184" s="12" t="inlineStr">
        <is>
          <t>G-I-TTT20-INS06</t>
        </is>
      </c>
      <c r="L184" s="12" t="inlineStr">
        <is>
          <t>Code Emprise</t>
        </is>
      </c>
      <c r="M184" s="12" t="inlineStr">
        <is>
          <t>G-I-TTT20</t>
        </is>
      </c>
      <c r="N184" s="12" t="b">
        <v>0</v>
      </c>
      <c r="O184" s="12" t="n"/>
      <c r="P184" s="12" t="n">
        <v>184</v>
      </c>
      <c r="Q184" s="12" t="n">
        <v>0</v>
      </c>
      <c r="R184" s="12" t="inlineStr">
        <is>
          <t>DEMO_PDM.xlsx</t>
        </is>
      </c>
      <c r="S184" s="24" t="n">
        <v>46309.625</v>
      </c>
    </row>
    <row r="185">
      <c r="A185" s="12" t="inlineStr">
        <is>
          <t>VDY</t>
        </is>
      </c>
      <c r="B185" s="12" t="inlineStr">
        <is>
          <t>AA3</t>
        </is>
      </c>
      <c r="C185" s="12" t="inlineStr">
        <is>
          <t>G-I-TTT20</t>
        </is>
      </c>
      <c r="D185" s="12" t="inlineStr">
        <is>
          <t>Poste fictif Upsilon</t>
        </is>
      </c>
      <c r="E185" s="12" t="inlineStr">
        <is>
          <t>SECTIONNEMENT</t>
        </is>
      </c>
      <c r="F185" s="12" t="n">
        <v>2026</v>
      </c>
      <c r="G185" s="12" t="inlineStr">
        <is>
          <t>EC SIMPLE</t>
        </is>
      </c>
      <c r="H185" s="12" t="n">
        <v>2</v>
      </c>
      <c r="I185" s="12" t="inlineStr">
        <is>
          <t>EC Simple</t>
        </is>
      </c>
      <c r="J185" s="12" t="inlineStr">
        <is>
          <t>G-I-TTT20</t>
        </is>
      </c>
      <c r="K185" s="12" t="inlineStr">
        <is>
          <t>G-I-TTT20-INS06</t>
        </is>
      </c>
      <c r="L185" s="12" t="inlineStr">
        <is>
          <t>Code Emprise</t>
        </is>
      </c>
      <c r="M185" s="12" t="inlineStr">
        <is>
          <t>G-I-TTT20</t>
        </is>
      </c>
      <c r="N185" s="12" t="b">
        <v>0</v>
      </c>
      <c r="O185" s="12" t="n"/>
      <c r="P185" s="12" t="n">
        <v>185</v>
      </c>
      <c r="Q185" s="12" t="n">
        <v>0</v>
      </c>
      <c r="R185" s="12" t="inlineStr">
        <is>
          <t>DEMO_PDM.xlsx</t>
        </is>
      </c>
      <c r="S185" s="24" t="n">
        <v>46309.625</v>
      </c>
    </row>
    <row r="186">
      <c r="A186" s="12" t="inlineStr">
        <is>
          <t>VDY</t>
        </is>
      </c>
      <c r="B186" s="12" t="inlineStr">
        <is>
          <t>AA3</t>
        </is>
      </c>
      <c r="C186" s="12" t="inlineStr">
        <is>
          <t>G-I-TTT20</t>
        </is>
      </c>
      <c r="D186" s="12" t="inlineStr">
        <is>
          <t>Poste fictif Upsilon</t>
        </is>
      </c>
      <c r="E186" s="12" t="inlineStr">
        <is>
          <t>SECTIONNEMENT</t>
        </is>
      </c>
      <c r="F186" s="12" t="n">
        <v>2027</v>
      </c>
      <c r="G186" s="12" t="inlineStr">
        <is>
          <t>PIS</t>
        </is>
      </c>
      <c r="H186" s="12" t="n">
        <v>1</v>
      </c>
      <c r="I186" s="12" t="inlineStr">
        <is>
          <t>PIS</t>
        </is>
      </c>
      <c r="J186" s="12" t="inlineStr">
        <is>
          <t>G-I-TTT20</t>
        </is>
      </c>
      <c r="K186" s="12" t="inlineStr">
        <is>
          <t>G-I-TTT20-INS06</t>
        </is>
      </c>
      <c r="L186" s="12" t="inlineStr">
        <is>
          <t>Code Emprise</t>
        </is>
      </c>
      <c r="M186" s="12" t="inlineStr">
        <is>
          <t>G-I-TTT20</t>
        </is>
      </c>
      <c r="N186" s="12" t="b">
        <v>0</v>
      </c>
      <c r="O186" s="12" t="n"/>
      <c r="P186" s="12" t="n">
        <v>186</v>
      </c>
      <c r="Q186" s="12" t="n">
        <v>0</v>
      </c>
      <c r="R186" s="12" t="inlineStr">
        <is>
          <t>DEMO_PDM.xlsx</t>
        </is>
      </c>
      <c r="S186" s="24" t="n">
        <v>46309.625</v>
      </c>
    </row>
    <row r="187">
      <c r="A187" s="12" t="inlineStr">
        <is>
          <t>VDY</t>
        </is>
      </c>
      <c r="B187" s="12" t="inlineStr">
        <is>
          <t>AA3</t>
        </is>
      </c>
      <c r="C187" s="12" t="inlineStr">
        <is>
          <t>G-I-TTT20</t>
        </is>
      </c>
      <c r="D187" s="12" t="inlineStr">
        <is>
          <t>Poste fictif Upsilon</t>
        </is>
      </c>
      <c r="E187" s="12" t="inlineStr">
        <is>
          <t>SECTIONNEMENT</t>
        </is>
      </c>
      <c r="F187" s="12" t="n">
        <v>2028</v>
      </c>
      <c r="G187" s="12" t="inlineStr">
        <is>
          <t>PIS</t>
        </is>
      </c>
      <c r="H187" s="12" t="n">
        <v>1</v>
      </c>
      <c r="I187" s="12" t="inlineStr">
        <is>
          <t>PIS</t>
        </is>
      </c>
      <c r="J187" s="12" t="inlineStr">
        <is>
          <t>G-I-TTT20</t>
        </is>
      </c>
      <c r="K187" s="12" t="inlineStr">
        <is>
          <t>G-I-TTT20-INS06</t>
        </is>
      </c>
      <c r="L187" s="12" t="inlineStr">
        <is>
          <t>Code Emprise</t>
        </is>
      </c>
      <c r="M187" s="12" t="inlineStr">
        <is>
          <t>G-I-TTT20</t>
        </is>
      </c>
      <c r="N187" s="12" t="b">
        <v>0</v>
      </c>
      <c r="O187" s="12" t="n"/>
      <c r="P187" s="12" t="n">
        <v>187</v>
      </c>
      <c r="Q187" s="12" t="n">
        <v>0</v>
      </c>
      <c r="R187" s="12" t="inlineStr">
        <is>
          <t>DEMO_PDM.xlsx</t>
        </is>
      </c>
      <c r="S187" s="24" t="n">
        <v>46309.625</v>
      </c>
    </row>
    <row r="188">
      <c r="A188" s="12" t="inlineStr">
        <is>
          <t>VDY</t>
        </is>
      </c>
      <c r="B188" s="12" t="inlineStr">
        <is>
          <t>AA3</t>
        </is>
      </c>
      <c r="C188" s="12" t="inlineStr">
        <is>
          <t>G-I-TTT20</t>
        </is>
      </c>
      <c r="D188" s="12" t="inlineStr">
        <is>
          <t>Poste fictif Upsilon</t>
        </is>
      </c>
      <c r="E188" s="12" t="inlineStr">
        <is>
          <t>SECTIONNEMENT</t>
        </is>
      </c>
      <c r="F188" s="12" t="n">
        <v>2028</v>
      </c>
      <c r="G188" s="12" t="inlineStr">
        <is>
          <t>EC FILTRE</t>
        </is>
      </c>
      <c r="H188" s="12" t="n">
        <v>3</v>
      </c>
      <c r="I188" s="12" t="inlineStr">
        <is>
          <t>EC Filtre</t>
        </is>
      </c>
      <c r="J188" s="12" t="inlineStr">
        <is>
          <t>G-I-TTT20</t>
        </is>
      </c>
      <c r="K188" s="12" t="inlineStr">
        <is>
          <t>G-I-TTT20-INS06</t>
        </is>
      </c>
      <c r="L188" s="12" t="inlineStr">
        <is>
          <t>Code Emprise</t>
        </is>
      </c>
      <c r="M188" s="12" t="inlineStr">
        <is>
          <t>G-I-TTT20</t>
        </is>
      </c>
      <c r="N188" s="12" t="b">
        <v>0</v>
      </c>
      <c r="O188" s="12" t="n"/>
      <c r="P188" s="12" t="n">
        <v>188</v>
      </c>
      <c r="Q188" s="12" t="n">
        <v>0</v>
      </c>
      <c r="R188" s="12" t="inlineStr">
        <is>
          <t>DEMO_PDM.xlsx</t>
        </is>
      </c>
      <c r="S188" s="24" t="n">
        <v>46309.625</v>
      </c>
    </row>
    <row r="189">
      <c r="A189" s="12" t="inlineStr">
        <is>
          <t>VDY</t>
        </is>
      </c>
      <c r="B189" s="12" t="inlineStr">
        <is>
          <t>AA3</t>
        </is>
      </c>
      <c r="C189" s="12" t="inlineStr">
        <is>
          <t>G-I-TTT20</t>
        </is>
      </c>
      <c r="D189" s="12" t="inlineStr">
        <is>
          <t>Poste fictif Upsilon</t>
        </is>
      </c>
      <c r="E189" s="12" t="inlineStr">
        <is>
          <t>SECTIONNEMENT</t>
        </is>
      </c>
      <c r="F189" s="12" t="n">
        <v>2028</v>
      </c>
      <c r="G189" s="12" t="inlineStr">
        <is>
          <t>REVISION</t>
        </is>
      </c>
      <c r="H189" s="12" t="n">
        <v>4</v>
      </c>
      <c r="I189" s="12" t="inlineStr">
        <is>
          <t>Révision</t>
        </is>
      </c>
      <c r="J189" s="12" t="inlineStr">
        <is>
          <t>G-I-TTT20</t>
        </is>
      </c>
      <c r="K189" s="12" t="inlineStr">
        <is>
          <t>G-I-TTT20-INS06</t>
        </is>
      </c>
      <c r="L189" s="12" t="inlineStr">
        <is>
          <t>Code Emprise</t>
        </is>
      </c>
      <c r="M189" s="12" t="inlineStr">
        <is>
          <t>G-I-TTT20</t>
        </is>
      </c>
      <c r="N189" s="12" t="b">
        <v>0</v>
      </c>
      <c r="O189" s="12" t="n"/>
      <c r="P189" s="12" t="n">
        <v>189</v>
      </c>
      <c r="Q189" s="12" t="n">
        <v>0</v>
      </c>
      <c r="R189" s="12" t="inlineStr">
        <is>
          <t>DEMO_PDM.xlsx</t>
        </is>
      </c>
      <c r="S189" s="24" t="n">
        <v>46309.625</v>
      </c>
    </row>
    <row r="190">
      <c r="A190" s="12" t="inlineStr">
        <is>
          <t>VDY</t>
        </is>
      </c>
      <c r="B190" s="12" t="inlineStr">
        <is>
          <t>AA3</t>
        </is>
      </c>
      <c r="C190" s="12" t="inlineStr">
        <is>
          <t>G-I-TTT20</t>
        </is>
      </c>
      <c r="D190" s="12" t="inlineStr">
        <is>
          <t>Poste fictif Upsilon</t>
        </is>
      </c>
      <c r="E190" s="12" t="inlineStr">
        <is>
          <t>SECTIONNEMENT</t>
        </is>
      </c>
      <c r="F190" s="12" t="n">
        <v>2029</v>
      </c>
      <c r="G190" s="12" t="inlineStr">
        <is>
          <t>PIS</t>
        </is>
      </c>
      <c r="H190" s="12" t="n">
        <v>1</v>
      </c>
      <c r="I190" s="12" t="inlineStr">
        <is>
          <t>PIS</t>
        </is>
      </c>
      <c r="J190" s="12" t="inlineStr">
        <is>
          <t>G-I-TTT20</t>
        </is>
      </c>
      <c r="K190" s="12" t="inlineStr">
        <is>
          <t>G-I-TTT20-INS06</t>
        </is>
      </c>
      <c r="L190" s="12" t="inlineStr">
        <is>
          <t>Code Emprise</t>
        </is>
      </c>
      <c r="M190" s="12" t="inlineStr">
        <is>
          <t>G-I-TTT20</t>
        </is>
      </c>
      <c r="N190" s="12" t="b">
        <v>0</v>
      </c>
      <c r="O190" s="12" t="n"/>
      <c r="P190" s="12" t="n">
        <v>190</v>
      </c>
      <c r="Q190" s="12" t="n">
        <v>0</v>
      </c>
      <c r="R190" s="12" t="inlineStr">
        <is>
          <t>DEMO_PDM.xlsx</t>
        </is>
      </c>
      <c r="S190" s="24" t="n">
        <v>46309.625</v>
      </c>
    </row>
    <row r="191">
      <c r="A191" s="12" t="inlineStr">
        <is>
          <t>VDY</t>
        </is>
      </c>
      <c r="B191" s="12" t="inlineStr">
        <is>
          <t>AA3</t>
        </is>
      </c>
      <c r="C191" s="12" t="inlineStr">
        <is>
          <t>G-I-TTT20</t>
        </is>
      </c>
      <c r="D191" s="12" t="inlineStr">
        <is>
          <t>Poste fictif Upsilon</t>
        </is>
      </c>
      <c r="E191" s="12" t="inlineStr">
        <is>
          <t>SECTIONNEMENT</t>
        </is>
      </c>
      <c r="F191" s="12" t="n">
        <v>2030</v>
      </c>
      <c r="G191" s="12" t="inlineStr">
        <is>
          <t>PIS</t>
        </is>
      </c>
      <c r="H191" s="12" t="n">
        <v>1</v>
      </c>
      <c r="I191" s="12" t="inlineStr">
        <is>
          <t>PIS</t>
        </is>
      </c>
      <c r="J191" s="12" t="inlineStr">
        <is>
          <t>G-I-TTT20</t>
        </is>
      </c>
      <c r="K191" s="12" t="inlineStr">
        <is>
          <t>G-I-TTT20-INS06</t>
        </is>
      </c>
      <c r="L191" s="12" t="inlineStr">
        <is>
          <t>Code Emprise</t>
        </is>
      </c>
      <c r="M191" s="12" t="inlineStr">
        <is>
          <t>G-I-TTT20</t>
        </is>
      </c>
      <c r="N191" s="12" t="b">
        <v>0</v>
      </c>
      <c r="O191" s="12" t="n"/>
      <c r="P191" s="12" t="n">
        <v>191</v>
      </c>
      <c r="Q191" s="12" t="n">
        <v>0</v>
      </c>
      <c r="R191" s="12" t="inlineStr">
        <is>
          <t>DEMO_PDM.xlsx</t>
        </is>
      </c>
      <c r="S191" s="24" t="n">
        <v>46309.625</v>
      </c>
    </row>
    <row r="192">
      <c r="A192" s="12" t="inlineStr">
        <is>
          <t>VDY</t>
        </is>
      </c>
      <c r="B192" s="12" t="inlineStr">
        <is>
          <t>AA3</t>
        </is>
      </c>
      <c r="C192" s="12" t="inlineStr">
        <is>
          <t>G-I-TTT20</t>
        </is>
      </c>
      <c r="D192" s="12" t="inlineStr">
        <is>
          <t>Poste fictif Upsilon</t>
        </is>
      </c>
      <c r="E192" s="12" t="inlineStr">
        <is>
          <t>SECTIONNEMENT</t>
        </is>
      </c>
      <c r="F192" s="12" t="n">
        <v>2030</v>
      </c>
      <c r="G192" s="12" t="inlineStr">
        <is>
          <t>EC SIMPLE</t>
        </is>
      </c>
      <c r="H192" s="12" t="n">
        <v>2</v>
      </c>
      <c r="I192" s="12" t="inlineStr">
        <is>
          <t>EC Simple</t>
        </is>
      </c>
      <c r="J192" s="12" t="inlineStr">
        <is>
          <t>G-I-TTT20</t>
        </is>
      </c>
      <c r="K192" s="12" t="inlineStr">
        <is>
          <t>G-I-TTT20-INS06</t>
        </is>
      </c>
      <c r="L192" s="12" t="inlineStr">
        <is>
          <t>Code Emprise</t>
        </is>
      </c>
      <c r="M192" s="12" t="inlineStr">
        <is>
          <t>G-I-TTT20</t>
        </is>
      </c>
      <c r="N192" s="12" t="b">
        <v>0</v>
      </c>
      <c r="O192" s="12" t="n"/>
      <c r="P192" s="12" t="n">
        <v>192</v>
      </c>
      <c r="Q192" s="12" t="n">
        <v>0</v>
      </c>
      <c r="R192" s="12" t="inlineStr">
        <is>
          <t>DEMO_PDM.xlsx</t>
        </is>
      </c>
      <c r="S192" s="24" t="n">
        <v>46309.625</v>
      </c>
    </row>
    <row r="193">
      <c r="A193" s="12" t="inlineStr">
        <is>
          <t>VDY</t>
        </is>
      </c>
      <c r="B193" s="12" t="inlineStr">
        <is>
          <t>AA3</t>
        </is>
      </c>
      <c r="C193" s="12" t="inlineStr">
        <is>
          <t>G-I-TTT20</t>
        </is>
      </c>
      <c r="D193" s="12" t="inlineStr">
        <is>
          <t>Poste fictif Upsilon</t>
        </is>
      </c>
      <c r="E193" s="12" t="inlineStr">
        <is>
          <t>SECTIONNEMENT</t>
        </is>
      </c>
      <c r="F193" s="12" t="n">
        <v>2031</v>
      </c>
      <c r="G193" s="12" t="inlineStr">
        <is>
          <t>PIS</t>
        </is>
      </c>
      <c r="H193" s="12" t="n">
        <v>1</v>
      </c>
      <c r="I193" s="12" t="inlineStr">
        <is>
          <t>PIS</t>
        </is>
      </c>
      <c r="J193" s="12" t="inlineStr">
        <is>
          <t>G-I-TTT20</t>
        </is>
      </c>
      <c r="K193" s="12" t="inlineStr">
        <is>
          <t>G-I-TTT20-INS06</t>
        </is>
      </c>
      <c r="L193" s="12" t="inlineStr">
        <is>
          <t>Code Emprise</t>
        </is>
      </c>
      <c r="M193" s="12" t="inlineStr">
        <is>
          <t>G-I-TTT20</t>
        </is>
      </c>
      <c r="N193" s="12" t="b">
        <v>0</v>
      </c>
      <c r="O193" s="12" t="n"/>
      <c r="P193" s="12" t="n">
        <v>193</v>
      </c>
      <c r="Q193" s="12" t="n">
        <v>0</v>
      </c>
      <c r="R193" s="12" t="inlineStr">
        <is>
          <t>DEMO_PDM.xlsx</t>
        </is>
      </c>
      <c r="S193" s="24" t="n">
        <v>46309.625</v>
      </c>
    </row>
    <row r="194">
      <c r="A194" s="12" t="inlineStr">
        <is>
          <t>VDY</t>
        </is>
      </c>
      <c r="B194" s="12" t="inlineStr">
        <is>
          <t>AA3</t>
        </is>
      </c>
      <c r="C194" s="12" t="inlineStr">
        <is>
          <t>G-I-TTT20</t>
        </is>
      </c>
      <c r="D194" s="12" t="inlineStr">
        <is>
          <t>Poste fictif Upsilon</t>
        </is>
      </c>
      <c r="E194" s="12" t="inlineStr">
        <is>
          <t>SECTIONNEMENT</t>
        </is>
      </c>
      <c r="F194" s="12" t="n">
        <v>2032</v>
      </c>
      <c r="G194" s="12" t="inlineStr">
        <is>
          <t>PIS</t>
        </is>
      </c>
      <c r="H194" s="12" t="n">
        <v>1</v>
      </c>
      <c r="I194" s="12" t="inlineStr">
        <is>
          <t>PIS</t>
        </is>
      </c>
      <c r="J194" s="12" t="inlineStr">
        <is>
          <t>G-I-TTT20</t>
        </is>
      </c>
      <c r="K194" s="12" t="inlineStr">
        <is>
          <t>G-I-TTT20-INS06</t>
        </is>
      </c>
      <c r="L194" s="12" t="inlineStr">
        <is>
          <t>Code Emprise</t>
        </is>
      </c>
      <c r="M194" s="12" t="inlineStr">
        <is>
          <t>G-I-TTT20</t>
        </is>
      </c>
      <c r="N194" s="12" t="b">
        <v>0</v>
      </c>
      <c r="O194" s="12" t="n"/>
      <c r="P194" s="12" t="n">
        <v>194</v>
      </c>
      <c r="Q194" s="12" t="n">
        <v>0</v>
      </c>
      <c r="R194" s="12" t="inlineStr">
        <is>
          <t>DEMO_PDM.xlsx</t>
        </is>
      </c>
      <c r="S194" s="24" t="n">
        <v>46309.625</v>
      </c>
    </row>
    <row r="195">
      <c r="A195" s="12" t="inlineStr">
        <is>
          <t>VDY</t>
        </is>
      </c>
      <c r="B195" s="12" t="inlineStr">
        <is>
          <t>AA3</t>
        </is>
      </c>
      <c r="C195" s="12" t="inlineStr">
        <is>
          <t>G-I-TTT20</t>
        </is>
      </c>
      <c r="D195" s="12" t="inlineStr">
        <is>
          <t>Poste fictif Upsilon</t>
        </is>
      </c>
      <c r="E195" s="12" t="inlineStr">
        <is>
          <t>SECTIONNEMENT</t>
        </is>
      </c>
      <c r="F195" s="12" t="n">
        <v>2032</v>
      </c>
      <c r="G195" s="12" t="inlineStr">
        <is>
          <t>EC FILTRE</t>
        </is>
      </c>
      <c r="H195" s="12" t="n">
        <v>3</v>
      </c>
      <c r="I195" s="12" t="inlineStr">
        <is>
          <t>EC Filtre</t>
        </is>
      </c>
      <c r="J195" s="12" t="inlineStr">
        <is>
          <t>G-I-TTT20</t>
        </is>
      </c>
      <c r="K195" s="12" t="inlineStr">
        <is>
          <t>G-I-TTT20-INS06</t>
        </is>
      </c>
      <c r="L195" s="12" t="inlineStr">
        <is>
          <t>Code Emprise</t>
        </is>
      </c>
      <c r="M195" s="12" t="inlineStr">
        <is>
          <t>G-I-TTT20</t>
        </is>
      </c>
      <c r="N195" s="12" t="b">
        <v>0</v>
      </c>
      <c r="O195" s="12" t="n"/>
      <c r="P195" s="12" t="n">
        <v>195</v>
      </c>
      <c r="Q195" s="12" t="n">
        <v>0</v>
      </c>
      <c r="R195" s="12" t="inlineStr">
        <is>
          <t>DEMO_PDM.xlsx</t>
        </is>
      </c>
      <c r="S195" s="24" t="n">
        <v>46309.625</v>
      </c>
    </row>
    <row r="196">
      <c r="A196" s="12" t="inlineStr">
        <is>
          <t>VDY</t>
        </is>
      </c>
      <c r="B196" s="12" t="inlineStr">
        <is>
          <t>AA4</t>
        </is>
      </c>
      <c r="C196" s="12" t="inlineStr">
        <is>
          <t>G-I-UUU21</t>
        </is>
      </c>
      <c r="D196" s="12" t="inlineStr">
        <is>
          <t>Poste fictif Phi</t>
        </is>
      </c>
      <c r="E196" s="12" t="inlineStr">
        <is>
          <t>COUPURE</t>
        </is>
      </c>
      <c r="F196" s="12" t="n">
        <v>2026</v>
      </c>
      <c r="G196" s="12" t="inlineStr">
        <is>
          <t>PIS</t>
        </is>
      </c>
      <c r="H196" s="12" t="n">
        <v>1</v>
      </c>
      <c r="I196" s="12" t="inlineStr">
        <is>
          <t>PIS</t>
        </is>
      </c>
      <c r="J196" s="12" t="inlineStr">
        <is>
          <t>G-I-UUU21</t>
        </is>
      </c>
      <c r="K196" s="12" t="inlineStr">
        <is>
          <t>G-I-UUU21-INS07</t>
        </is>
      </c>
      <c r="L196" s="12" t="inlineStr">
        <is>
          <t>Code Emprise</t>
        </is>
      </c>
      <c r="M196" s="12" t="inlineStr">
        <is>
          <t>G-I-UUU21</t>
        </is>
      </c>
      <c r="N196" s="12" t="b">
        <v>0</v>
      </c>
      <c r="O196" s="12" t="n"/>
      <c r="P196" s="12" t="n">
        <v>196</v>
      </c>
      <c r="Q196" s="12" t="n">
        <v>0</v>
      </c>
      <c r="R196" s="12" t="inlineStr">
        <is>
          <t>DEMO_PDM.xlsx</t>
        </is>
      </c>
      <c r="S196" s="24" t="n">
        <v>46309.625</v>
      </c>
    </row>
    <row r="197">
      <c r="A197" s="12" t="inlineStr">
        <is>
          <t>VDY</t>
        </is>
      </c>
      <c r="B197" s="12" t="inlineStr">
        <is>
          <t>AA4</t>
        </is>
      </c>
      <c r="C197" s="12" t="inlineStr">
        <is>
          <t>G-I-UUU21</t>
        </is>
      </c>
      <c r="D197" s="12" t="inlineStr">
        <is>
          <t>Poste fictif Phi</t>
        </is>
      </c>
      <c r="E197" s="12" t="inlineStr">
        <is>
          <t>COUPURE</t>
        </is>
      </c>
      <c r="F197" s="12" t="n">
        <v>2026</v>
      </c>
      <c r="G197" s="12" t="inlineStr">
        <is>
          <t>EC FILTRE</t>
        </is>
      </c>
      <c r="H197" s="12" t="n">
        <v>3</v>
      </c>
      <c r="I197" s="12" t="inlineStr">
        <is>
          <t>EC Filtre</t>
        </is>
      </c>
      <c r="J197" s="12" t="inlineStr">
        <is>
          <t>G-I-UUU21</t>
        </is>
      </c>
      <c r="K197" s="12" t="inlineStr">
        <is>
          <t>G-I-UUU21-INS07</t>
        </is>
      </c>
      <c r="L197" s="12" t="inlineStr">
        <is>
          <t>Code Emprise</t>
        </is>
      </c>
      <c r="M197" s="12" t="inlineStr">
        <is>
          <t>G-I-UUU21</t>
        </is>
      </c>
      <c r="N197" s="12" t="b">
        <v>0</v>
      </c>
      <c r="O197" s="12" t="n"/>
      <c r="P197" s="12" t="n">
        <v>197</v>
      </c>
      <c r="Q197" s="12" t="n">
        <v>0</v>
      </c>
      <c r="R197" s="12" t="inlineStr">
        <is>
          <t>DEMO_PDM.xlsx</t>
        </is>
      </c>
      <c r="S197" s="24" t="n">
        <v>46309.625</v>
      </c>
    </row>
    <row r="198">
      <c r="A198" s="12" t="inlineStr">
        <is>
          <t>VDY</t>
        </is>
      </c>
      <c r="B198" s="12" t="inlineStr">
        <is>
          <t>AA4</t>
        </is>
      </c>
      <c r="C198" s="12" t="inlineStr">
        <is>
          <t>G-I-UUU21</t>
        </is>
      </c>
      <c r="D198" s="12" t="inlineStr">
        <is>
          <t>Poste fictif Phi</t>
        </is>
      </c>
      <c r="E198" s="12" t="inlineStr">
        <is>
          <t>COUPURE</t>
        </is>
      </c>
      <c r="F198" s="12" t="n">
        <v>2028</v>
      </c>
      <c r="G198" s="12" t="inlineStr">
        <is>
          <t>PIS</t>
        </is>
      </c>
      <c r="H198" s="12" t="n">
        <v>1</v>
      </c>
      <c r="I198" s="12" t="inlineStr">
        <is>
          <t>PIS</t>
        </is>
      </c>
      <c r="J198" s="12" t="inlineStr">
        <is>
          <t>G-I-UUU21</t>
        </is>
      </c>
      <c r="K198" s="12" t="inlineStr">
        <is>
          <t>G-I-UUU21-INS07</t>
        </is>
      </c>
      <c r="L198" s="12" t="inlineStr">
        <is>
          <t>Code Emprise</t>
        </is>
      </c>
      <c r="M198" s="12" t="inlineStr">
        <is>
          <t>G-I-UUU21</t>
        </is>
      </c>
      <c r="N198" s="12" t="b">
        <v>0</v>
      </c>
      <c r="O198" s="12" t="n"/>
      <c r="P198" s="12" t="n">
        <v>198</v>
      </c>
      <c r="Q198" s="12" t="n">
        <v>0</v>
      </c>
      <c r="R198" s="12" t="inlineStr">
        <is>
          <t>DEMO_PDM.xlsx</t>
        </is>
      </c>
      <c r="S198" s="24" t="n">
        <v>46309.625</v>
      </c>
    </row>
    <row r="199">
      <c r="A199" s="12" t="inlineStr">
        <is>
          <t>VDY</t>
        </is>
      </c>
      <c r="B199" s="12" t="inlineStr">
        <is>
          <t>AA4</t>
        </is>
      </c>
      <c r="C199" s="12" t="inlineStr">
        <is>
          <t>G-I-UUU21</t>
        </is>
      </c>
      <c r="D199" s="12" t="inlineStr">
        <is>
          <t>Poste fictif Phi</t>
        </is>
      </c>
      <c r="E199" s="12" t="inlineStr">
        <is>
          <t>COUPURE</t>
        </is>
      </c>
      <c r="F199" s="12" t="n">
        <v>2028</v>
      </c>
      <c r="G199" s="12" t="inlineStr">
        <is>
          <t>EC SIMPLE</t>
        </is>
      </c>
      <c r="H199" s="12" t="n">
        <v>2</v>
      </c>
      <c r="I199" s="12" t="inlineStr">
        <is>
          <t>EC Simple</t>
        </is>
      </c>
      <c r="J199" s="12" t="inlineStr">
        <is>
          <t>G-I-UUU21</t>
        </is>
      </c>
      <c r="K199" s="12" t="inlineStr">
        <is>
          <t>G-I-UUU21-INS07</t>
        </is>
      </c>
      <c r="L199" s="12" t="inlineStr">
        <is>
          <t>Code Emprise</t>
        </is>
      </c>
      <c r="M199" s="12" t="inlineStr">
        <is>
          <t>G-I-UUU21</t>
        </is>
      </c>
      <c r="N199" s="12" t="b">
        <v>0</v>
      </c>
      <c r="O199" s="12" t="n"/>
      <c r="P199" s="12" t="n">
        <v>199</v>
      </c>
      <c r="Q199" s="12" t="n">
        <v>0</v>
      </c>
      <c r="R199" s="12" t="inlineStr">
        <is>
          <t>DEMO_PDM.xlsx</t>
        </is>
      </c>
      <c r="S199" s="24" t="n">
        <v>46309.625</v>
      </c>
    </row>
    <row r="200">
      <c r="A200" s="12" t="inlineStr">
        <is>
          <t>VDY</t>
        </is>
      </c>
      <c r="B200" s="12" t="inlineStr">
        <is>
          <t>AA4</t>
        </is>
      </c>
      <c r="C200" s="12" t="inlineStr">
        <is>
          <t>G-I-UUU21</t>
        </is>
      </c>
      <c r="D200" s="12" t="inlineStr">
        <is>
          <t>Poste fictif Phi</t>
        </is>
      </c>
      <c r="E200" s="12" t="inlineStr">
        <is>
          <t>COUPURE</t>
        </is>
      </c>
      <c r="F200" s="12" t="n">
        <v>2029</v>
      </c>
      <c r="G200" s="12" t="inlineStr">
        <is>
          <t>REVISION</t>
        </is>
      </c>
      <c r="H200" s="12" t="n">
        <v>4</v>
      </c>
      <c r="I200" s="12" t="inlineStr">
        <is>
          <t>Révision</t>
        </is>
      </c>
      <c r="J200" s="12" t="inlineStr">
        <is>
          <t>G-I-UUU21</t>
        </is>
      </c>
      <c r="K200" s="12" t="inlineStr">
        <is>
          <t>G-I-UUU21-INS07</t>
        </is>
      </c>
      <c r="L200" s="12" t="inlineStr">
        <is>
          <t>Code Emprise</t>
        </is>
      </c>
      <c r="M200" s="12" t="inlineStr">
        <is>
          <t>G-I-UUU21</t>
        </is>
      </c>
      <c r="N200" s="12" t="b">
        <v>0</v>
      </c>
      <c r="O200" s="12" t="n"/>
      <c r="P200" s="12" t="n">
        <v>200</v>
      </c>
      <c r="Q200" s="12" t="n">
        <v>0</v>
      </c>
      <c r="R200" s="12" t="inlineStr">
        <is>
          <t>DEMO_PDM.xlsx</t>
        </is>
      </c>
      <c r="S200" s="24" t="n">
        <v>46309.625</v>
      </c>
    </row>
    <row r="201">
      <c r="A201" s="12" t="inlineStr">
        <is>
          <t>VDY</t>
        </is>
      </c>
      <c r="B201" s="12" t="inlineStr">
        <is>
          <t>AA4</t>
        </is>
      </c>
      <c r="C201" s="12" t="inlineStr">
        <is>
          <t>G-I-UUU21</t>
        </is>
      </c>
      <c r="D201" s="12" t="inlineStr">
        <is>
          <t>Poste fictif Phi</t>
        </is>
      </c>
      <c r="E201" s="12" t="inlineStr">
        <is>
          <t>COUPURE</t>
        </is>
      </c>
      <c r="F201" s="12" t="n">
        <v>2030</v>
      </c>
      <c r="G201" s="12" t="inlineStr">
        <is>
          <t>PIS</t>
        </is>
      </c>
      <c r="H201" s="12" t="n">
        <v>1</v>
      </c>
      <c r="I201" s="12" t="inlineStr">
        <is>
          <t>PIS</t>
        </is>
      </c>
      <c r="J201" s="12" t="inlineStr">
        <is>
          <t>G-I-UUU21</t>
        </is>
      </c>
      <c r="K201" s="12" t="inlineStr">
        <is>
          <t>G-I-UUU21-INS07</t>
        </is>
      </c>
      <c r="L201" s="12" t="inlineStr">
        <is>
          <t>Code Emprise</t>
        </is>
      </c>
      <c r="M201" s="12" t="inlineStr">
        <is>
          <t>G-I-UUU21</t>
        </is>
      </c>
      <c r="N201" s="12" t="b">
        <v>0</v>
      </c>
      <c r="O201" s="12" t="n"/>
      <c r="P201" s="12" t="n">
        <v>201</v>
      </c>
      <c r="Q201" s="12" t="n">
        <v>0</v>
      </c>
      <c r="R201" s="12" t="inlineStr">
        <is>
          <t>DEMO_PDM.xlsx</t>
        </is>
      </c>
      <c r="S201" s="24" t="n">
        <v>46309.625</v>
      </c>
    </row>
    <row r="202">
      <c r="A202" s="12" t="inlineStr">
        <is>
          <t>VDY</t>
        </is>
      </c>
      <c r="B202" s="12" t="inlineStr">
        <is>
          <t>AA4</t>
        </is>
      </c>
      <c r="C202" s="12" t="inlineStr">
        <is>
          <t>G-I-UUU21</t>
        </is>
      </c>
      <c r="D202" s="12" t="inlineStr">
        <is>
          <t>Poste fictif Phi</t>
        </is>
      </c>
      <c r="E202" s="12" t="inlineStr">
        <is>
          <t>COUPURE</t>
        </is>
      </c>
      <c r="F202" s="12" t="n">
        <v>2030</v>
      </c>
      <c r="G202" s="12" t="inlineStr">
        <is>
          <t>EC FILTRE</t>
        </is>
      </c>
      <c r="H202" s="12" t="n">
        <v>3</v>
      </c>
      <c r="I202" s="12" t="inlineStr">
        <is>
          <t>EC Filtre</t>
        </is>
      </c>
      <c r="J202" s="12" t="inlineStr">
        <is>
          <t>G-I-UUU21</t>
        </is>
      </c>
      <c r="K202" s="12" t="inlineStr">
        <is>
          <t>G-I-UUU21-INS07</t>
        </is>
      </c>
      <c r="L202" s="12" t="inlineStr">
        <is>
          <t>Code Emprise</t>
        </is>
      </c>
      <c r="M202" s="12" t="inlineStr">
        <is>
          <t>G-I-UUU21</t>
        </is>
      </c>
      <c r="N202" s="12" t="b">
        <v>0</v>
      </c>
      <c r="O202" s="12" t="n"/>
      <c r="P202" s="12" t="n">
        <v>202</v>
      </c>
      <c r="Q202" s="12" t="n">
        <v>0</v>
      </c>
      <c r="R202" s="12" t="inlineStr">
        <is>
          <t>DEMO_PDM.xlsx</t>
        </is>
      </c>
      <c r="S202" s="24" t="n">
        <v>46309.625</v>
      </c>
    </row>
    <row r="203">
      <c r="A203" s="12" t="inlineStr">
        <is>
          <t>VDY</t>
        </is>
      </c>
      <c r="B203" s="12" t="inlineStr">
        <is>
          <t>AA4</t>
        </is>
      </c>
      <c r="C203" s="12" t="inlineStr">
        <is>
          <t>G-I-UUU21</t>
        </is>
      </c>
      <c r="D203" s="12" t="inlineStr">
        <is>
          <t>Poste fictif Phi</t>
        </is>
      </c>
      <c r="E203" s="12" t="inlineStr">
        <is>
          <t>COUPURE</t>
        </is>
      </c>
      <c r="F203" s="12" t="n">
        <v>2032</v>
      </c>
      <c r="G203" s="12" t="inlineStr">
        <is>
          <t>PIS</t>
        </is>
      </c>
      <c r="H203" s="12" t="n">
        <v>1</v>
      </c>
      <c r="I203" s="12" t="inlineStr">
        <is>
          <t>PIS</t>
        </is>
      </c>
      <c r="J203" s="12" t="inlineStr">
        <is>
          <t>G-I-UUU21</t>
        </is>
      </c>
      <c r="K203" s="12" t="inlineStr">
        <is>
          <t>G-I-UUU21-INS07</t>
        </is>
      </c>
      <c r="L203" s="12" t="inlineStr">
        <is>
          <t>Code Emprise</t>
        </is>
      </c>
      <c r="M203" s="12" t="inlineStr">
        <is>
          <t>G-I-UUU21</t>
        </is>
      </c>
      <c r="N203" s="12" t="b">
        <v>0</v>
      </c>
      <c r="O203" s="12" t="n"/>
      <c r="P203" s="12" t="n">
        <v>203</v>
      </c>
      <c r="Q203" s="12" t="n">
        <v>0</v>
      </c>
      <c r="R203" s="12" t="inlineStr">
        <is>
          <t>DEMO_PDM.xlsx</t>
        </is>
      </c>
      <c r="S203" s="24" t="n">
        <v>46309.625</v>
      </c>
    </row>
    <row r="204">
      <c r="A204" s="12" t="inlineStr">
        <is>
          <t>VDY</t>
        </is>
      </c>
      <c r="B204" s="12" t="inlineStr">
        <is>
          <t>AA4</t>
        </is>
      </c>
      <c r="C204" s="12" t="inlineStr">
        <is>
          <t>G-I-UUU21</t>
        </is>
      </c>
      <c r="D204" s="12" t="inlineStr">
        <is>
          <t>Poste fictif Phi</t>
        </is>
      </c>
      <c r="E204" s="12" t="inlineStr">
        <is>
          <t>COUPURE</t>
        </is>
      </c>
      <c r="F204" s="12" t="n">
        <v>2032</v>
      </c>
      <c r="G204" s="12" t="inlineStr">
        <is>
          <t>EC SIMPLE</t>
        </is>
      </c>
      <c r="H204" s="12" t="n">
        <v>2</v>
      </c>
      <c r="I204" s="12" t="inlineStr">
        <is>
          <t>EC Simple</t>
        </is>
      </c>
      <c r="J204" s="12" t="inlineStr">
        <is>
          <t>G-I-UUU21</t>
        </is>
      </c>
      <c r="K204" s="12" t="inlineStr">
        <is>
          <t>G-I-UUU21-INS07</t>
        </is>
      </c>
      <c r="L204" s="12" t="inlineStr">
        <is>
          <t>Code Emprise</t>
        </is>
      </c>
      <c r="M204" s="12" t="inlineStr">
        <is>
          <t>G-I-UUU21</t>
        </is>
      </c>
      <c r="N204" s="12" t="b">
        <v>0</v>
      </c>
      <c r="O204" s="12" t="n"/>
      <c r="P204" s="12" t="n">
        <v>204</v>
      </c>
      <c r="Q204" s="12" t="n">
        <v>0</v>
      </c>
      <c r="R204" s="12" t="inlineStr">
        <is>
          <t>DEMO_PDM.xlsx</t>
        </is>
      </c>
      <c r="S204" s="24" t="n">
        <v>46309.625</v>
      </c>
    </row>
    <row r="205">
      <c r="A205" s="12" t="inlineStr">
        <is>
          <t>DEI</t>
        </is>
      </c>
      <c r="B205" s="12" t="inlineStr">
        <is>
          <t>AA1</t>
        </is>
      </c>
      <c r="C205" s="12" t="inlineStr">
        <is>
          <t>G-I-VVV22</t>
        </is>
      </c>
      <c r="D205" s="12" t="inlineStr">
        <is>
          <t>Poste fictif Chi</t>
        </is>
      </c>
      <c r="E205" s="12" t="inlineStr">
        <is>
          <t>COMPTAGE</t>
        </is>
      </c>
      <c r="F205" s="12" t="n">
        <v>2026</v>
      </c>
      <c r="G205" s="12" t="inlineStr">
        <is>
          <t>PIS</t>
        </is>
      </c>
      <c r="H205" s="12" t="n">
        <v>1</v>
      </c>
      <c r="I205" s="12" t="inlineStr">
        <is>
          <t>PIS</t>
        </is>
      </c>
      <c r="J205" s="12" t="inlineStr">
        <is>
          <t>G-I-VVV22</t>
        </is>
      </c>
      <c r="K205" s="12" t="inlineStr">
        <is>
          <t>G-I-VVV22-INS01</t>
        </is>
      </c>
      <c r="L205" s="12" t="inlineStr">
        <is>
          <t>Code Emprise</t>
        </is>
      </c>
      <c r="M205" s="12" t="inlineStr">
        <is>
          <t>G-I-VVV22</t>
        </is>
      </c>
      <c r="N205" s="12" t="b">
        <v>0</v>
      </c>
      <c r="O205" s="12" t="n"/>
      <c r="P205" s="12" t="n">
        <v>205</v>
      </c>
      <c r="Q205" s="12" t="n">
        <v>0</v>
      </c>
      <c r="R205" s="12" t="inlineStr">
        <is>
          <t>DEMO_PDM.xlsx</t>
        </is>
      </c>
      <c r="S205" s="24" t="n">
        <v>46309.625</v>
      </c>
    </row>
    <row r="206">
      <c r="A206" s="12" t="inlineStr">
        <is>
          <t>DEI</t>
        </is>
      </c>
      <c r="B206" s="12" t="inlineStr">
        <is>
          <t>AA1</t>
        </is>
      </c>
      <c r="C206" s="12" t="inlineStr">
        <is>
          <t>G-I-VVV22</t>
        </is>
      </c>
      <c r="D206" s="12" t="inlineStr">
        <is>
          <t>Poste fictif Chi</t>
        </is>
      </c>
      <c r="E206" s="12" t="inlineStr">
        <is>
          <t>COMPTAGE</t>
        </is>
      </c>
      <c r="F206" s="12" t="n">
        <v>2026</v>
      </c>
      <c r="G206" s="12" t="inlineStr">
        <is>
          <t>EC FILTRE</t>
        </is>
      </c>
      <c r="H206" s="12" t="n">
        <v>3</v>
      </c>
      <c r="I206" s="12" t="inlineStr">
        <is>
          <t>EC Filtre</t>
        </is>
      </c>
      <c r="J206" s="12" t="inlineStr">
        <is>
          <t>G-I-VVV22</t>
        </is>
      </c>
      <c r="K206" s="12" t="inlineStr">
        <is>
          <t>G-I-VVV22-INS01</t>
        </is>
      </c>
      <c r="L206" s="12" t="inlineStr">
        <is>
          <t>Code Emprise</t>
        </is>
      </c>
      <c r="M206" s="12" t="inlineStr">
        <is>
          <t>G-I-VVV22</t>
        </is>
      </c>
      <c r="N206" s="12" t="b">
        <v>0</v>
      </c>
      <c r="O206" s="12" t="n"/>
      <c r="P206" s="12" t="n">
        <v>206</v>
      </c>
      <c r="Q206" s="12" t="n">
        <v>0</v>
      </c>
      <c r="R206" s="12" t="inlineStr">
        <is>
          <t>DEMO_PDM.xlsx</t>
        </is>
      </c>
      <c r="S206" s="24" t="n">
        <v>46309.625</v>
      </c>
    </row>
    <row r="207">
      <c r="A207" s="12" t="inlineStr">
        <is>
          <t>DEI</t>
        </is>
      </c>
      <c r="B207" s="12" t="inlineStr">
        <is>
          <t>AA1</t>
        </is>
      </c>
      <c r="C207" s="12" t="inlineStr">
        <is>
          <t>G-I-VVV22</t>
        </is>
      </c>
      <c r="D207" s="12" t="inlineStr">
        <is>
          <t>Poste fictif Chi</t>
        </is>
      </c>
      <c r="E207" s="12" t="inlineStr">
        <is>
          <t>COMPTAGE</t>
        </is>
      </c>
      <c r="F207" s="12" t="n">
        <v>2027</v>
      </c>
      <c r="G207" s="12" t="inlineStr">
        <is>
          <t>PIS</t>
        </is>
      </c>
      <c r="H207" s="12" t="n">
        <v>1</v>
      </c>
      <c r="I207" s="12" t="inlineStr">
        <is>
          <t>PIS</t>
        </is>
      </c>
      <c r="J207" s="12" t="inlineStr">
        <is>
          <t>G-I-VVV22</t>
        </is>
      </c>
      <c r="K207" s="12" t="inlineStr">
        <is>
          <t>G-I-VVV22-INS01</t>
        </is>
      </c>
      <c r="L207" s="12" t="inlineStr">
        <is>
          <t>Code Emprise</t>
        </is>
      </c>
      <c r="M207" s="12" t="inlineStr">
        <is>
          <t>G-I-VVV22</t>
        </is>
      </c>
      <c r="N207" s="12" t="b">
        <v>0</v>
      </c>
      <c r="O207" s="12" t="n"/>
      <c r="P207" s="12" t="n">
        <v>207</v>
      </c>
      <c r="Q207" s="12" t="n">
        <v>0</v>
      </c>
      <c r="R207" s="12" t="inlineStr">
        <is>
          <t>DEMO_PDM.xlsx</t>
        </is>
      </c>
      <c r="S207" s="24" t="n">
        <v>46309.625</v>
      </c>
    </row>
    <row r="208">
      <c r="A208" s="12" t="inlineStr">
        <is>
          <t>DEI</t>
        </is>
      </c>
      <c r="B208" s="12" t="inlineStr">
        <is>
          <t>AA1</t>
        </is>
      </c>
      <c r="C208" s="12" t="inlineStr">
        <is>
          <t>G-I-VVV22</t>
        </is>
      </c>
      <c r="D208" s="12" t="inlineStr">
        <is>
          <t>Poste fictif Chi</t>
        </is>
      </c>
      <c r="E208" s="12" t="inlineStr">
        <is>
          <t>COMPTAGE</t>
        </is>
      </c>
      <c r="F208" s="12" t="n">
        <v>2027</v>
      </c>
      <c r="G208" s="12" t="inlineStr">
        <is>
          <t>REVISION</t>
        </is>
      </c>
      <c r="H208" s="12" t="n">
        <v>4</v>
      </c>
      <c r="I208" s="12" t="inlineStr">
        <is>
          <t>Révision</t>
        </is>
      </c>
      <c r="J208" s="12" t="inlineStr">
        <is>
          <t>G-I-VVV22</t>
        </is>
      </c>
      <c r="K208" s="12" t="inlineStr">
        <is>
          <t>G-I-VVV22-INS01</t>
        </is>
      </c>
      <c r="L208" s="12" t="inlineStr">
        <is>
          <t>Code Emprise</t>
        </is>
      </c>
      <c r="M208" s="12" t="inlineStr">
        <is>
          <t>G-I-VVV22</t>
        </is>
      </c>
      <c r="N208" s="12" t="b">
        <v>0</v>
      </c>
      <c r="O208" s="12" t="n"/>
      <c r="P208" s="12" t="n">
        <v>208</v>
      </c>
      <c r="Q208" s="12" t="n">
        <v>0</v>
      </c>
      <c r="R208" s="12" t="inlineStr">
        <is>
          <t>DEMO_PDM.xlsx</t>
        </is>
      </c>
      <c r="S208" s="24" t="n">
        <v>46309.625</v>
      </c>
    </row>
    <row r="209">
      <c r="A209" s="12" t="inlineStr">
        <is>
          <t>DEI</t>
        </is>
      </c>
      <c r="B209" s="12" t="inlineStr">
        <is>
          <t>AA1</t>
        </is>
      </c>
      <c r="C209" s="12" t="inlineStr">
        <is>
          <t>G-I-VVV22</t>
        </is>
      </c>
      <c r="D209" s="12" t="inlineStr">
        <is>
          <t>Poste fictif Chi</t>
        </is>
      </c>
      <c r="E209" s="12" t="inlineStr">
        <is>
          <t>COMPTAGE</t>
        </is>
      </c>
      <c r="F209" s="12" t="n">
        <v>2028</v>
      </c>
      <c r="G209" s="12" t="inlineStr">
        <is>
          <t>PIS</t>
        </is>
      </c>
      <c r="H209" s="12" t="n">
        <v>1</v>
      </c>
      <c r="I209" s="12" t="inlineStr">
        <is>
          <t>PIS</t>
        </is>
      </c>
      <c r="J209" s="12" t="inlineStr">
        <is>
          <t>G-I-VVV22</t>
        </is>
      </c>
      <c r="K209" s="12" t="inlineStr">
        <is>
          <t>G-I-VVV22-INS01</t>
        </is>
      </c>
      <c r="L209" s="12" t="inlineStr">
        <is>
          <t>Code Emprise</t>
        </is>
      </c>
      <c r="M209" s="12" t="inlineStr">
        <is>
          <t>G-I-VVV22</t>
        </is>
      </c>
      <c r="N209" s="12" t="b">
        <v>0</v>
      </c>
      <c r="O209" s="12" t="n"/>
      <c r="P209" s="12" t="n">
        <v>209</v>
      </c>
      <c r="Q209" s="12" t="n">
        <v>0</v>
      </c>
      <c r="R209" s="12" t="inlineStr">
        <is>
          <t>DEMO_PDM.xlsx</t>
        </is>
      </c>
      <c r="S209" s="24" t="n">
        <v>46309.625</v>
      </c>
    </row>
    <row r="210">
      <c r="A210" s="12" t="inlineStr">
        <is>
          <t>DEI</t>
        </is>
      </c>
      <c r="B210" s="12" t="inlineStr">
        <is>
          <t>AA1</t>
        </is>
      </c>
      <c r="C210" s="12" t="inlineStr">
        <is>
          <t>G-I-VVV22</t>
        </is>
      </c>
      <c r="D210" s="12" t="inlineStr">
        <is>
          <t>Poste fictif Chi</t>
        </is>
      </c>
      <c r="E210" s="12" t="inlineStr">
        <is>
          <t>COMPTAGE</t>
        </is>
      </c>
      <c r="F210" s="12" t="n">
        <v>2029</v>
      </c>
      <c r="G210" s="12" t="inlineStr">
        <is>
          <t>PIS</t>
        </is>
      </c>
      <c r="H210" s="12" t="n">
        <v>1</v>
      </c>
      <c r="I210" s="12" t="inlineStr">
        <is>
          <t>PIS</t>
        </is>
      </c>
      <c r="J210" s="12" t="inlineStr">
        <is>
          <t>G-I-VVV22</t>
        </is>
      </c>
      <c r="K210" s="12" t="inlineStr">
        <is>
          <t>G-I-VVV22-INS01</t>
        </is>
      </c>
      <c r="L210" s="12" t="inlineStr">
        <is>
          <t>Code Emprise</t>
        </is>
      </c>
      <c r="M210" s="12" t="inlineStr">
        <is>
          <t>G-I-VVV22</t>
        </is>
      </c>
      <c r="N210" s="12" t="b">
        <v>0</v>
      </c>
      <c r="O210" s="12" t="n"/>
      <c r="P210" s="12" t="n">
        <v>210</v>
      </c>
      <c r="Q210" s="12" t="n">
        <v>0</v>
      </c>
      <c r="R210" s="12" t="inlineStr">
        <is>
          <t>DEMO_PDM.xlsx</t>
        </is>
      </c>
      <c r="S210" s="24" t="n">
        <v>46309.625</v>
      </c>
    </row>
    <row r="211">
      <c r="A211" s="12" t="inlineStr">
        <is>
          <t>DEI</t>
        </is>
      </c>
      <c r="B211" s="12" t="inlineStr">
        <is>
          <t>AA1</t>
        </is>
      </c>
      <c r="C211" s="12" t="inlineStr">
        <is>
          <t>G-I-VVV22</t>
        </is>
      </c>
      <c r="D211" s="12" t="inlineStr">
        <is>
          <t>Poste fictif Chi</t>
        </is>
      </c>
      <c r="E211" s="12" t="inlineStr">
        <is>
          <t>COMPTAGE</t>
        </is>
      </c>
      <c r="F211" s="12" t="n">
        <v>2029</v>
      </c>
      <c r="G211" s="12" t="inlineStr">
        <is>
          <t>EC SIMPLE</t>
        </is>
      </c>
      <c r="H211" s="12" t="n">
        <v>2</v>
      </c>
      <c r="I211" s="12" t="inlineStr">
        <is>
          <t>EC Simple</t>
        </is>
      </c>
      <c r="J211" s="12" t="inlineStr">
        <is>
          <t>G-I-VVV22</t>
        </is>
      </c>
      <c r="K211" s="12" t="inlineStr">
        <is>
          <t>G-I-VVV22-INS01</t>
        </is>
      </c>
      <c r="L211" s="12" t="inlineStr">
        <is>
          <t>Code Emprise</t>
        </is>
      </c>
      <c r="M211" s="12" t="inlineStr">
        <is>
          <t>G-I-VVV22</t>
        </is>
      </c>
      <c r="N211" s="12" t="b">
        <v>0</v>
      </c>
      <c r="O211" s="12" t="n"/>
      <c r="P211" s="12" t="n">
        <v>211</v>
      </c>
      <c r="Q211" s="12" t="n">
        <v>0</v>
      </c>
      <c r="R211" s="12" t="inlineStr">
        <is>
          <t>DEMO_PDM.xlsx</t>
        </is>
      </c>
      <c r="S211" s="24" t="n">
        <v>46309.625</v>
      </c>
    </row>
    <row r="212">
      <c r="A212" s="12" t="inlineStr">
        <is>
          <t>DEI</t>
        </is>
      </c>
      <c r="B212" s="12" t="inlineStr">
        <is>
          <t>AA1</t>
        </is>
      </c>
      <c r="C212" s="12" t="inlineStr">
        <is>
          <t>G-I-VVV22</t>
        </is>
      </c>
      <c r="D212" s="12" t="inlineStr">
        <is>
          <t>Poste fictif Chi</t>
        </is>
      </c>
      <c r="E212" s="12" t="inlineStr">
        <is>
          <t>COMPTAGE</t>
        </is>
      </c>
      <c r="F212" s="12" t="n">
        <v>2030</v>
      </c>
      <c r="G212" s="12" t="inlineStr">
        <is>
          <t>PIS</t>
        </is>
      </c>
      <c r="H212" s="12" t="n">
        <v>1</v>
      </c>
      <c r="I212" s="12" t="inlineStr">
        <is>
          <t>PIS</t>
        </is>
      </c>
      <c r="J212" s="12" t="inlineStr">
        <is>
          <t>G-I-VVV22</t>
        </is>
      </c>
      <c r="K212" s="12" t="inlineStr">
        <is>
          <t>G-I-VVV22-INS01</t>
        </is>
      </c>
      <c r="L212" s="12" t="inlineStr">
        <is>
          <t>Code Emprise</t>
        </is>
      </c>
      <c r="M212" s="12" t="inlineStr">
        <is>
          <t>G-I-VVV22</t>
        </is>
      </c>
      <c r="N212" s="12" t="b">
        <v>0</v>
      </c>
      <c r="O212" s="12" t="n"/>
      <c r="P212" s="12" t="n">
        <v>212</v>
      </c>
      <c r="Q212" s="12" t="n">
        <v>0</v>
      </c>
      <c r="R212" s="12" t="inlineStr">
        <is>
          <t>DEMO_PDM.xlsx</t>
        </is>
      </c>
      <c r="S212" s="24" t="n">
        <v>46309.625</v>
      </c>
    </row>
    <row r="213">
      <c r="A213" s="12" t="inlineStr">
        <is>
          <t>DEI</t>
        </is>
      </c>
      <c r="B213" s="12" t="inlineStr">
        <is>
          <t>AA1</t>
        </is>
      </c>
      <c r="C213" s="12" t="inlineStr">
        <is>
          <t>G-I-VVV22</t>
        </is>
      </c>
      <c r="D213" s="12" t="inlineStr">
        <is>
          <t>Poste fictif Chi</t>
        </is>
      </c>
      <c r="E213" s="12" t="inlineStr">
        <is>
          <t>COMPTAGE</t>
        </is>
      </c>
      <c r="F213" s="12" t="n">
        <v>2031</v>
      </c>
      <c r="G213" s="12" t="inlineStr">
        <is>
          <t>PIS</t>
        </is>
      </c>
      <c r="H213" s="12" t="n">
        <v>1</v>
      </c>
      <c r="I213" s="12" t="inlineStr">
        <is>
          <t>PIS</t>
        </is>
      </c>
      <c r="J213" s="12" t="inlineStr">
        <is>
          <t>G-I-VVV22</t>
        </is>
      </c>
      <c r="K213" s="12" t="inlineStr">
        <is>
          <t>G-I-VVV22-INS01</t>
        </is>
      </c>
      <c r="L213" s="12" t="inlineStr">
        <is>
          <t>Code Emprise</t>
        </is>
      </c>
      <c r="M213" s="12" t="inlineStr">
        <is>
          <t>G-I-VVV22</t>
        </is>
      </c>
      <c r="N213" s="12" t="b">
        <v>0</v>
      </c>
      <c r="O213" s="12" t="n"/>
      <c r="P213" s="12" t="n">
        <v>213</v>
      </c>
      <c r="Q213" s="12" t="n">
        <v>0</v>
      </c>
      <c r="R213" s="12" t="inlineStr">
        <is>
          <t>DEMO_PDM.xlsx</t>
        </is>
      </c>
      <c r="S213" s="24" t="n">
        <v>46309.625</v>
      </c>
    </row>
    <row r="214">
      <c r="A214" s="12" t="inlineStr">
        <is>
          <t>DEI</t>
        </is>
      </c>
      <c r="B214" s="12" t="inlineStr">
        <is>
          <t>AA1</t>
        </is>
      </c>
      <c r="C214" s="12" t="inlineStr">
        <is>
          <t>G-I-VVV22</t>
        </is>
      </c>
      <c r="D214" s="12" t="inlineStr">
        <is>
          <t>Poste fictif Chi</t>
        </is>
      </c>
      <c r="E214" s="12" t="inlineStr">
        <is>
          <t>COMPTAGE</t>
        </is>
      </c>
      <c r="F214" s="12" t="n">
        <v>2032</v>
      </c>
      <c r="G214" s="12" t="inlineStr">
        <is>
          <t>PIS</t>
        </is>
      </c>
      <c r="H214" s="12" t="n">
        <v>1</v>
      </c>
      <c r="I214" s="12" t="inlineStr">
        <is>
          <t>PIS</t>
        </is>
      </c>
      <c r="J214" s="12" t="inlineStr">
        <is>
          <t>G-I-VVV22</t>
        </is>
      </c>
      <c r="K214" s="12" t="inlineStr">
        <is>
          <t>G-I-VVV22-INS01</t>
        </is>
      </c>
      <c r="L214" s="12" t="inlineStr">
        <is>
          <t>Code Emprise</t>
        </is>
      </c>
      <c r="M214" s="12" t="inlineStr">
        <is>
          <t>G-I-VVV22</t>
        </is>
      </c>
      <c r="N214" s="12" t="b">
        <v>0</v>
      </c>
      <c r="O214" s="12" t="n"/>
      <c r="P214" s="12" t="n">
        <v>214</v>
      </c>
      <c r="Q214" s="12" t="n">
        <v>0</v>
      </c>
      <c r="R214" s="12" t="inlineStr">
        <is>
          <t>DEMO_PDM.xlsx</t>
        </is>
      </c>
      <c r="S214" s="24" t="n">
        <v>46309.625</v>
      </c>
    </row>
    <row r="215">
      <c r="A215" s="12" t="inlineStr">
        <is>
          <t>DEI</t>
        </is>
      </c>
      <c r="B215" s="12" t="inlineStr">
        <is>
          <t>AA1</t>
        </is>
      </c>
      <c r="C215" s="12" t="inlineStr">
        <is>
          <t>G-I-VVV22</t>
        </is>
      </c>
      <c r="D215" s="12" t="inlineStr">
        <is>
          <t>Poste fictif Chi</t>
        </is>
      </c>
      <c r="E215" s="12" t="inlineStr">
        <is>
          <t>COMPTAGE</t>
        </is>
      </c>
      <c r="F215" s="12" t="n">
        <v>2032</v>
      </c>
      <c r="G215" s="12" t="inlineStr">
        <is>
          <t>EC FILTRE</t>
        </is>
      </c>
      <c r="H215" s="12" t="n">
        <v>3</v>
      </c>
      <c r="I215" s="12" t="inlineStr">
        <is>
          <t>EC Filtre</t>
        </is>
      </c>
      <c r="J215" s="12" t="inlineStr">
        <is>
          <t>G-I-VVV22</t>
        </is>
      </c>
      <c r="K215" s="12" t="inlineStr">
        <is>
          <t>G-I-VVV22-INS01</t>
        </is>
      </c>
      <c r="L215" s="12" t="inlineStr">
        <is>
          <t>Code Emprise</t>
        </is>
      </c>
      <c r="M215" s="12" t="inlineStr">
        <is>
          <t>G-I-VVV22</t>
        </is>
      </c>
      <c r="N215" s="12" t="b">
        <v>0</v>
      </c>
      <c r="O215" s="12" t="n"/>
      <c r="P215" s="12" t="n">
        <v>215</v>
      </c>
      <c r="Q215" s="12" t="n">
        <v>0</v>
      </c>
      <c r="R215" s="12" t="inlineStr">
        <is>
          <t>DEMO_PDM.xlsx</t>
        </is>
      </c>
      <c r="S215" s="24" t="n">
        <v>46309.625</v>
      </c>
    </row>
    <row r="216">
      <c r="A216" s="12" t="inlineStr">
        <is>
          <t>DEI</t>
        </is>
      </c>
      <c r="B216" s="12" t="inlineStr">
        <is>
          <t>AA3</t>
        </is>
      </c>
      <c r="C216" s="12" t="inlineStr">
        <is>
          <t>G-I-WWW23</t>
        </is>
      </c>
      <c r="D216" s="12" t="inlineStr">
        <is>
          <t>Poste fictif Psi</t>
        </is>
      </c>
      <c r="E216" s="12" t="inlineStr">
        <is>
          <t>DETENTE</t>
        </is>
      </c>
      <c r="F216" s="12" t="n">
        <v>2026</v>
      </c>
      <c r="G216" s="12" t="inlineStr">
        <is>
          <t>PIS</t>
        </is>
      </c>
      <c r="H216" s="12" t="n">
        <v>1</v>
      </c>
      <c r="I216" s="12" t="inlineStr">
        <is>
          <t>PIS</t>
        </is>
      </c>
      <c r="J216" s="12" t="inlineStr">
        <is>
          <t>G-I-WWW23</t>
        </is>
      </c>
      <c r="K216" s="12" t="inlineStr">
        <is>
          <t>G-I-WWW23-INS02</t>
        </is>
      </c>
      <c r="L216" s="12" t="inlineStr">
        <is>
          <t>Code Emprise</t>
        </is>
      </c>
      <c r="M216" s="12" t="inlineStr">
        <is>
          <t>G-I-WWW23</t>
        </is>
      </c>
      <c r="N216" s="12" t="b">
        <v>0</v>
      </c>
      <c r="O216" s="12" t="n"/>
      <c r="P216" s="12" t="n">
        <v>216</v>
      </c>
      <c r="Q216" s="12" t="n">
        <v>0</v>
      </c>
      <c r="R216" s="12" t="inlineStr">
        <is>
          <t>DEMO_PDM.xlsx</t>
        </is>
      </c>
      <c r="S216" s="24" t="n">
        <v>46309.625</v>
      </c>
    </row>
    <row r="217">
      <c r="A217" s="12" t="inlineStr">
        <is>
          <t>DEI</t>
        </is>
      </c>
      <c r="B217" s="12" t="inlineStr">
        <is>
          <t>AA3</t>
        </is>
      </c>
      <c r="C217" s="12" t="inlineStr">
        <is>
          <t>G-I-WWW23</t>
        </is>
      </c>
      <c r="D217" s="12" t="inlineStr">
        <is>
          <t>Poste fictif Psi</t>
        </is>
      </c>
      <c r="E217" s="12" t="inlineStr">
        <is>
          <t>DETENTE</t>
        </is>
      </c>
      <c r="F217" s="12" t="n">
        <v>2027</v>
      </c>
      <c r="G217" s="12" t="inlineStr">
        <is>
          <t>PIS</t>
        </is>
      </c>
      <c r="H217" s="12" t="n">
        <v>1</v>
      </c>
      <c r="I217" s="12" t="inlineStr">
        <is>
          <t>PIS</t>
        </is>
      </c>
      <c r="J217" s="12" t="inlineStr">
        <is>
          <t>G-I-WWW23</t>
        </is>
      </c>
      <c r="K217" s="12" t="inlineStr">
        <is>
          <t>G-I-WWW23-INS02</t>
        </is>
      </c>
      <c r="L217" s="12" t="inlineStr">
        <is>
          <t>Code Emprise</t>
        </is>
      </c>
      <c r="M217" s="12" t="inlineStr">
        <is>
          <t>G-I-WWW23</t>
        </is>
      </c>
      <c r="N217" s="12" t="b">
        <v>0</v>
      </c>
      <c r="O217" s="12" t="n"/>
      <c r="P217" s="12" t="n">
        <v>217</v>
      </c>
      <c r="Q217" s="12" t="n">
        <v>0</v>
      </c>
      <c r="R217" s="12" t="inlineStr">
        <is>
          <t>DEMO_PDM.xlsx</t>
        </is>
      </c>
      <c r="S217" s="24" t="n">
        <v>46309.625</v>
      </c>
    </row>
    <row r="218">
      <c r="A218" s="12" t="inlineStr">
        <is>
          <t>DEI</t>
        </is>
      </c>
      <c r="B218" s="12" t="inlineStr">
        <is>
          <t>AA3</t>
        </is>
      </c>
      <c r="C218" s="12" t="inlineStr">
        <is>
          <t>G-I-WWW23</t>
        </is>
      </c>
      <c r="D218" s="12" t="inlineStr">
        <is>
          <t>Poste fictif Psi</t>
        </is>
      </c>
      <c r="E218" s="12" t="inlineStr">
        <is>
          <t>DETENTE</t>
        </is>
      </c>
      <c r="F218" s="12" t="n">
        <v>2027</v>
      </c>
      <c r="G218" s="12" t="inlineStr">
        <is>
          <t>EC SIMPLE</t>
        </is>
      </c>
      <c r="H218" s="12" t="n">
        <v>2</v>
      </c>
      <c r="I218" s="12" t="inlineStr">
        <is>
          <t>EC Simple</t>
        </is>
      </c>
      <c r="J218" s="12" t="inlineStr">
        <is>
          <t>G-I-WWW23</t>
        </is>
      </c>
      <c r="K218" s="12" t="inlineStr">
        <is>
          <t>G-I-WWW23-INS02</t>
        </is>
      </c>
      <c r="L218" s="12" t="inlineStr">
        <is>
          <t>Code Emprise</t>
        </is>
      </c>
      <c r="M218" s="12" t="inlineStr">
        <is>
          <t>G-I-WWW23</t>
        </is>
      </c>
      <c r="N218" s="12" t="b">
        <v>0</v>
      </c>
      <c r="O218" s="12" t="n"/>
      <c r="P218" s="12" t="n">
        <v>218</v>
      </c>
      <c r="Q218" s="12" t="n">
        <v>0</v>
      </c>
      <c r="R218" s="12" t="inlineStr">
        <is>
          <t>DEMO_PDM.xlsx</t>
        </is>
      </c>
      <c r="S218" s="24" t="n">
        <v>46309.625</v>
      </c>
    </row>
    <row r="219">
      <c r="A219" s="12" t="inlineStr">
        <is>
          <t>DEI</t>
        </is>
      </c>
      <c r="B219" s="12" t="inlineStr">
        <is>
          <t>AA3</t>
        </is>
      </c>
      <c r="C219" s="12" t="inlineStr">
        <is>
          <t>G-I-WWW23</t>
        </is>
      </c>
      <c r="D219" s="12" t="inlineStr">
        <is>
          <t>Poste fictif Psi</t>
        </is>
      </c>
      <c r="E219" s="12" t="inlineStr">
        <is>
          <t>DETENTE</t>
        </is>
      </c>
      <c r="F219" s="12" t="n">
        <v>2028</v>
      </c>
      <c r="G219" s="12" t="inlineStr">
        <is>
          <t>PIS</t>
        </is>
      </c>
      <c r="H219" s="12" t="n">
        <v>1</v>
      </c>
      <c r="I219" s="12" t="inlineStr">
        <is>
          <t>PIS</t>
        </is>
      </c>
      <c r="J219" s="12" t="inlineStr">
        <is>
          <t>G-I-WWW23</t>
        </is>
      </c>
      <c r="K219" s="12" t="inlineStr">
        <is>
          <t>G-I-WWW23-INS02</t>
        </is>
      </c>
      <c r="L219" s="12" t="inlineStr">
        <is>
          <t>Code Emprise</t>
        </is>
      </c>
      <c r="M219" s="12" t="inlineStr">
        <is>
          <t>G-I-WWW23</t>
        </is>
      </c>
      <c r="N219" s="12" t="b">
        <v>0</v>
      </c>
      <c r="O219" s="12" t="n"/>
      <c r="P219" s="12" t="n">
        <v>219</v>
      </c>
      <c r="Q219" s="12" t="n">
        <v>0</v>
      </c>
      <c r="R219" s="12" t="inlineStr">
        <is>
          <t>DEMO_PDM.xlsx</t>
        </is>
      </c>
      <c r="S219" s="24" t="n">
        <v>46309.625</v>
      </c>
    </row>
    <row r="220">
      <c r="A220" s="12" t="inlineStr">
        <is>
          <t>DEI</t>
        </is>
      </c>
      <c r="B220" s="12" t="inlineStr">
        <is>
          <t>AA3</t>
        </is>
      </c>
      <c r="C220" s="12" t="inlineStr">
        <is>
          <t>G-I-WWW23</t>
        </is>
      </c>
      <c r="D220" s="12" t="inlineStr">
        <is>
          <t>Poste fictif Psi</t>
        </is>
      </c>
      <c r="E220" s="12" t="inlineStr">
        <is>
          <t>DETENTE</t>
        </is>
      </c>
      <c r="F220" s="12" t="n">
        <v>2029</v>
      </c>
      <c r="G220" s="12" t="inlineStr">
        <is>
          <t>PIS</t>
        </is>
      </c>
      <c r="H220" s="12" t="n">
        <v>1</v>
      </c>
      <c r="I220" s="12" t="inlineStr">
        <is>
          <t>PIS</t>
        </is>
      </c>
      <c r="J220" s="12" t="inlineStr">
        <is>
          <t>G-I-WWW23</t>
        </is>
      </c>
      <c r="K220" s="12" t="inlineStr">
        <is>
          <t>G-I-WWW23-INS02</t>
        </is>
      </c>
      <c r="L220" s="12" t="inlineStr">
        <is>
          <t>Code Emprise</t>
        </is>
      </c>
      <c r="M220" s="12" t="inlineStr">
        <is>
          <t>G-I-WWW23</t>
        </is>
      </c>
      <c r="N220" s="12" t="b">
        <v>0</v>
      </c>
      <c r="O220" s="12" t="n"/>
      <c r="P220" s="12" t="n">
        <v>220</v>
      </c>
      <c r="Q220" s="12" t="n">
        <v>0</v>
      </c>
      <c r="R220" s="12" t="inlineStr">
        <is>
          <t>DEMO_PDM.xlsx</t>
        </is>
      </c>
      <c r="S220" s="24" t="n">
        <v>46309.625</v>
      </c>
    </row>
    <row r="221">
      <c r="A221" s="12" t="inlineStr">
        <is>
          <t>DEI</t>
        </is>
      </c>
      <c r="B221" s="12" t="inlineStr">
        <is>
          <t>AA3</t>
        </is>
      </c>
      <c r="C221" s="12" t="inlineStr">
        <is>
          <t>G-I-WWW23</t>
        </is>
      </c>
      <c r="D221" s="12" t="inlineStr">
        <is>
          <t>Poste fictif Psi</t>
        </is>
      </c>
      <c r="E221" s="12" t="inlineStr">
        <is>
          <t>DETENTE</t>
        </is>
      </c>
      <c r="F221" s="12" t="n">
        <v>2029</v>
      </c>
      <c r="G221" s="12" t="inlineStr">
        <is>
          <t>EC SIMPLE</t>
        </is>
      </c>
      <c r="H221" s="12" t="n">
        <v>2</v>
      </c>
      <c r="I221" s="12" t="inlineStr">
        <is>
          <t>EC Simple</t>
        </is>
      </c>
      <c r="J221" s="12" t="inlineStr">
        <is>
          <t>G-I-WWW23</t>
        </is>
      </c>
      <c r="K221" s="12" t="inlineStr">
        <is>
          <t>G-I-WWW23-INS02</t>
        </is>
      </c>
      <c r="L221" s="12" t="inlineStr">
        <is>
          <t>Code Emprise</t>
        </is>
      </c>
      <c r="M221" s="12" t="inlineStr">
        <is>
          <t>G-I-WWW23</t>
        </is>
      </c>
      <c r="N221" s="12" t="b">
        <v>0</v>
      </c>
      <c r="O221" s="12" t="n"/>
      <c r="P221" s="12" t="n">
        <v>221</v>
      </c>
      <c r="Q221" s="12" t="n">
        <v>0</v>
      </c>
      <c r="R221" s="12" t="inlineStr">
        <is>
          <t>DEMO_PDM.xlsx</t>
        </is>
      </c>
      <c r="S221" s="24" t="n">
        <v>46309.625</v>
      </c>
    </row>
    <row r="222">
      <c r="A222" s="12" t="inlineStr">
        <is>
          <t>DEI</t>
        </is>
      </c>
      <c r="B222" s="12" t="inlineStr">
        <is>
          <t>AA3</t>
        </is>
      </c>
      <c r="C222" s="12" t="inlineStr">
        <is>
          <t>G-I-WWW23</t>
        </is>
      </c>
      <c r="D222" s="12" t="inlineStr">
        <is>
          <t>Poste fictif Psi</t>
        </is>
      </c>
      <c r="E222" s="12" t="inlineStr">
        <is>
          <t>DETENTE</t>
        </is>
      </c>
      <c r="F222" s="12" t="n">
        <v>2030</v>
      </c>
      <c r="G222" s="12" t="inlineStr">
        <is>
          <t>PIS</t>
        </is>
      </c>
      <c r="H222" s="12" t="n">
        <v>1</v>
      </c>
      <c r="I222" s="12" t="inlineStr">
        <is>
          <t>PIS</t>
        </is>
      </c>
      <c r="J222" s="12" t="inlineStr">
        <is>
          <t>G-I-WWW23</t>
        </is>
      </c>
      <c r="K222" s="12" t="inlineStr">
        <is>
          <t>G-I-WWW23-INS02</t>
        </is>
      </c>
      <c r="L222" s="12" t="inlineStr">
        <is>
          <t>Code Emprise</t>
        </is>
      </c>
      <c r="M222" s="12" t="inlineStr">
        <is>
          <t>G-I-WWW23</t>
        </is>
      </c>
      <c r="N222" s="12" t="b">
        <v>0</v>
      </c>
      <c r="O222" s="12" t="n"/>
      <c r="P222" s="12" t="n">
        <v>222</v>
      </c>
      <c r="Q222" s="12" t="n">
        <v>0</v>
      </c>
      <c r="R222" s="12" t="inlineStr">
        <is>
          <t>DEMO_PDM.xlsx</t>
        </is>
      </c>
      <c r="S222" s="24" t="n">
        <v>46309.625</v>
      </c>
    </row>
    <row r="223">
      <c r="A223" s="12" t="inlineStr">
        <is>
          <t>DEI</t>
        </is>
      </c>
      <c r="B223" s="12" t="inlineStr">
        <is>
          <t>AA3</t>
        </is>
      </c>
      <c r="C223" s="12" t="inlineStr">
        <is>
          <t>G-I-WWW23</t>
        </is>
      </c>
      <c r="D223" s="12" t="inlineStr">
        <is>
          <t>Poste fictif Psi</t>
        </is>
      </c>
      <c r="E223" s="12" t="inlineStr">
        <is>
          <t>DETENTE</t>
        </is>
      </c>
      <c r="F223" s="12" t="n">
        <v>2031</v>
      </c>
      <c r="G223" s="12" t="inlineStr">
        <is>
          <t>PIS</t>
        </is>
      </c>
      <c r="H223" s="12" t="n">
        <v>1</v>
      </c>
      <c r="I223" s="12" t="inlineStr">
        <is>
          <t>PIS</t>
        </is>
      </c>
      <c r="J223" s="12" t="inlineStr">
        <is>
          <t>G-I-WWW23</t>
        </is>
      </c>
      <c r="K223" s="12" t="inlineStr">
        <is>
          <t>G-I-WWW23-INS02</t>
        </is>
      </c>
      <c r="L223" s="12" t="inlineStr">
        <is>
          <t>Code Emprise</t>
        </is>
      </c>
      <c r="M223" s="12" t="inlineStr">
        <is>
          <t>G-I-WWW23</t>
        </is>
      </c>
      <c r="N223" s="12" t="b">
        <v>0</v>
      </c>
      <c r="O223" s="12" t="n"/>
      <c r="P223" s="12" t="n">
        <v>223</v>
      </c>
      <c r="Q223" s="12" t="n">
        <v>0</v>
      </c>
      <c r="R223" s="12" t="inlineStr">
        <is>
          <t>DEMO_PDM.xlsx</t>
        </is>
      </c>
      <c r="S223" s="24" t="n">
        <v>46309.625</v>
      </c>
    </row>
    <row r="224">
      <c r="A224" s="12" t="inlineStr">
        <is>
          <t>DEI</t>
        </is>
      </c>
      <c r="B224" s="12" t="inlineStr">
        <is>
          <t>AA3</t>
        </is>
      </c>
      <c r="C224" s="12" t="inlineStr">
        <is>
          <t>G-I-WWW23</t>
        </is>
      </c>
      <c r="D224" s="12" t="inlineStr">
        <is>
          <t>Poste fictif Psi</t>
        </is>
      </c>
      <c r="E224" s="12" t="inlineStr">
        <is>
          <t>DETENTE</t>
        </is>
      </c>
      <c r="F224" s="12" t="n">
        <v>2031</v>
      </c>
      <c r="G224" s="12" t="inlineStr">
        <is>
          <t>EC SIMPLE</t>
        </is>
      </c>
      <c r="H224" s="12" t="n">
        <v>2</v>
      </c>
      <c r="I224" s="12" t="inlineStr">
        <is>
          <t>EC Simple</t>
        </is>
      </c>
      <c r="J224" s="12" t="inlineStr">
        <is>
          <t>G-I-WWW23</t>
        </is>
      </c>
      <c r="K224" s="12" t="inlineStr">
        <is>
          <t>G-I-WWW23-INS02</t>
        </is>
      </c>
      <c r="L224" s="12" t="inlineStr">
        <is>
          <t>Code Emprise</t>
        </is>
      </c>
      <c r="M224" s="12" t="inlineStr">
        <is>
          <t>G-I-WWW23</t>
        </is>
      </c>
      <c r="N224" s="12" t="b">
        <v>0</v>
      </c>
      <c r="O224" s="12" t="n"/>
      <c r="P224" s="12" t="n">
        <v>224</v>
      </c>
      <c r="Q224" s="12" t="n">
        <v>0</v>
      </c>
      <c r="R224" s="12" t="inlineStr">
        <is>
          <t>DEMO_PDM.xlsx</t>
        </is>
      </c>
      <c r="S224" s="24" t="n">
        <v>46309.625</v>
      </c>
    </row>
    <row r="225">
      <c r="A225" s="12" t="inlineStr">
        <is>
          <t>DEI</t>
        </is>
      </c>
      <c r="B225" s="12" t="inlineStr">
        <is>
          <t>AA3</t>
        </is>
      </c>
      <c r="C225" s="12" t="inlineStr">
        <is>
          <t>G-I-WWW23</t>
        </is>
      </c>
      <c r="D225" s="12" t="inlineStr">
        <is>
          <t>Poste fictif Psi</t>
        </is>
      </c>
      <c r="E225" s="12" t="inlineStr">
        <is>
          <t>DETENTE</t>
        </is>
      </c>
      <c r="F225" s="12" t="n">
        <v>2031</v>
      </c>
      <c r="G225" s="12" t="inlineStr">
        <is>
          <t>REVISION</t>
        </is>
      </c>
      <c r="H225" s="12" t="n">
        <v>4</v>
      </c>
      <c r="I225" s="12" t="inlineStr">
        <is>
          <t>Révision</t>
        </is>
      </c>
      <c r="J225" s="12" t="inlineStr">
        <is>
          <t>G-I-WWW23</t>
        </is>
      </c>
      <c r="K225" s="12" t="inlineStr">
        <is>
          <t>G-I-WWW23-INS02</t>
        </is>
      </c>
      <c r="L225" s="12" t="inlineStr">
        <is>
          <t>Code Emprise</t>
        </is>
      </c>
      <c r="M225" s="12" t="inlineStr">
        <is>
          <t>G-I-WWW23</t>
        </is>
      </c>
      <c r="N225" s="12" t="b">
        <v>0</v>
      </c>
      <c r="O225" s="12" t="n"/>
      <c r="P225" s="12" t="n">
        <v>225</v>
      </c>
      <c r="Q225" s="12" t="n">
        <v>0</v>
      </c>
      <c r="R225" s="12" t="inlineStr">
        <is>
          <t>DEMO_PDM.xlsx</t>
        </is>
      </c>
      <c r="S225" s="24" t="n">
        <v>46309.625</v>
      </c>
    </row>
    <row r="226">
      <c r="A226" s="12" t="inlineStr">
        <is>
          <t>DEI</t>
        </is>
      </c>
      <c r="B226" s="12" t="inlineStr">
        <is>
          <t>AA3</t>
        </is>
      </c>
      <c r="C226" s="12" t="inlineStr">
        <is>
          <t>G-I-WWW23</t>
        </is>
      </c>
      <c r="D226" s="12" t="inlineStr">
        <is>
          <t>Poste fictif Psi</t>
        </is>
      </c>
      <c r="E226" s="12" t="inlineStr">
        <is>
          <t>DETENTE</t>
        </is>
      </c>
      <c r="F226" s="12" t="n">
        <v>2032</v>
      </c>
      <c r="G226" s="12" t="inlineStr">
        <is>
          <t>PIS</t>
        </is>
      </c>
      <c r="H226" s="12" t="n">
        <v>1</v>
      </c>
      <c r="I226" s="12" t="inlineStr">
        <is>
          <t>PIS</t>
        </is>
      </c>
      <c r="J226" s="12" t="inlineStr">
        <is>
          <t>G-I-WWW23</t>
        </is>
      </c>
      <c r="K226" s="12" t="inlineStr">
        <is>
          <t>G-I-WWW23-INS02</t>
        </is>
      </c>
      <c r="L226" s="12" t="inlineStr">
        <is>
          <t>Code Emprise</t>
        </is>
      </c>
      <c r="M226" s="12" t="inlineStr">
        <is>
          <t>G-I-WWW23</t>
        </is>
      </c>
      <c r="N226" s="12" t="b">
        <v>0</v>
      </c>
      <c r="O226" s="12" t="n"/>
      <c r="P226" s="12" t="n">
        <v>226</v>
      </c>
      <c r="Q226" s="12" t="n">
        <v>0</v>
      </c>
      <c r="R226" s="12" t="inlineStr">
        <is>
          <t>DEMO_PDM.xlsx</t>
        </is>
      </c>
      <c r="S226" s="24" t="n">
        <v>46309.625</v>
      </c>
    </row>
    <row r="227">
      <c r="A227" s="12" t="inlineStr">
        <is>
          <t>DEI</t>
        </is>
      </c>
      <c r="B227" s="12" t="inlineStr">
        <is>
          <t>AA4</t>
        </is>
      </c>
      <c r="C227" s="12" t="inlineStr">
        <is>
          <t>G-I-XXX24</t>
        </is>
      </c>
      <c r="D227" s="12" t="inlineStr">
        <is>
          <t>Poste fictif Omega</t>
        </is>
      </c>
      <c r="E227" s="12" t="inlineStr">
        <is>
          <t>COUPURE</t>
        </is>
      </c>
      <c r="F227" s="12" t="n">
        <v>2026</v>
      </c>
      <c r="G227" s="12" t="inlineStr">
        <is>
          <t>PIS</t>
        </is>
      </c>
      <c r="H227" s="12" t="n">
        <v>1</v>
      </c>
      <c r="I227" s="12" t="inlineStr">
        <is>
          <t>PIS</t>
        </is>
      </c>
      <c r="J227" s="12" t="inlineStr">
        <is>
          <t>G-I-XXX24</t>
        </is>
      </c>
      <c r="K227" s="12" t="inlineStr">
        <is>
          <t>G-I-XXX24-INS03</t>
        </is>
      </c>
      <c r="L227" s="12" t="inlineStr">
        <is>
          <t>Code Emprise</t>
        </is>
      </c>
      <c r="M227" s="12" t="inlineStr">
        <is>
          <t>G-I-XXX24</t>
        </is>
      </c>
      <c r="N227" s="12" t="b">
        <v>0</v>
      </c>
      <c r="O227" s="12" t="n"/>
      <c r="P227" s="12" t="n">
        <v>227</v>
      </c>
      <c r="Q227" s="12" t="n">
        <v>0</v>
      </c>
      <c r="R227" s="12" t="inlineStr">
        <is>
          <t>DEMO_PDM.xlsx</t>
        </is>
      </c>
      <c r="S227" s="24" t="n">
        <v>46309.625</v>
      </c>
    </row>
    <row r="228">
      <c r="A228" s="12" t="inlineStr">
        <is>
          <t>DEI</t>
        </is>
      </c>
      <c r="B228" s="12" t="inlineStr">
        <is>
          <t>AA4</t>
        </is>
      </c>
      <c r="C228" s="12" t="inlineStr">
        <is>
          <t>G-I-XXX24</t>
        </is>
      </c>
      <c r="D228" s="12" t="inlineStr">
        <is>
          <t>Poste fictif Omega</t>
        </is>
      </c>
      <c r="E228" s="12" t="inlineStr">
        <is>
          <t>COUPURE</t>
        </is>
      </c>
      <c r="F228" s="12" t="n">
        <v>2027</v>
      </c>
      <c r="G228" s="12" t="inlineStr">
        <is>
          <t>PIS</t>
        </is>
      </c>
      <c r="H228" s="12" t="n">
        <v>1</v>
      </c>
      <c r="I228" s="12" t="inlineStr">
        <is>
          <t>PIS</t>
        </is>
      </c>
      <c r="J228" s="12" t="inlineStr">
        <is>
          <t>G-I-XXX24</t>
        </is>
      </c>
      <c r="K228" s="12" t="inlineStr">
        <is>
          <t>G-I-XXX24-INS03</t>
        </is>
      </c>
      <c r="L228" s="12" t="inlineStr">
        <is>
          <t>Code Emprise</t>
        </is>
      </c>
      <c r="M228" s="12" t="inlineStr">
        <is>
          <t>G-I-XXX24</t>
        </is>
      </c>
      <c r="N228" s="12" t="b">
        <v>0</v>
      </c>
      <c r="O228" s="12" t="n"/>
      <c r="P228" s="12" t="n">
        <v>228</v>
      </c>
      <c r="Q228" s="12" t="n">
        <v>0</v>
      </c>
      <c r="R228" s="12" t="inlineStr">
        <is>
          <t>DEMO_PDM.xlsx</t>
        </is>
      </c>
      <c r="S228" s="24" t="n">
        <v>46309.625</v>
      </c>
    </row>
    <row r="229">
      <c r="A229" s="12" t="inlineStr">
        <is>
          <t>DEI</t>
        </is>
      </c>
      <c r="B229" s="12" t="inlineStr">
        <is>
          <t>AA4</t>
        </is>
      </c>
      <c r="C229" s="12" t="inlineStr">
        <is>
          <t>G-I-XXX24</t>
        </is>
      </c>
      <c r="D229" s="12" t="inlineStr">
        <is>
          <t>Poste fictif Omega</t>
        </is>
      </c>
      <c r="E229" s="12" t="inlineStr">
        <is>
          <t>COUPURE</t>
        </is>
      </c>
      <c r="F229" s="12" t="n">
        <v>2027</v>
      </c>
      <c r="G229" s="12" t="inlineStr">
        <is>
          <t>EC SIMPLE</t>
        </is>
      </c>
      <c r="H229" s="12" t="n">
        <v>2</v>
      </c>
      <c r="I229" s="12" t="inlineStr">
        <is>
          <t>EC Simple</t>
        </is>
      </c>
      <c r="J229" s="12" t="inlineStr">
        <is>
          <t>G-I-XXX24</t>
        </is>
      </c>
      <c r="K229" s="12" t="inlineStr">
        <is>
          <t>G-I-XXX24-INS03</t>
        </is>
      </c>
      <c r="L229" s="12" t="inlineStr">
        <is>
          <t>Code Emprise</t>
        </is>
      </c>
      <c r="M229" s="12" t="inlineStr">
        <is>
          <t>G-I-XXX24</t>
        </is>
      </c>
      <c r="N229" s="12" t="b">
        <v>0</v>
      </c>
      <c r="O229" s="12" t="n"/>
      <c r="P229" s="12" t="n">
        <v>229</v>
      </c>
      <c r="Q229" s="12" t="n">
        <v>0</v>
      </c>
      <c r="R229" s="12" t="inlineStr">
        <is>
          <t>DEMO_PDM.xlsx</t>
        </is>
      </c>
      <c r="S229" s="24" t="n">
        <v>46309.625</v>
      </c>
    </row>
    <row r="230">
      <c r="A230" s="12" t="inlineStr">
        <is>
          <t>DEI</t>
        </is>
      </c>
      <c r="B230" s="12" t="inlineStr">
        <is>
          <t>AA4</t>
        </is>
      </c>
      <c r="C230" s="12" t="inlineStr">
        <is>
          <t>G-I-XXX24</t>
        </is>
      </c>
      <c r="D230" s="12" t="inlineStr">
        <is>
          <t>Poste fictif Omega</t>
        </is>
      </c>
      <c r="E230" s="12" t="inlineStr">
        <is>
          <t>COUPURE</t>
        </is>
      </c>
      <c r="F230" s="12" t="n">
        <v>2027</v>
      </c>
      <c r="G230" s="12" t="inlineStr">
        <is>
          <t>REVISION</t>
        </is>
      </c>
      <c r="H230" s="12" t="n">
        <v>4</v>
      </c>
      <c r="I230" s="12" t="inlineStr">
        <is>
          <t>Révision</t>
        </is>
      </c>
      <c r="J230" s="12" t="inlineStr">
        <is>
          <t>G-I-XXX24</t>
        </is>
      </c>
      <c r="K230" s="12" t="inlineStr">
        <is>
          <t>G-I-XXX24-INS03</t>
        </is>
      </c>
      <c r="L230" s="12" t="inlineStr">
        <is>
          <t>Code Emprise</t>
        </is>
      </c>
      <c r="M230" s="12" t="inlineStr">
        <is>
          <t>G-I-XXX24</t>
        </is>
      </c>
      <c r="N230" s="12" t="b">
        <v>0</v>
      </c>
      <c r="O230" s="12" t="n"/>
      <c r="P230" s="12" t="n">
        <v>230</v>
      </c>
      <c r="Q230" s="12" t="n">
        <v>0</v>
      </c>
      <c r="R230" s="12" t="inlineStr">
        <is>
          <t>DEMO_PDM.xlsx</t>
        </is>
      </c>
      <c r="S230" s="24" t="n">
        <v>46309.625</v>
      </c>
    </row>
    <row r="231">
      <c r="A231" s="12" t="inlineStr">
        <is>
          <t>DEI</t>
        </is>
      </c>
      <c r="B231" s="12" t="inlineStr">
        <is>
          <t>AA4</t>
        </is>
      </c>
      <c r="C231" s="12" t="inlineStr">
        <is>
          <t>G-I-XXX24</t>
        </is>
      </c>
      <c r="D231" s="12" t="inlineStr">
        <is>
          <t>Poste fictif Omega</t>
        </is>
      </c>
      <c r="E231" s="12" t="inlineStr">
        <is>
          <t>COUPURE</t>
        </is>
      </c>
      <c r="F231" s="12" t="n">
        <v>2028</v>
      </c>
      <c r="G231" s="12" t="inlineStr">
        <is>
          <t>PIS</t>
        </is>
      </c>
      <c r="H231" s="12" t="n">
        <v>1</v>
      </c>
      <c r="I231" s="12" t="inlineStr">
        <is>
          <t>PIS</t>
        </is>
      </c>
      <c r="J231" s="12" t="inlineStr">
        <is>
          <t>G-I-XXX24</t>
        </is>
      </c>
      <c r="K231" s="12" t="inlineStr">
        <is>
          <t>G-I-XXX24-INS03</t>
        </is>
      </c>
      <c r="L231" s="12" t="inlineStr">
        <is>
          <t>Code Emprise</t>
        </is>
      </c>
      <c r="M231" s="12" t="inlineStr">
        <is>
          <t>G-I-XXX24</t>
        </is>
      </c>
      <c r="N231" s="12" t="b">
        <v>0</v>
      </c>
      <c r="O231" s="12" t="n"/>
      <c r="P231" s="12" t="n">
        <v>231</v>
      </c>
      <c r="Q231" s="12" t="n">
        <v>0</v>
      </c>
      <c r="R231" s="12" t="inlineStr">
        <is>
          <t>DEMO_PDM.xlsx</t>
        </is>
      </c>
      <c r="S231" s="24" t="n">
        <v>46309.625</v>
      </c>
    </row>
    <row r="232">
      <c r="A232" s="12" t="inlineStr">
        <is>
          <t>DEI</t>
        </is>
      </c>
      <c r="B232" s="12" t="inlineStr">
        <is>
          <t>AA4</t>
        </is>
      </c>
      <c r="C232" s="12" t="inlineStr">
        <is>
          <t>G-I-XXX24</t>
        </is>
      </c>
      <c r="D232" s="12" t="inlineStr">
        <is>
          <t>Poste fictif Omega</t>
        </is>
      </c>
      <c r="E232" s="12" t="inlineStr">
        <is>
          <t>COUPURE</t>
        </is>
      </c>
      <c r="F232" s="12" t="n">
        <v>2029</v>
      </c>
      <c r="G232" s="12" t="inlineStr">
        <is>
          <t>PIS</t>
        </is>
      </c>
      <c r="H232" s="12" t="n">
        <v>1</v>
      </c>
      <c r="I232" s="12" t="inlineStr">
        <is>
          <t>PIS</t>
        </is>
      </c>
      <c r="J232" s="12" t="inlineStr">
        <is>
          <t>G-I-XXX24</t>
        </is>
      </c>
      <c r="K232" s="12" t="inlineStr">
        <is>
          <t>G-I-XXX24-INS03</t>
        </is>
      </c>
      <c r="L232" s="12" t="inlineStr">
        <is>
          <t>Code Emprise</t>
        </is>
      </c>
      <c r="M232" s="12" t="inlineStr">
        <is>
          <t>G-I-XXX24</t>
        </is>
      </c>
      <c r="N232" s="12" t="b">
        <v>0</v>
      </c>
      <c r="O232" s="12" t="n"/>
      <c r="P232" s="12" t="n">
        <v>232</v>
      </c>
      <c r="Q232" s="12" t="n">
        <v>0</v>
      </c>
      <c r="R232" s="12" t="inlineStr">
        <is>
          <t>DEMO_PDM.xlsx</t>
        </is>
      </c>
      <c r="S232" s="24" t="n">
        <v>46309.625</v>
      </c>
    </row>
    <row r="233">
      <c r="A233" s="12" t="inlineStr">
        <is>
          <t>DEI</t>
        </is>
      </c>
      <c r="B233" s="12" t="inlineStr">
        <is>
          <t>AA4</t>
        </is>
      </c>
      <c r="C233" s="12" t="inlineStr">
        <is>
          <t>G-I-XXX24</t>
        </is>
      </c>
      <c r="D233" s="12" t="inlineStr">
        <is>
          <t>Poste fictif Omega</t>
        </is>
      </c>
      <c r="E233" s="12" t="inlineStr">
        <is>
          <t>COUPURE</t>
        </is>
      </c>
      <c r="F233" s="12" t="n">
        <v>2029</v>
      </c>
      <c r="G233" s="12" t="inlineStr">
        <is>
          <t>EC SIMPLE</t>
        </is>
      </c>
      <c r="H233" s="12" t="n">
        <v>2</v>
      </c>
      <c r="I233" s="12" t="inlineStr">
        <is>
          <t>EC Simple</t>
        </is>
      </c>
      <c r="J233" s="12" t="inlineStr">
        <is>
          <t>G-I-XXX24</t>
        </is>
      </c>
      <c r="K233" s="12" t="inlineStr">
        <is>
          <t>G-I-XXX24-INS03</t>
        </is>
      </c>
      <c r="L233" s="12" t="inlineStr">
        <is>
          <t>Code Emprise</t>
        </is>
      </c>
      <c r="M233" s="12" t="inlineStr">
        <is>
          <t>G-I-XXX24</t>
        </is>
      </c>
      <c r="N233" s="12" t="b">
        <v>0</v>
      </c>
      <c r="O233" s="12" t="n"/>
      <c r="P233" s="12" t="n">
        <v>233</v>
      </c>
      <c r="Q233" s="12" t="n">
        <v>0</v>
      </c>
      <c r="R233" s="12" t="inlineStr">
        <is>
          <t>DEMO_PDM.xlsx</t>
        </is>
      </c>
      <c r="S233" s="24" t="n">
        <v>46309.625</v>
      </c>
    </row>
    <row r="234">
      <c r="A234" s="12" t="inlineStr">
        <is>
          <t>DEI</t>
        </is>
      </c>
      <c r="B234" s="12" t="inlineStr">
        <is>
          <t>AA4</t>
        </is>
      </c>
      <c r="C234" s="12" t="inlineStr">
        <is>
          <t>G-I-XXX24</t>
        </is>
      </c>
      <c r="D234" s="12" t="inlineStr">
        <is>
          <t>Poste fictif Omega</t>
        </is>
      </c>
      <c r="E234" s="12" t="inlineStr">
        <is>
          <t>COUPURE</t>
        </is>
      </c>
      <c r="F234" s="12" t="n">
        <v>2030</v>
      </c>
      <c r="G234" s="12" t="inlineStr">
        <is>
          <t>PIS</t>
        </is>
      </c>
      <c r="H234" s="12" t="n">
        <v>1</v>
      </c>
      <c r="I234" s="12" t="inlineStr">
        <is>
          <t>PIS</t>
        </is>
      </c>
      <c r="J234" s="12" t="inlineStr">
        <is>
          <t>G-I-XXX24</t>
        </is>
      </c>
      <c r="K234" s="12" t="inlineStr">
        <is>
          <t>G-I-XXX24-INS03</t>
        </is>
      </c>
      <c r="L234" s="12" t="inlineStr">
        <is>
          <t>Code Emprise</t>
        </is>
      </c>
      <c r="M234" s="12" t="inlineStr">
        <is>
          <t>G-I-XXX24</t>
        </is>
      </c>
      <c r="N234" s="12" t="b">
        <v>0</v>
      </c>
      <c r="O234" s="12" t="n"/>
      <c r="P234" s="12" t="n">
        <v>234</v>
      </c>
      <c r="Q234" s="12" t="n">
        <v>0</v>
      </c>
      <c r="R234" s="12" t="inlineStr">
        <is>
          <t>DEMO_PDM.xlsx</t>
        </is>
      </c>
      <c r="S234" s="24" t="n">
        <v>46309.625</v>
      </c>
    </row>
    <row r="235">
      <c r="A235" s="12" t="inlineStr">
        <is>
          <t>DEI</t>
        </is>
      </c>
      <c r="B235" s="12" t="inlineStr">
        <is>
          <t>AA4</t>
        </is>
      </c>
      <c r="C235" s="12" t="inlineStr">
        <is>
          <t>G-I-XXX24</t>
        </is>
      </c>
      <c r="D235" s="12" t="inlineStr">
        <is>
          <t>Poste fictif Omega</t>
        </is>
      </c>
      <c r="E235" s="12" t="inlineStr">
        <is>
          <t>COUPURE</t>
        </is>
      </c>
      <c r="F235" s="12" t="n">
        <v>2031</v>
      </c>
      <c r="G235" s="12" t="inlineStr">
        <is>
          <t>PIS</t>
        </is>
      </c>
      <c r="H235" s="12" t="n">
        <v>1</v>
      </c>
      <c r="I235" s="12" t="inlineStr">
        <is>
          <t>PIS</t>
        </is>
      </c>
      <c r="J235" s="12" t="inlineStr">
        <is>
          <t>G-I-XXX24</t>
        </is>
      </c>
      <c r="K235" s="12" t="inlineStr">
        <is>
          <t>G-I-XXX24-INS03</t>
        </is>
      </c>
      <c r="L235" s="12" t="inlineStr">
        <is>
          <t>Code Emprise</t>
        </is>
      </c>
      <c r="M235" s="12" t="inlineStr">
        <is>
          <t>G-I-XXX24</t>
        </is>
      </c>
      <c r="N235" s="12" t="b">
        <v>0</v>
      </c>
      <c r="O235" s="12" t="n"/>
      <c r="P235" s="12" t="n">
        <v>235</v>
      </c>
      <c r="Q235" s="12" t="n">
        <v>0</v>
      </c>
      <c r="R235" s="12" t="inlineStr">
        <is>
          <t>DEMO_PDM.xlsx</t>
        </is>
      </c>
      <c r="S235" s="24" t="n">
        <v>46309.625</v>
      </c>
    </row>
    <row r="236">
      <c r="A236" s="12" t="inlineStr">
        <is>
          <t>DEI</t>
        </is>
      </c>
      <c r="B236" s="12" t="inlineStr">
        <is>
          <t>AA4</t>
        </is>
      </c>
      <c r="C236" s="12" t="inlineStr">
        <is>
          <t>G-I-XXX24</t>
        </is>
      </c>
      <c r="D236" s="12" t="inlineStr">
        <is>
          <t>Poste fictif Omega</t>
        </is>
      </c>
      <c r="E236" s="12" t="inlineStr">
        <is>
          <t>COUPURE</t>
        </is>
      </c>
      <c r="F236" s="12" t="n">
        <v>2031</v>
      </c>
      <c r="G236" s="12" t="inlineStr">
        <is>
          <t>EC SIMPLE</t>
        </is>
      </c>
      <c r="H236" s="12" t="n">
        <v>2</v>
      </c>
      <c r="I236" s="12" t="inlineStr">
        <is>
          <t>EC Simple</t>
        </is>
      </c>
      <c r="J236" s="12" t="inlineStr">
        <is>
          <t>G-I-XXX24</t>
        </is>
      </c>
      <c r="K236" s="12" t="inlineStr">
        <is>
          <t>G-I-XXX24-INS03</t>
        </is>
      </c>
      <c r="L236" s="12" t="inlineStr">
        <is>
          <t>Code Emprise</t>
        </is>
      </c>
      <c r="M236" s="12" t="inlineStr">
        <is>
          <t>G-I-XXX24</t>
        </is>
      </c>
      <c r="N236" s="12" t="b">
        <v>0</v>
      </c>
      <c r="O236" s="12" t="n"/>
      <c r="P236" s="12" t="n">
        <v>236</v>
      </c>
      <c r="Q236" s="12" t="n">
        <v>0</v>
      </c>
      <c r="R236" s="12" t="inlineStr">
        <is>
          <t>DEMO_PDM.xlsx</t>
        </is>
      </c>
      <c r="S236" s="24" t="n">
        <v>46309.625</v>
      </c>
    </row>
    <row r="237">
      <c r="A237" s="12" t="inlineStr">
        <is>
          <t>DEI</t>
        </is>
      </c>
      <c r="B237" s="12" t="inlineStr">
        <is>
          <t>AA4</t>
        </is>
      </c>
      <c r="C237" s="12" t="inlineStr">
        <is>
          <t>G-I-XXX24</t>
        </is>
      </c>
      <c r="D237" s="12" t="inlineStr">
        <is>
          <t>Poste fictif Omega</t>
        </is>
      </c>
      <c r="E237" s="12" t="inlineStr">
        <is>
          <t>COUPURE</t>
        </is>
      </c>
      <c r="F237" s="12" t="n">
        <v>2032</v>
      </c>
      <c r="G237" s="12" t="inlineStr">
        <is>
          <t>PIS</t>
        </is>
      </c>
      <c r="H237" s="12" t="n">
        <v>1</v>
      </c>
      <c r="I237" s="12" t="inlineStr">
        <is>
          <t>PIS</t>
        </is>
      </c>
      <c r="J237" s="12" t="inlineStr">
        <is>
          <t>G-I-XXX24</t>
        </is>
      </c>
      <c r="K237" s="12" t="inlineStr">
        <is>
          <t>G-I-XXX24-INS03</t>
        </is>
      </c>
      <c r="L237" s="12" t="inlineStr">
        <is>
          <t>Code Emprise</t>
        </is>
      </c>
      <c r="M237" s="12" t="inlineStr">
        <is>
          <t>G-I-XXX24</t>
        </is>
      </c>
      <c r="N237" s="12" t="b">
        <v>0</v>
      </c>
      <c r="O237" s="12" t="n"/>
      <c r="P237" s="12" t="n">
        <v>237</v>
      </c>
      <c r="Q237" s="12" t="n">
        <v>0</v>
      </c>
      <c r="R237" s="12" t="inlineStr">
        <is>
          <t>DEMO_PDM.xlsx</t>
        </is>
      </c>
      <c r="S237" s="24" t="n">
        <v>46309.625</v>
      </c>
    </row>
    <row r="238">
      <c r="A238" s="12" t="inlineStr">
        <is>
          <t>SHL</t>
        </is>
      </c>
      <c r="B238" s="12" t="inlineStr">
        <is>
          <t>AA1</t>
        </is>
      </c>
      <c r="C238" s="12" t="inlineStr">
        <is>
          <t>G-I-YYY25</t>
        </is>
      </c>
      <c r="D238" s="12" t="inlineStr">
        <is>
          <t>Poste fictif Alpha II</t>
        </is>
      </c>
      <c r="E238" s="12" t="inlineStr">
        <is>
          <t>LIVRAISON</t>
        </is>
      </c>
      <c r="F238" s="12" t="n">
        <v>2026</v>
      </c>
      <c r="G238" s="12" t="inlineStr">
        <is>
          <t>PIS</t>
        </is>
      </c>
      <c r="H238" s="12" t="n">
        <v>1</v>
      </c>
      <c r="I238" s="12" t="inlineStr">
        <is>
          <t>PIS</t>
        </is>
      </c>
      <c r="J238" s="12" t="inlineStr">
        <is>
          <t>G-I-YYY25</t>
        </is>
      </c>
      <c r="K238" s="12" t="inlineStr">
        <is>
          <t>G-I-YYY25-INS04</t>
        </is>
      </c>
      <c r="L238" s="12" t="inlineStr">
        <is>
          <t>Code Emprise</t>
        </is>
      </c>
      <c r="M238" s="12" t="inlineStr">
        <is>
          <t>G-I-YYY25</t>
        </is>
      </c>
      <c r="N238" s="12" t="b">
        <v>0</v>
      </c>
      <c r="O238" s="12" t="n"/>
      <c r="P238" s="12" t="n">
        <v>238</v>
      </c>
      <c r="Q238" s="12" t="n">
        <v>0</v>
      </c>
      <c r="R238" s="12" t="inlineStr">
        <is>
          <t>DEMO_PDM.xlsx</t>
        </is>
      </c>
      <c r="S238" s="24" t="n">
        <v>46309.625</v>
      </c>
    </row>
    <row r="239">
      <c r="A239" s="12" t="inlineStr">
        <is>
          <t>SHL</t>
        </is>
      </c>
      <c r="B239" s="12" t="inlineStr">
        <is>
          <t>AA1</t>
        </is>
      </c>
      <c r="C239" s="12" t="inlineStr">
        <is>
          <t>G-I-YYY25</t>
        </is>
      </c>
      <c r="D239" s="12" t="inlineStr">
        <is>
          <t>Poste fictif Alpha II</t>
        </is>
      </c>
      <c r="E239" s="12" t="inlineStr">
        <is>
          <t>LIVRAISON</t>
        </is>
      </c>
      <c r="F239" s="12" t="n">
        <v>2026</v>
      </c>
      <c r="G239" s="12" t="inlineStr">
        <is>
          <t>EC SIMPLE</t>
        </is>
      </c>
      <c r="H239" s="12" t="n">
        <v>2</v>
      </c>
      <c r="I239" s="12" t="inlineStr">
        <is>
          <t>EC Simple</t>
        </is>
      </c>
      <c r="J239" s="12" t="inlineStr">
        <is>
          <t>G-I-YYY25</t>
        </is>
      </c>
      <c r="K239" s="12" t="inlineStr">
        <is>
          <t>G-I-YYY25-INS04</t>
        </is>
      </c>
      <c r="L239" s="12" t="inlineStr">
        <is>
          <t>Code Emprise</t>
        </is>
      </c>
      <c r="M239" s="12" t="inlineStr">
        <is>
          <t>G-I-YYY25</t>
        </is>
      </c>
      <c r="N239" s="12" t="b">
        <v>0</v>
      </c>
      <c r="O239" s="12" t="n"/>
      <c r="P239" s="12" t="n">
        <v>239</v>
      </c>
      <c r="Q239" s="12" t="n">
        <v>0</v>
      </c>
      <c r="R239" s="12" t="inlineStr">
        <is>
          <t>DEMO_PDM.xlsx</t>
        </is>
      </c>
      <c r="S239" s="24" t="n">
        <v>46309.625</v>
      </c>
    </row>
    <row r="240">
      <c r="A240" s="12" t="inlineStr">
        <is>
          <t>SHL</t>
        </is>
      </c>
      <c r="B240" s="12" t="inlineStr">
        <is>
          <t>AA1</t>
        </is>
      </c>
      <c r="C240" s="12" t="inlineStr">
        <is>
          <t>G-I-YYY25</t>
        </is>
      </c>
      <c r="D240" s="12" t="inlineStr">
        <is>
          <t>Poste fictif Alpha II</t>
        </is>
      </c>
      <c r="E240" s="12" t="inlineStr">
        <is>
          <t>LIVRAISON</t>
        </is>
      </c>
      <c r="F240" s="12" t="n">
        <v>2027</v>
      </c>
      <c r="G240" s="12" t="inlineStr">
        <is>
          <t>PIS</t>
        </is>
      </c>
      <c r="H240" s="12" t="n">
        <v>1</v>
      </c>
      <c r="I240" s="12" t="inlineStr">
        <is>
          <t>PIS</t>
        </is>
      </c>
      <c r="J240" s="12" t="inlineStr">
        <is>
          <t>G-I-YYY25</t>
        </is>
      </c>
      <c r="K240" s="12" t="inlineStr">
        <is>
          <t>G-I-YYY25-INS04</t>
        </is>
      </c>
      <c r="L240" s="12" t="inlineStr">
        <is>
          <t>Code Emprise</t>
        </is>
      </c>
      <c r="M240" s="12" t="inlineStr">
        <is>
          <t>G-I-YYY25</t>
        </is>
      </c>
      <c r="N240" s="12" t="b">
        <v>0</v>
      </c>
      <c r="O240" s="12" t="n"/>
      <c r="P240" s="12" t="n">
        <v>240</v>
      </c>
      <c r="Q240" s="12" t="n">
        <v>0</v>
      </c>
      <c r="R240" s="12" t="inlineStr">
        <is>
          <t>DEMO_PDM.xlsx</t>
        </is>
      </c>
      <c r="S240" s="24" t="n">
        <v>46309.625</v>
      </c>
    </row>
    <row r="241">
      <c r="A241" s="12" t="inlineStr">
        <is>
          <t>SHL</t>
        </is>
      </c>
      <c r="B241" s="12" t="inlineStr">
        <is>
          <t>AA1</t>
        </is>
      </c>
      <c r="C241" s="12" t="inlineStr">
        <is>
          <t>G-I-YYY25</t>
        </is>
      </c>
      <c r="D241" s="12" t="inlineStr">
        <is>
          <t>Poste fictif Alpha II</t>
        </is>
      </c>
      <c r="E241" s="12" t="inlineStr">
        <is>
          <t>LIVRAISON</t>
        </is>
      </c>
      <c r="F241" s="12" t="n">
        <v>2028</v>
      </c>
      <c r="G241" s="12" t="inlineStr">
        <is>
          <t>PIS</t>
        </is>
      </c>
      <c r="H241" s="12" t="n">
        <v>1</v>
      </c>
      <c r="I241" s="12" t="inlineStr">
        <is>
          <t>PIS</t>
        </is>
      </c>
      <c r="J241" s="12" t="inlineStr">
        <is>
          <t>G-I-YYY25</t>
        </is>
      </c>
      <c r="K241" s="12" t="inlineStr">
        <is>
          <t>G-I-YYY25-INS04</t>
        </is>
      </c>
      <c r="L241" s="12" t="inlineStr">
        <is>
          <t>Code Emprise</t>
        </is>
      </c>
      <c r="M241" s="12" t="inlineStr">
        <is>
          <t>G-I-YYY25</t>
        </is>
      </c>
      <c r="N241" s="12" t="b">
        <v>0</v>
      </c>
      <c r="O241" s="12" t="n"/>
      <c r="P241" s="12" t="n">
        <v>241</v>
      </c>
      <c r="Q241" s="12" t="n">
        <v>0</v>
      </c>
      <c r="R241" s="12" t="inlineStr">
        <is>
          <t>DEMO_PDM.xlsx</t>
        </is>
      </c>
      <c r="S241" s="24" t="n">
        <v>46309.625</v>
      </c>
    </row>
    <row r="242">
      <c r="A242" s="12" t="inlineStr">
        <is>
          <t>SHL</t>
        </is>
      </c>
      <c r="B242" s="12" t="inlineStr">
        <is>
          <t>AA1</t>
        </is>
      </c>
      <c r="C242" s="12" t="inlineStr">
        <is>
          <t>G-I-YYY25</t>
        </is>
      </c>
      <c r="D242" s="12" t="inlineStr">
        <is>
          <t>Poste fictif Alpha II</t>
        </is>
      </c>
      <c r="E242" s="12" t="inlineStr">
        <is>
          <t>LIVRAISON</t>
        </is>
      </c>
      <c r="F242" s="12" t="n">
        <v>2028</v>
      </c>
      <c r="G242" s="12" t="inlineStr">
        <is>
          <t>EC SIMPLE</t>
        </is>
      </c>
      <c r="H242" s="12" t="n">
        <v>2</v>
      </c>
      <c r="I242" s="12" t="inlineStr">
        <is>
          <t>EC Simple</t>
        </is>
      </c>
      <c r="J242" s="12" t="inlineStr">
        <is>
          <t>G-I-YYY25</t>
        </is>
      </c>
      <c r="K242" s="12" t="inlineStr">
        <is>
          <t>G-I-YYY25-INS04</t>
        </is>
      </c>
      <c r="L242" s="12" t="inlineStr">
        <is>
          <t>Code Emprise</t>
        </is>
      </c>
      <c r="M242" s="12" t="inlineStr">
        <is>
          <t>G-I-YYY25</t>
        </is>
      </c>
      <c r="N242" s="12" t="b">
        <v>0</v>
      </c>
      <c r="O242" s="12" t="n"/>
      <c r="P242" s="12" t="n">
        <v>242</v>
      </c>
      <c r="Q242" s="12" t="n">
        <v>0</v>
      </c>
      <c r="R242" s="12" t="inlineStr">
        <is>
          <t>DEMO_PDM.xlsx</t>
        </is>
      </c>
      <c r="S242" s="24" t="n">
        <v>46309.625</v>
      </c>
    </row>
    <row r="243">
      <c r="A243" s="12" t="inlineStr">
        <is>
          <t>SHL</t>
        </is>
      </c>
      <c r="B243" s="12" t="inlineStr">
        <is>
          <t>AA1</t>
        </is>
      </c>
      <c r="C243" s="12" t="inlineStr">
        <is>
          <t>G-I-YYY25</t>
        </is>
      </c>
      <c r="D243" s="12" t="inlineStr">
        <is>
          <t>Poste fictif Alpha II</t>
        </is>
      </c>
      <c r="E243" s="12" t="inlineStr">
        <is>
          <t>LIVRAISON</t>
        </is>
      </c>
      <c r="F243" s="12" t="n">
        <v>2029</v>
      </c>
      <c r="G243" s="12" t="inlineStr">
        <is>
          <t>PIS</t>
        </is>
      </c>
      <c r="H243" s="12" t="n">
        <v>1</v>
      </c>
      <c r="I243" s="12" t="inlineStr">
        <is>
          <t>PIS</t>
        </is>
      </c>
      <c r="J243" s="12" t="inlineStr">
        <is>
          <t>G-I-YYY25</t>
        </is>
      </c>
      <c r="K243" s="12" t="inlineStr">
        <is>
          <t>G-I-YYY25-INS04</t>
        </is>
      </c>
      <c r="L243" s="12" t="inlineStr">
        <is>
          <t>Code Emprise</t>
        </is>
      </c>
      <c r="M243" s="12" t="inlineStr">
        <is>
          <t>G-I-YYY25</t>
        </is>
      </c>
      <c r="N243" s="12" t="b">
        <v>0</v>
      </c>
      <c r="O243" s="12" t="n"/>
      <c r="P243" s="12" t="n">
        <v>243</v>
      </c>
      <c r="Q243" s="12" t="n">
        <v>0</v>
      </c>
      <c r="R243" s="12" t="inlineStr">
        <is>
          <t>DEMO_PDM.xlsx</t>
        </is>
      </c>
      <c r="S243" s="24" t="n">
        <v>46309.625</v>
      </c>
    </row>
    <row r="244">
      <c r="A244" s="12" t="inlineStr">
        <is>
          <t>SHL</t>
        </is>
      </c>
      <c r="B244" s="12" t="inlineStr">
        <is>
          <t>AA1</t>
        </is>
      </c>
      <c r="C244" s="12" t="inlineStr">
        <is>
          <t>G-I-YYY25</t>
        </is>
      </c>
      <c r="D244" s="12" t="inlineStr">
        <is>
          <t>Poste fictif Alpha II</t>
        </is>
      </c>
      <c r="E244" s="12" t="inlineStr">
        <is>
          <t>LIVRAISON</t>
        </is>
      </c>
      <c r="F244" s="12" t="n">
        <v>2030</v>
      </c>
      <c r="G244" s="12" t="inlineStr">
        <is>
          <t>PIS</t>
        </is>
      </c>
      <c r="H244" s="12" t="n">
        <v>1</v>
      </c>
      <c r="I244" s="12" t="inlineStr">
        <is>
          <t>PIS</t>
        </is>
      </c>
      <c r="J244" s="12" t="inlineStr">
        <is>
          <t>G-I-YYY25</t>
        </is>
      </c>
      <c r="K244" s="12" t="inlineStr">
        <is>
          <t>G-I-YYY25-INS04</t>
        </is>
      </c>
      <c r="L244" s="12" t="inlineStr">
        <is>
          <t>Code Emprise</t>
        </is>
      </c>
      <c r="M244" s="12" t="inlineStr">
        <is>
          <t>G-I-YYY25</t>
        </is>
      </c>
      <c r="N244" s="12" t="b">
        <v>0</v>
      </c>
      <c r="O244" s="12" t="n"/>
      <c r="P244" s="12" t="n">
        <v>244</v>
      </c>
      <c r="Q244" s="12" t="n">
        <v>0</v>
      </c>
      <c r="R244" s="12" t="inlineStr">
        <is>
          <t>DEMO_PDM.xlsx</t>
        </is>
      </c>
      <c r="S244" s="24" t="n">
        <v>46309.625</v>
      </c>
    </row>
    <row r="245">
      <c r="A245" s="12" t="inlineStr">
        <is>
          <t>SHL</t>
        </is>
      </c>
      <c r="B245" s="12" t="inlineStr">
        <is>
          <t>AA1</t>
        </is>
      </c>
      <c r="C245" s="12" t="inlineStr">
        <is>
          <t>G-I-YYY25</t>
        </is>
      </c>
      <c r="D245" s="12" t="inlineStr">
        <is>
          <t>Poste fictif Alpha II</t>
        </is>
      </c>
      <c r="E245" s="12" t="inlineStr">
        <is>
          <t>LIVRAISON</t>
        </is>
      </c>
      <c r="F245" s="12" t="n">
        <v>2030</v>
      </c>
      <c r="G245" s="12" t="inlineStr">
        <is>
          <t>EC SIMPLE</t>
        </is>
      </c>
      <c r="H245" s="12" t="n">
        <v>2</v>
      </c>
      <c r="I245" s="12" t="inlineStr">
        <is>
          <t>EC Simple</t>
        </is>
      </c>
      <c r="J245" s="12" t="inlineStr">
        <is>
          <t>G-I-YYY25</t>
        </is>
      </c>
      <c r="K245" s="12" t="inlineStr">
        <is>
          <t>G-I-YYY25-INS04</t>
        </is>
      </c>
      <c r="L245" s="12" t="inlineStr">
        <is>
          <t>Code Emprise</t>
        </is>
      </c>
      <c r="M245" s="12" t="inlineStr">
        <is>
          <t>G-I-YYY25</t>
        </is>
      </c>
      <c r="N245" s="12" t="b">
        <v>0</v>
      </c>
      <c r="O245" s="12" t="n"/>
      <c r="P245" s="12" t="n">
        <v>245</v>
      </c>
      <c r="Q245" s="12" t="n">
        <v>0</v>
      </c>
      <c r="R245" s="12" t="inlineStr">
        <is>
          <t>DEMO_PDM.xlsx</t>
        </is>
      </c>
      <c r="S245" s="24" t="n">
        <v>46309.625</v>
      </c>
    </row>
    <row r="246">
      <c r="A246" s="12" t="inlineStr">
        <is>
          <t>SHL</t>
        </is>
      </c>
      <c r="B246" s="12" t="inlineStr">
        <is>
          <t>AA1</t>
        </is>
      </c>
      <c r="C246" s="12" t="inlineStr">
        <is>
          <t>G-I-YYY25</t>
        </is>
      </c>
      <c r="D246" s="12" t="inlineStr">
        <is>
          <t>Poste fictif Alpha II</t>
        </is>
      </c>
      <c r="E246" s="12" t="inlineStr">
        <is>
          <t>LIVRAISON</t>
        </is>
      </c>
      <c r="F246" s="12" t="n">
        <v>2031</v>
      </c>
      <c r="G246" s="12" t="inlineStr">
        <is>
          <t>REVISION</t>
        </is>
      </c>
      <c r="H246" s="12" t="n">
        <v>4</v>
      </c>
      <c r="I246" s="12" t="inlineStr">
        <is>
          <t>Révision</t>
        </is>
      </c>
      <c r="J246" s="12" t="inlineStr">
        <is>
          <t>G-I-YYY25</t>
        </is>
      </c>
      <c r="K246" s="12" t="inlineStr">
        <is>
          <t>G-I-YYY25-INS04</t>
        </is>
      </c>
      <c r="L246" s="12" t="inlineStr">
        <is>
          <t>Code Emprise</t>
        </is>
      </c>
      <c r="M246" s="12" t="inlineStr">
        <is>
          <t>G-I-YYY25</t>
        </is>
      </c>
      <c r="N246" s="12" t="b">
        <v>0</v>
      </c>
      <c r="O246" s="12" t="n"/>
      <c r="P246" s="12" t="n">
        <v>246</v>
      </c>
      <c r="Q246" s="12" t="n">
        <v>0</v>
      </c>
      <c r="R246" s="12" t="inlineStr">
        <is>
          <t>DEMO_PDM.xlsx</t>
        </is>
      </c>
      <c r="S246" s="24" t="n">
        <v>46309.625</v>
      </c>
    </row>
    <row r="247">
      <c r="A247" s="12" t="inlineStr">
        <is>
          <t>SHL</t>
        </is>
      </c>
      <c r="B247" s="12" t="inlineStr">
        <is>
          <t>AA1</t>
        </is>
      </c>
      <c r="C247" s="12" t="inlineStr">
        <is>
          <t>G-I-YYY25</t>
        </is>
      </c>
      <c r="D247" s="12" t="inlineStr">
        <is>
          <t>Poste fictif Alpha II</t>
        </is>
      </c>
      <c r="E247" s="12" t="inlineStr">
        <is>
          <t>LIVRAISON</t>
        </is>
      </c>
      <c r="F247" s="12" t="n">
        <v>2032</v>
      </c>
      <c r="G247" s="12" t="inlineStr">
        <is>
          <t>PIS</t>
        </is>
      </c>
      <c r="H247" s="12" t="n">
        <v>1</v>
      </c>
      <c r="I247" s="12" t="inlineStr">
        <is>
          <t>PIS</t>
        </is>
      </c>
      <c r="J247" s="12" t="inlineStr">
        <is>
          <t>G-I-YYY25</t>
        </is>
      </c>
      <c r="K247" s="12" t="inlineStr">
        <is>
          <t>G-I-YYY25-INS04</t>
        </is>
      </c>
      <c r="L247" s="12" t="inlineStr">
        <is>
          <t>Code Emprise</t>
        </is>
      </c>
      <c r="M247" s="12" t="inlineStr">
        <is>
          <t>G-I-YYY25</t>
        </is>
      </c>
      <c r="N247" s="12" t="b">
        <v>0</v>
      </c>
      <c r="O247" s="12" t="n"/>
      <c r="P247" s="12" t="n">
        <v>247</v>
      </c>
      <c r="Q247" s="12" t="n">
        <v>0</v>
      </c>
      <c r="R247" s="12" t="inlineStr">
        <is>
          <t>DEMO_PDM.xlsx</t>
        </is>
      </c>
      <c r="S247" s="24" t="n">
        <v>46309.625</v>
      </c>
    </row>
    <row r="248">
      <c r="A248" s="12" t="inlineStr">
        <is>
          <t>SHL</t>
        </is>
      </c>
      <c r="B248" s="12" t="inlineStr">
        <is>
          <t>AA1</t>
        </is>
      </c>
      <c r="C248" s="12" t="inlineStr">
        <is>
          <t>G-I-YYY25</t>
        </is>
      </c>
      <c r="D248" s="12" t="inlineStr">
        <is>
          <t>Poste fictif Alpha II</t>
        </is>
      </c>
      <c r="E248" s="12" t="inlineStr">
        <is>
          <t>LIVRAISON</t>
        </is>
      </c>
      <c r="F248" s="12" t="n">
        <v>2032</v>
      </c>
      <c r="G248" s="12" t="inlineStr">
        <is>
          <t>EC SIMPLE</t>
        </is>
      </c>
      <c r="H248" s="12" t="n">
        <v>2</v>
      </c>
      <c r="I248" s="12" t="inlineStr">
        <is>
          <t>EC Simple</t>
        </is>
      </c>
      <c r="J248" s="12" t="inlineStr">
        <is>
          <t>G-I-YYY25</t>
        </is>
      </c>
      <c r="K248" s="12" t="inlineStr">
        <is>
          <t>G-I-YYY25-INS04</t>
        </is>
      </c>
      <c r="L248" s="12" t="inlineStr">
        <is>
          <t>Code Emprise</t>
        </is>
      </c>
      <c r="M248" s="12" t="inlineStr">
        <is>
          <t>G-I-YYY25</t>
        </is>
      </c>
      <c r="N248" s="12" t="b">
        <v>0</v>
      </c>
      <c r="O248" s="12" t="n"/>
      <c r="P248" s="12" t="n">
        <v>248</v>
      </c>
      <c r="Q248" s="12" t="n">
        <v>0</v>
      </c>
      <c r="R248" s="12" t="inlineStr">
        <is>
          <t>DEMO_PDM.xlsx</t>
        </is>
      </c>
      <c r="S248" s="24" t="n">
        <v>46309.625</v>
      </c>
    </row>
    <row r="249">
      <c r="A249" s="12" t="inlineStr">
        <is>
          <t>SHL</t>
        </is>
      </c>
      <c r="B249" s="12" t="inlineStr">
        <is>
          <t>AA3</t>
        </is>
      </c>
      <c r="C249" s="12" t="inlineStr">
        <is>
          <t>G-I-ZZZ26</t>
        </is>
      </c>
      <c r="D249" s="12" t="inlineStr">
        <is>
          <t>Poste fictif Beta II</t>
        </is>
      </c>
      <c r="E249" s="12" t="inlineStr">
        <is>
          <t>COMPTAGE</t>
        </is>
      </c>
      <c r="F249" s="12" t="n">
        <v>2026</v>
      </c>
      <c r="G249" s="12" t="inlineStr">
        <is>
          <t>PIS</t>
        </is>
      </c>
      <c r="H249" s="12" t="n">
        <v>1</v>
      </c>
      <c r="I249" s="12" t="inlineStr">
        <is>
          <t>PIS</t>
        </is>
      </c>
      <c r="J249" s="12" t="inlineStr">
        <is>
          <t>G-I-ZZZ26</t>
        </is>
      </c>
      <c r="K249" s="12" t="inlineStr">
        <is>
          <t>G-I-ZZZ26-INS05</t>
        </is>
      </c>
      <c r="L249" s="12" t="inlineStr">
        <is>
          <t>Code Emprise</t>
        </is>
      </c>
      <c r="M249" s="12" t="inlineStr">
        <is>
          <t>G-I-ZZZ26</t>
        </is>
      </c>
      <c r="N249" s="12" t="b">
        <v>0</v>
      </c>
      <c r="O249" s="12" t="n"/>
      <c r="P249" s="12" t="n">
        <v>249</v>
      </c>
      <c r="Q249" s="12" t="n">
        <v>0</v>
      </c>
      <c r="R249" s="12" t="inlineStr">
        <is>
          <t>DEMO_PDM.xlsx</t>
        </is>
      </c>
      <c r="S249" s="24" t="n">
        <v>46309.625</v>
      </c>
    </row>
    <row r="250">
      <c r="A250" s="12" t="inlineStr">
        <is>
          <t>SHL</t>
        </is>
      </c>
      <c r="B250" s="12" t="inlineStr">
        <is>
          <t>AA3</t>
        </is>
      </c>
      <c r="C250" s="12" t="inlineStr">
        <is>
          <t>G-I-ZZZ26</t>
        </is>
      </c>
      <c r="D250" s="12" t="inlineStr">
        <is>
          <t>Poste fictif Beta II</t>
        </is>
      </c>
      <c r="E250" s="12" t="inlineStr">
        <is>
          <t>COMPTAGE</t>
        </is>
      </c>
      <c r="F250" s="12" t="n">
        <v>2026</v>
      </c>
      <c r="G250" s="12" t="inlineStr">
        <is>
          <t>EC SIMPLE</t>
        </is>
      </c>
      <c r="H250" s="12" t="n">
        <v>2</v>
      </c>
      <c r="I250" s="12" t="inlineStr">
        <is>
          <t>EC Simple</t>
        </is>
      </c>
      <c r="J250" s="12" t="inlineStr">
        <is>
          <t>G-I-ZZZ26</t>
        </is>
      </c>
      <c r="K250" s="12" t="inlineStr">
        <is>
          <t>G-I-ZZZ26-INS05</t>
        </is>
      </c>
      <c r="L250" s="12" t="inlineStr">
        <is>
          <t>Code Emprise</t>
        </is>
      </c>
      <c r="M250" s="12" t="inlineStr">
        <is>
          <t>G-I-ZZZ26</t>
        </is>
      </c>
      <c r="N250" s="12" t="b">
        <v>0</v>
      </c>
      <c r="O250" s="12" t="n"/>
      <c r="P250" s="12" t="n">
        <v>250</v>
      </c>
      <c r="Q250" s="12" t="n">
        <v>0</v>
      </c>
      <c r="R250" s="12" t="inlineStr">
        <is>
          <t>DEMO_PDM.xlsx</t>
        </is>
      </c>
      <c r="S250" s="24" t="n">
        <v>46309.625</v>
      </c>
    </row>
    <row r="251">
      <c r="A251" s="12" t="inlineStr">
        <is>
          <t>SHL</t>
        </is>
      </c>
      <c r="B251" s="12" t="inlineStr">
        <is>
          <t>AA3</t>
        </is>
      </c>
      <c r="C251" s="12" t="inlineStr">
        <is>
          <t>G-I-ZZZ26</t>
        </is>
      </c>
      <c r="D251" s="12" t="inlineStr">
        <is>
          <t>Poste fictif Beta II</t>
        </is>
      </c>
      <c r="E251" s="12" t="inlineStr">
        <is>
          <t>COMPTAGE</t>
        </is>
      </c>
      <c r="F251" s="12" t="n">
        <v>2026</v>
      </c>
      <c r="G251" s="12" t="inlineStr">
        <is>
          <t>REVISION</t>
        </is>
      </c>
      <c r="H251" s="12" t="n">
        <v>4</v>
      </c>
      <c r="I251" s="12" t="inlineStr">
        <is>
          <t>Révision</t>
        </is>
      </c>
      <c r="J251" s="12" t="inlineStr">
        <is>
          <t>G-I-ZZZ26</t>
        </is>
      </c>
      <c r="K251" s="12" t="inlineStr">
        <is>
          <t>G-I-ZZZ26-INS05</t>
        </is>
      </c>
      <c r="L251" s="12" t="inlineStr">
        <is>
          <t>Code Emprise</t>
        </is>
      </c>
      <c r="M251" s="12" t="inlineStr">
        <is>
          <t>G-I-ZZZ26</t>
        </is>
      </c>
      <c r="N251" s="12" t="b">
        <v>0</v>
      </c>
      <c r="O251" s="12" t="n"/>
      <c r="P251" s="12" t="n">
        <v>251</v>
      </c>
      <c r="Q251" s="12" t="n">
        <v>0</v>
      </c>
      <c r="R251" s="12" t="inlineStr">
        <is>
          <t>DEMO_PDM.xlsx</t>
        </is>
      </c>
      <c r="S251" s="24" t="n">
        <v>46309.625</v>
      </c>
    </row>
    <row r="252">
      <c r="A252" s="12" t="inlineStr">
        <is>
          <t>SHL</t>
        </is>
      </c>
      <c r="B252" s="12" t="inlineStr">
        <is>
          <t>AA3</t>
        </is>
      </c>
      <c r="C252" s="12" t="inlineStr">
        <is>
          <t>G-I-ZZZ26</t>
        </is>
      </c>
      <c r="D252" s="12" t="inlineStr">
        <is>
          <t>Poste fictif Beta II</t>
        </is>
      </c>
      <c r="E252" s="12" t="inlineStr">
        <is>
          <t>COMPTAGE</t>
        </is>
      </c>
      <c r="F252" s="12" t="n">
        <v>2028</v>
      </c>
      <c r="G252" s="12" t="inlineStr">
        <is>
          <t>PIS</t>
        </is>
      </c>
      <c r="H252" s="12" t="n">
        <v>1</v>
      </c>
      <c r="I252" s="12" t="inlineStr">
        <is>
          <t>PIS</t>
        </is>
      </c>
      <c r="J252" s="12" t="inlineStr">
        <is>
          <t>G-I-ZZZ26</t>
        </is>
      </c>
      <c r="K252" s="12" t="inlineStr">
        <is>
          <t>G-I-ZZZ26-INS05</t>
        </is>
      </c>
      <c r="L252" s="12" t="inlineStr">
        <is>
          <t>Code Emprise</t>
        </is>
      </c>
      <c r="M252" s="12" t="inlineStr">
        <is>
          <t>G-I-ZZZ26</t>
        </is>
      </c>
      <c r="N252" s="12" t="b">
        <v>0</v>
      </c>
      <c r="O252" s="12" t="n"/>
      <c r="P252" s="12" t="n">
        <v>252</v>
      </c>
      <c r="Q252" s="12" t="n">
        <v>0</v>
      </c>
      <c r="R252" s="12" t="inlineStr">
        <is>
          <t>DEMO_PDM.xlsx</t>
        </is>
      </c>
      <c r="S252" s="24" t="n">
        <v>46309.625</v>
      </c>
    </row>
    <row r="253">
      <c r="A253" s="12" t="inlineStr">
        <is>
          <t>SHL</t>
        </is>
      </c>
      <c r="B253" s="12" t="inlineStr">
        <is>
          <t>AA3</t>
        </is>
      </c>
      <c r="C253" s="12" t="inlineStr">
        <is>
          <t>G-I-ZZZ26</t>
        </is>
      </c>
      <c r="D253" s="12" t="inlineStr">
        <is>
          <t>Poste fictif Beta II</t>
        </is>
      </c>
      <c r="E253" s="12" t="inlineStr">
        <is>
          <t>COMPTAGE</t>
        </is>
      </c>
      <c r="F253" s="12" t="n">
        <v>2028</v>
      </c>
      <c r="G253" s="12" t="inlineStr">
        <is>
          <t>EC SIMPLE</t>
        </is>
      </c>
      <c r="H253" s="12" t="n">
        <v>2</v>
      </c>
      <c r="I253" s="12" t="inlineStr">
        <is>
          <t>EC Simple</t>
        </is>
      </c>
      <c r="J253" s="12" t="inlineStr">
        <is>
          <t>G-I-ZZZ26</t>
        </is>
      </c>
      <c r="K253" s="12" t="inlineStr">
        <is>
          <t>G-I-ZZZ26-INS05</t>
        </is>
      </c>
      <c r="L253" s="12" t="inlineStr">
        <is>
          <t>Code Emprise</t>
        </is>
      </c>
      <c r="M253" s="12" t="inlineStr">
        <is>
          <t>G-I-ZZZ26</t>
        </is>
      </c>
      <c r="N253" s="12" t="b">
        <v>0</v>
      </c>
      <c r="O253" s="12" t="n"/>
      <c r="P253" s="12" t="n">
        <v>253</v>
      </c>
      <c r="Q253" s="12" t="n">
        <v>0</v>
      </c>
      <c r="R253" s="12" t="inlineStr">
        <is>
          <t>DEMO_PDM.xlsx</t>
        </is>
      </c>
      <c r="S253" s="24" t="n">
        <v>46309.625</v>
      </c>
    </row>
    <row r="254">
      <c r="A254" s="12" t="inlineStr">
        <is>
          <t>SHL</t>
        </is>
      </c>
      <c r="B254" s="12" t="inlineStr">
        <is>
          <t>AA3</t>
        </is>
      </c>
      <c r="C254" s="12" t="inlineStr">
        <is>
          <t>G-I-ZZZ26</t>
        </is>
      </c>
      <c r="D254" s="12" t="inlineStr">
        <is>
          <t>Poste fictif Beta II</t>
        </is>
      </c>
      <c r="E254" s="12" t="inlineStr">
        <is>
          <t>COMPTAGE</t>
        </is>
      </c>
      <c r="F254" s="12" t="n">
        <v>2030</v>
      </c>
      <c r="G254" s="12" t="inlineStr">
        <is>
          <t>PIS</t>
        </is>
      </c>
      <c r="H254" s="12" t="n">
        <v>1</v>
      </c>
      <c r="I254" s="12" t="inlineStr">
        <is>
          <t>PIS</t>
        </is>
      </c>
      <c r="J254" s="12" t="inlineStr">
        <is>
          <t>G-I-ZZZ26</t>
        </is>
      </c>
      <c r="K254" s="12" t="inlineStr">
        <is>
          <t>G-I-ZZZ26-INS05</t>
        </is>
      </c>
      <c r="L254" s="12" t="inlineStr">
        <is>
          <t>Code Emprise</t>
        </is>
      </c>
      <c r="M254" s="12" t="inlineStr">
        <is>
          <t>G-I-ZZZ26</t>
        </is>
      </c>
      <c r="N254" s="12" t="b">
        <v>0</v>
      </c>
      <c r="O254" s="12" t="n"/>
      <c r="P254" s="12" t="n">
        <v>254</v>
      </c>
      <c r="Q254" s="12" t="n">
        <v>0</v>
      </c>
      <c r="R254" s="12" t="inlineStr">
        <is>
          <t>DEMO_PDM.xlsx</t>
        </is>
      </c>
      <c r="S254" s="24" t="n">
        <v>46309.625</v>
      </c>
    </row>
    <row r="255">
      <c r="A255" s="12" t="inlineStr">
        <is>
          <t>SHL</t>
        </is>
      </c>
      <c r="B255" s="12" t="inlineStr">
        <is>
          <t>AA3</t>
        </is>
      </c>
      <c r="C255" s="12" t="inlineStr">
        <is>
          <t>G-I-ZZZ26</t>
        </is>
      </c>
      <c r="D255" s="12" t="inlineStr">
        <is>
          <t>Poste fictif Beta II</t>
        </is>
      </c>
      <c r="E255" s="12" t="inlineStr">
        <is>
          <t>COMPTAGE</t>
        </is>
      </c>
      <c r="F255" s="12" t="n">
        <v>2030</v>
      </c>
      <c r="G255" s="12" t="inlineStr">
        <is>
          <t>EC SIMPLE</t>
        </is>
      </c>
      <c r="H255" s="12" t="n">
        <v>2</v>
      </c>
      <c r="I255" s="12" t="inlineStr">
        <is>
          <t>EC Simple</t>
        </is>
      </c>
      <c r="J255" s="12" t="inlineStr">
        <is>
          <t>G-I-ZZZ26</t>
        </is>
      </c>
      <c r="K255" s="12" t="inlineStr">
        <is>
          <t>G-I-ZZZ26-INS05</t>
        </is>
      </c>
      <c r="L255" s="12" t="inlineStr">
        <is>
          <t>Code Emprise</t>
        </is>
      </c>
      <c r="M255" s="12" t="inlineStr">
        <is>
          <t>G-I-ZZZ26</t>
        </is>
      </c>
      <c r="N255" s="12" t="b">
        <v>0</v>
      </c>
      <c r="O255" s="12" t="n"/>
      <c r="P255" s="12" t="n">
        <v>255</v>
      </c>
      <c r="Q255" s="12" t="n">
        <v>0</v>
      </c>
      <c r="R255" s="12" t="inlineStr">
        <is>
          <t>DEMO_PDM.xlsx</t>
        </is>
      </c>
      <c r="S255" s="24" t="n">
        <v>46309.625</v>
      </c>
    </row>
    <row r="256">
      <c r="A256" s="12" t="inlineStr">
        <is>
          <t>SHL</t>
        </is>
      </c>
      <c r="B256" s="12" t="inlineStr">
        <is>
          <t>AA3</t>
        </is>
      </c>
      <c r="C256" s="12" t="inlineStr">
        <is>
          <t>G-I-ZZZ26</t>
        </is>
      </c>
      <c r="D256" s="12" t="inlineStr">
        <is>
          <t>Poste fictif Beta II</t>
        </is>
      </c>
      <c r="E256" s="12" t="inlineStr">
        <is>
          <t>COMPTAGE</t>
        </is>
      </c>
      <c r="F256" s="12" t="n">
        <v>2032</v>
      </c>
      <c r="G256" s="12" t="inlineStr">
        <is>
          <t>PIS</t>
        </is>
      </c>
      <c r="H256" s="12" t="n">
        <v>1</v>
      </c>
      <c r="I256" s="12" t="inlineStr">
        <is>
          <t>PIS</t>
        </is>
      </c>
      <c r="J256" s="12" t="inlineStr">
        <is>
          <t>G-I-ZZZ26</t>
        </is>
      </c>
      <c r="K256" s="12" t="inlineStr">
        <is>
          <t>G-I-ZZZ26-INS05</t>
        </is>
      </c>
      <c r="L256" s="12" t="inlineStr">
        <is>
          <t>Code Emprise</t>
        </is>
      </c>
      <c r="M256" s="12" t="inlineStr">
        <is>
          <t>G-I-ZZZ26</t>
        </is>
      </c>
      <c r="N256" s="12" t="b">
        <v>0</v>
      </c>
      <c r="O256" s="12" t="n"/>
      <c r="P256" s="12" t="n">
        <v>256</v>
      </c>
      <c r="Q256" s="12" t="n">
        <v>0</v>
      </c>
      <c r="R256" s="12" t="inlineStr">
        <is>
          <t>DEMO_PDM.xlsx</t>
        </is>
      </c>
      <c r="S256" s="24" t="n">
        <v>46309.625</v>
      </c>
    </row>
    <row r="257">
      <c r="A257" s="12" t="inlineStr">
        <is>
          <t>SHL</t>
        </is>
      </c>
      <c r="B257" s="12" t="inlineStr">
        <is>
          <t>AA3</t>
        </is>
      </c>
      <c r="C257" s="12" t="inlineStr">
        <is>
          <t>G-I-ZZZ26</t>
        </is>
      </c>
      <c r="D257" s="12" t="inlineStr">
        <is>
          <t>Poste fictif Beta II</t>
        </is>
      </c>
      <c r="E257" s="12" t="inlineStr">
        <is>
          <t>COMPTAGE</t>
        </is>
      </c>
      <c r="F257" s="12" t="n">
        <v>2032</v>
      </c>
      <c r="G257" s="12" t="inlineStr">
        <is>
          <t>EC SIMPLE</t>
        </is>
      </c>
      <c r="H257" s="12" t="n">
        <v>2</v>
      </c>
      <c r="I257" s="12" t="inlineStr">
        <is>
          <t>EC Simple</t>
        </is>
      </c>
      <c r="J257" s="12" t="inlineStr">
        <is>
          <t>G-I-ZZZ26</t>
        </is>
      </c>
      <c r="K257" s="12" t="inlineStr">
        <is>
          <t>G-I-ZZZ26-INS05</t>
        </is>
      </c>
      <c r="L257" s="12" t="inlineStr">
        <is>
          <t>Code Emprise</t>
        </is>
      </c>
      <c r="M257" s="12" t="inlineStr">
        <is>
          <t>G-I-ZZZ26</t>
        </is>
      </c>
      <c r="N257" s="12" t="b">
        <v>0</v>
      </c>
      <c r="O257" s="12" t="n"/>
      <c r="P257" s="12" t="n">
        <v>257</v>
      </c>
      <c r="Q257" s="12" t="n">
        <v>0</v>
      </c>
      <c r="R257" s="12" t="inlineStr">
        <is>
          <t>DEMO_PDM.xlsx</t>
        </is>
      </c>
      <c r="S257" s="24" t="n">
        <v>46309.625</v>
      </c>
    </row>
    <row r="258">
      <c r="A258" s="12" t="inlineStr">
        <is>
          <t>SHL</t>
        </is>
      </c>
      <c r="B258" s="12" t="inlineStr">
        <is>
          <t>AA3</t>
        </is>
      </c>
      <c r="C258" s="12" t="inlineStr">
        <is>
          <t>G-I-ZZZ26</t>
        </is>
      </c>
      <c r="D258" s="12" t="inlineStr">
        <is>
          <t>Poste fictif Beta II</t>
        </is>
      </c>
      <c r="E258" s="12" t="inlineStr">
        <is>
          <t>COMPTAGE</t>
        </is>
      </c>
      <c r="F258" s="12" t="n">
        <v>2032</v>
      </c>
      <c r="G258" s="12" t="inlineStr">
        <is>
          <t>REVISION</t>
        </is>
      </c>
      <c r="H258" s="12" t="n">
        <v>4</v>
      </c>
      <c r="I258" s="12" t="inlineStr">
        <is>
          <t>Révision</t>
        </is>
      </c>
      <c r="J258" s="12" t="inlineStr">
        <is>
          <t>G-I-ZZZ26</t>
        </is>
      </c>
      <c r="K258" s="12" t="inlineStr">
        <is>
          <t>G-I-ZZZ26-INS05</t>
        </is>
      </c>
      <c r="L258" s="12" t="inlineStr">
        <is>
          <t>Code Emprise</t>
        </is>
      </c>
      <c r="M258" s="12" t="inlineStr">
        <is>
          <t>G-I-ZZZ26</t>
        </is>
      </c>
      <c r="N258" s="12" t="b">
        <v>0</v>
      </c>
      <c r="O258" s="12" t="n"/>
      <c r="P258" s="12" t="n">
        <v>258</v>
      </c>
      <c r="Q258" s="12" t="n">
        <v>0</v>
      </c>
      <c r="R258" s="12" t="inlineStr">
        <is>
          <t>DEMO_PDM.xlsx</t>
        </is>
      </c>
      <c r="S258" s="24" t="n">
        <v>46309.625</v>
      </c>
    </row>
    <row r="259">
      <c r="A259" s="12" t="inlineStr">
        <is>
          <t>SHL</t>
        </is>
      </c>
      <c r="B259" s="12" t="inlineStr">
        <is>
          <t>AA4</t>
        </is>
      </c>
      <c r="C259" s="12" t="inlineStr">
        <is>
          <t>G-I-AAB27</t>
        </is>
      </c>
      <c r="D259" s="12" t="inlineStr">
        <is>
          <t>Poste fictif Gamma II</t>
        </is>
      </c>
      <c r="E259" s="12" t="inlineStr">
        <is>
          <t>COUPURE</t>
        </is>
      </c>
      <c r="F259" s="12" t="n">
        <v>2026</v>
      </c>
      <c r="G259" s="12" t="inlineStr">
        <is>
          <t>EC SIMPLE</t>
        </is>
      </c>
      <c r="H259" s="12" t="n">
        <v>2</v>
      </c>
      <c r="I259" s="12" t="inlineStr">
        <is>
          <t>EC Simple</t>
        </is>
      </c>
      <c r="J259" s="12" t="inlineStr">
        <is>
          <t>G-I-AAB27</t>
        </is>
      </c>
      <c r="K259" s="12" t="inlineStr">
        <is>
          <t>G-I-AAB27-INS06</t>
        </is>
      </c>
      <c r="L259" s="12" t="inlineStr">
        <is>
          <t>Code Emprise</t>
        </is>
      </c>
      <c r="M259" s="12" t="inlineStr">
        <is>
          <t>G-I-AAB27</t>
        </is>
      </c>
      <c r="N259" s="12" t="b">
        <v>0</v>
      </c>
      <c r="O259" s="12" t="n"/>
      <c r="P259" s="12" t="n">
        <v>259</v>
      </c>
      <c r="Q259" s="12" t="n">
        <v>0</v>
      </c>
      <c r="R259" s="12" t="inlineStr">
        <is>
          <t>DEMO_PDM.xlsx</t>
        </is>
      </c>
      <c r="S259" s="24" t="n">
        <v>46309.625</v>
      </c>
    </row>
    <row r="260">
      <c r="A260" s="12" t="inlineStr">
        <is>
          <t>SHL</t>
        </is>
      </c>
      <c r="B260" s="12" t="inlineStr">
        <is>
          <t>AA4</t>
        </is>
      </c>
      <c r="C260" s="12" t="inlineStr">
        <is>
          <t>G-I-AAB27</t>
        </is>
      </c>
      <c r="D260" s="12" t="inlineStr">
        <is>
          <t>Poste fictif Gamma II</t>
        </is>
      </c>
      <c r="E260" s="12" t="inlineStr">
        <is>
          <t>COUPURE</t>
        </is>
      </c>
      <c r="F260" s="12" t="n">
        <v>2027</v>
      </c>
      <c r="G260" s="12" t="inlineStr">
        <is>
          <t>PIS</t>
        </is>
      </c>
      <c r="H260" s="12" t="n">
        <v>1</v>
      </c>
      <c r="I260" s="12" t="inlineStr">
        <is>
          <t>PIS</t>
        </is>
      </c>
      <c r="J260" s="12" t="inlineStr">
        <is>
          <t>G-I-AAB27</t>
        </is>
      </c>
      <c r="K260" s="12" t="inlineStr">
        <is>
          <t>G-I-AAB27-INS06</t>
        </is>
      </c>
      <c r="L260" s="12" t="inlineStr">
        <is>
          <t>Code Emprise</t>
        </is>
      </c>
      <c r="M260" s="12" t="inlineStr">
        <is>
          <t>G-I-AAB27</t>
        </is>
      </c>
      <c r="N260" s="12" t="b">
        <v>0</v>
      </c>
      <c r="O260" s="12" t="n"/>
      <c r="P260" s="12" t="n">
        <v>260</v>
      </c>
      <c r="Q260" s="12" t="n">
        <v>0</v>
      </c>
      <c r="R260" s="12" t="inlineStr">
        <is>
          <t>DEMO_PDM.xlsx</t>
        </is>
      </c>
      <c r="S260" s="24" t="n">
        <v>46309.625</v>
      </c>
    </row>
    <row r="261">
      <c r="A261" s="12" t="inlineStr">
        <is>
          <t>SHL</t>
        </is>
      </c>
      <c r="B261" s="12" t="inlineStr">
        <is>
          <t>AA4</t>
        </is>
      </c>
      <c r="C261" s="12" t="inlineStr">
        <is>
          <t>G-I-AAB27</t>
        </is>
      </c>
      <c r="D261" s="12" t="inlineStr">
        <is>
          <t>Poste fictif Gamma II</t>
        </is>
      </c>
      <c r="E261" s="12" t="inlineStr">
        <is>
          <t>COUPURE</t>
        </is>
      </c>
      <c r="F261" s="12" t="n">
        <v>2029</v>
      </c>
      <c r="G261" s="12" t="inlineStr">
        <is>
          <t>PIS</t>
        </is>
      </c>
      <c r="H261" s="12" t="n">
        <v>1</v>
      </c>
      <c r="I261" s="12" t="inlineStr">
        <is>
          <t>PIS</t>
        </is>
      </c>
      <c r="J261" s="12" t="inlineStr">
        <is>
          <t>G-I-AAB27</t>
        </is>
      </c>
      <c r="K261" s="12" t="inlineStr">
        <is>
          <t>G-I-AAB27-INS06</t>
        </is>
      </c>
      <c r="L261" s="12" t="inlineStr">
        <is>
          <t>Code Emprise</t>
        </is>
      </c>
      <c r="M261" s="12" t="inlineStr">
        <is>
          <t>G-I-AAB27</t>
        </is>
      </c>
      <c r="N261" s="12" t="b">
        <v>0</v>
      </c>
      <c r="O261" s="12" t="n"/>
      <c r="P261" s="12" t="n">
        <v>261</v>
      </c>
      <c r="Q261" s="12" t="n">
        <v>0</v>
      </c>
      <c r="R261" s="12" t="inlineStr">
        <is>
          <t>DEMO_PDM.xlsx</t>
        </is>
      </c>
      <c r="S261" s="24" t="n">
        <v>46309.625</v>
      </c>
    </row>
    <row r="262">
      <c r="A262" s="12" t="inlineStr">
        <is>
          <t>SHL</t>
        </is>
      </c>
      <c r="B262" s="12" t="inlineStr">
        <is>
          <t>AA4</t>
        </is>
      </c>
      <c r="C262" s="12" t="inlineStr">
        <is>
          <t>G-I-AAB27</t>
        </is>
      </c>
      <c r="D262" s="12" t="inlineStr">
        <is>
          <t>Poste fictif Gamma II</t>
        </is>
      </c>
      <c r="E262" s="12" t="inlineStr">
        <is>
          <t>COUPURE</t>
        </is>
      </c>
      <c r="F262" s="12" t="n">
        <v>2029</v>
      </c>
      <c r="G262" s="12" t="inlineStr">
        <is>
          <t>EC SIMPLE</t>
        </is>
      </c>
      <c r="H262" s="12" t="n">
        <v>2</v>
      </c>
      <c r="I262" s="12" t="inlineStr">
        <is>
          <t>EC Simple</t>
        </is>
      </c>
      <c r="J262" s="12" t="inlineStr">
        <is>
          <t>G-I-AAB27</t>
        </is>
      </c>
      <c r="K262" s="12" t="inlineStr">
        <is>
          <t>G-I-AAB27-INS06</t>
        </is>
      </c>
      <c r="L262" s="12" t="inlineStr">
        <is>
          <t>Code Emprise</t>
        </is>
      </c>
      <c r="M262" s="12" t="inlineStr">
        <is>
          <t>G-I-AAB27</t>
        </is>
      </c>
      <c r="N262" s="12" t="b">
        <v>0</v>
      </c>
      <c r="O262" s="12" t="n"/>
      <c r="P262" s="12" t="n">
        <v>262</v>
      </c>
      <c r="Q262" s="12" t="n">
        <v>0</v>
      </c>
      <c r="R262" s="12" t="inlineStr">
        <is>
          <t>DEMO_PDM.xlsx</t>
        </is>
      </c>
      <c r="S262" s="24" t="n">
        <v>46309.625</v>
      </c>
    </row>
    <row r="263">
      <c r="A263" s="12" t="inlineStr">
        <is>
          <t>SHL</t>
        </is>
      </c>
      <c r="B263" s="12" t="inlineStr">
        <is>
          <t>AA4</t>
        </is>
      </c>
      <c r="C263" s="12" t="inlineStr">
        <is>
          <t>G-I-AAB27</t>
        </is>
      </c>
      <c r="D263" s="12" t="inlineStr">
        <is>
          <t>Poste fictif Gamma II</t>
        </is>
      </c>
      <c r="E263" s="12" t="inlineStr">
        <is>
          <t>COUPURE</t>
        </is>
      </c>
      <c r="F263" s="12" t="n">
        <v>2029</v>
      </c>
      <c r="G263" s="12" t="inlineStr">
        <is>
          <t>REVISION</t>
        </is>
      </c>
      <c r="H263" s="12" t="n">
        <v>4</v>
      </c>
      <c r="I263" s="12" t="inlineStr">
        <is>
          <t>Révision</t>
        </is>
      </c>
      <c r="J263" s="12" t="inlineStr">
        <is>
          <t>G-I-AAB27</t>
        </is>
      </c>
      <c r="K263" s="12" t="inlineStr">
        <is>
          <t>G-I-AAB27-INS06</t>
        </is>
      </c>
      <c r="L263" s="12" t="inlineStr">
        <is>
          <t>Code Emprise</t>
        </is>
      </c>
      <c r="M263" s="12" t="inlineStr">
        <is>
          <t>G-I-AAB27</t>
        </is>
      </c>
      <c r="N263" s="12" t="b">
        <v>0</v>
      </c>
      <c r="O263" s="12" t="n"/>
      <c r="P263" s="12" t="n">
        <v>263</v>
      </c>
      <c r="Q263" s="12" t="n">
        <v>0</v>
      </c>
      <c r="R263" s="12" t="inlineStr">
        <is>
          <t>DEMO_PDM.xlsx</t>
        </is>
      </c>
      <c r="S263" s="24" t="n">
        <v>46309.625</v>
      </c>
    </row>
    <row r="264">
      <c r="A264" s="12" t="inlineStr">
        <is>
          <t>SHL</t>
        </is>
      </c>
      <c r="B264" s="12" t="inlineStr">
        <is>
          <t>AA4</t>
        </is>
      </c>
      <c r="C264" s="12" t="inlineStr">
        <is>
          <t>G-I-AAB27</t>
        </is>
      </c>
      <c r="D264" s="12" t="inlineStr">
        <is>
          <t>Poste fictif Gamma II</t>
        </is>
      </c>
      <c r="E264" s="12" t="inlineStr">
        <is>
          <t>COUPURE</t>
        </is>
      </c>
      <c r="F264" s="12" t="n">
        <v>2031</v>
      </c>
      <c r="G264" s="12" t="inlineStr">
        <is>
          <t>PIS</t>
        </is>
      </c>
      <c r="H264" s="12" t="n">
        <v>1</v>
      </c>
      <c r="I264" s="12" t="inlineStr">
        <is>
          <t>PIS</t>
        </is>
      </c>
      <c r="J264" s="12" t="inlineStr">
        <is>
          <t>G-I-AAB27</t>
        </is>
      </c>
      <c r="K264" s="12" t="inlineStr">
        <is>
          <t>G-I-AAB27-INS06</t>
        </is>
      </c>
      <c r="L264" s="12" t="inlineStr">
        <is>
          <t>Code Emprise</t>
        </is>
      </c>
      <c r="M264" s="12" t="inlineStr">
        <is>
          <t>G-I-AAB27</t>
        </is>
      </c>
      <c r="N264" s="12" t="b">
        <v>0</v>
      </c>
      <c r="O264" s="12" t="n"/>
      <c r="P264" s="12" t="n">
        <v>264</v>
      </c>
      <c r="Q264" s="12" t="n">
        <v>0</v>
      </c>
      <c r="R264" s="12" t="inlineStr">
        <is>
          <t>DEMO_PDM.xlsx</t>
        </is>
      </c>
      <c r="S264" s="24" t="n">
        <v>46309.625</v>
      </c>
    </row>
    <row r="265">
      <c r="A265" s="12" t="inlineStr">
        <is>
          <t>SHL</t>
        </is>
      </c>
      <c r="B265" s="12" t="inlineStr">
        <is>
          <t>AA4</t>
        </is>
      </c>
      <c r="C265" s="12" t="inlineStr">
        <is>
          <t>G-I-AAB27</t>
        </is>
      </c>
      <c r="D265" s="12" t="inlineStr">
        <is>
          <t>Poste fictif Gamma II</t>
        </is>
      </c>
      <c r="E265" s="12" t="inlineStr">
        <is>
          <t>COUPURE</t>
        </is>
      </c>
      <c r="F265" s="12" t="n">
        <v>2032</v>
      </c>
      <c r="G265" s="12" t="inlineStr">
        <is>
          <t>EC SIMPLE</t>
        </is>
      </c>
      <c r="H265" s="12" t="n">
        <v>2</v>
      </c>
      <c r="I265" s="12" t="inlineStr">
        <is>
          <t>EC Simple</t>
        </is>
      </c>
      <c r="J265" s="12" t="inlineStr">
        <is>
          <t>G-I-AAB27</t>
        </is>
      </c>
      <c r="K265" s="12" t="inlineStr">
        <is>
          <t>G-I-AAB27-INS06</t>
        </is>
      </c>
      <c r="L265" s="12" t="inlineStr">
        <is>
          <t>Code Emprise</t>
        </is>
      </c>
      <c r="M265" s="12" t="inlineStr">
        <is>
          <t>G-I-AAB27</t>
        </is>
      </c>
      <c r="N265" s="12" t="b">
        <v>0</v>
      </c>
      <c r="O265" s="12" t="n"/>
      <c r="P265" s="12" t="n">
        <v>265</v>
      </c>
      <c r="Q265" s="12" t="n">
        <v>0</v>
      </c>
      <c r="R265" s="12" t="inlineStr">
        <is>
          <t>DEMO_PDM.xlsx</t>
        </is>
      </c>
      <c r="S265" s="24" t="n">
        <v>46309.625</v>
      </c>
    </row>
    <row r="266">
      <c r="A266" s="12" t="inlineStr">
        <is>
          <t>SVI</t>
        </is>
      </c>
      <c r="B266" s="12" t="inlineStr">
        <is>
          <t>AA1</t>
        </is>
      </c>
      <c r="C266" s="12" t="inlineStr">
        <is>
          <t>G-I-BBC28</t>
        </is>
      </c>
      <c r="D266" s="12" t="inlineStr">
        <is>
          <t>Poste fictif Delta II</t>
        </is>
      </c>
      <c r="E266" s="12" t="inlineStr">
        <is>
          <t>COMPTAGE</t>
        </is>
      </c>
      <c r="F266" s="12" t="n">
        <v>2026</v>
      </c>
      <c r="G266" s="12" t="inlineStr">
        <is>
          <t>PIS</t>
        </is>
      </c>
      <c r="H266" s="12" t="n">
        <v>1</v>
      </c>
      <c r="I266" s="12" t="inlineStr">
        <is>
          <t>PIS</t>
        </is>
      </c>
      <c r="J266" s="12" t="inlineStr">
        <is>
          <t>G-I-BBC28</t>
        </is>
      </c>
      <c r="K266" s="12" t="inlineStr">
        <is>
          <t>G-I-BBC28-INS07</t>
        </is>
      </c>
      <c r="L266" s="12" t="inlineStr">
        <is>
          <t>Code Emprise</t>
        </is>
      </c>
      <c r="M266" s="12" t="inlineStr">
        <is>
          <t>G-I-BBC28</t>
        </is>
      </c>
      <c r="N266" s="12" t="b">
        <v>0</v>
      </c>
      <c r="O266" s="12" t="n"/>
      <c r="P266" s="12" t="n">
        <v>266</v>
      </c>
      <c r="Q266" s="12" t="n">
        <v>0</v>
      </c>
      <c r="R266" s="12" t="inlineStr">
        <is>
          <t>DEMO_PDM.xlsx</t>
        </is>
      </c>
      <c r="S266" s="24" t="n">
        <v>46309.625</v>
      </c>
    </row>
    <row r="267">
      <c r="A267" s="12" t="inlineStr">
        <is>
          <t>SVI</t>
        </is>
      </c>
      <c r="B267" s="12" t="inlineStr">
        <is>
          <t>AA1</t>
        </is>
      </c>
      <c r="C267" s="12" t="inlineStr">
        <is>
          <t>G-I-BBC28</t>
        </is>
      </c>
      <c r="D267" s="12" t="inlineStr">
        <is>
          <t>Poste fictif Delta II</t>
        </is>
      </c>
      <c r="E267" s="12" t="inlineStr">
        <is>
          <t>COMPTAGE</t>
        </is>
      </c>
      <c r="F267" s="12" t="n">
        <v>2027</v>
      </c>
      <c r="G267" s="12" t="inlineStr">
        <is>
          <t>PIS</t>
        </is>
      </c>
      <c r="H267" s="12" t="n">
        <v>1</v>
      </c>
      <c r="I267" s="12" t="inlineStr">
        <is>
          <t>PIS</t>
        </is>
      </c>
      <c r="J267" s="12" t="inlineStr">
        <is>
          <t>G-I-BBC28</t>
        </is>
      </c>
      <c r="K267" s="12" t="inlineStr">
        <is>
          <t>G-I-BBC28-INS07</t>
        </is>
      </c>
      <c r="L267" s="12" t="inlineStr">
        <is>
          <t>Code Emprise</t>
        </is>
      </c>
      <c r="M267" s="12" t="inlineStr">
        <is>
          <t>G-I-BBC28</t>
        </is>
      </c>
      <c r="N267" s="12" t="b">
        <v>0</v>
      </c>
      <c r="O267" s="12" t="n"/>
      <c r="P267" s="12" t="n">
        <v>267</v>
      </c>
      <c r="Q267" s="12" t="n">
        <v>0</v>
      </c>
      <c r="R267" s="12" t="inlineStr">
        <is>
          <t>DEMO_PDM.xlsx</t>
        </is>
      </c>
      <c r="S267" s="24" t="n">
        <v>46309.625</v>
      </c>
    </row>
    <row r="268">
      <c r="A268" s="12" t="inlineStr">
        <is>
          <t>SVI</t>
        </is>
      </c>
      <c r="B268" s="12" t="inlineStr">
        <is>
          <t>AA1</t>
        </is>
      </c>
      <c r="C268" s="12" t="inlineStr">
        <is>
          <t>G-I-BBC28</t>
        </is>
      </c>
      <c r="D268" s="12" t="inlineStr">
        <is>
          <t>Poste fictif Delta II</t>
        </is>
      </c>
      <c r="E268" s="12" t="inlineStr">
        <is>
          <t>COMPTAGE</t>
        </is>
      </c>
      <c r="F268" s="12" t="n">
        <v>2027</v>
      </c>
      <c r="G268" s="12" t="inlineStr">
        <is>
          <t>EC FILTRE</t>
        </is>
      </c>
      <c r="H268" s="12" t="n">
        <v>3</v>
      </c>
      <c r="I268" s="12" t="inlineStr">
        <is>
          <t>EC Filtre</t>
        </is>
      </c>
      <c r="J268" s="12" t="inlineStr">
        <is>
          <t>G-I-BBC28</t>
        </is>
      </c>
      <c r="K268" s="12" t="inlineStr">
        <is>
          <t>G-I-BBC28-INS07</t>
        </is>
      </c>
      <c r="L268" s="12" t="inlineStr">
        <is>
          <t>Code Emprise</t>
        </is>
      </c>
      <c r="M268" s="12" t="inlineStr">
        <is>
          <t>G-I-BBC28</t>
        </is>
      </c>
      <c r="N268" s="12" t="b">
        <v>0</v>
      </c>
      <c r="O268" s="12" t="n"/>
      <c r="P268" s="12" t="n">
        <v>268</v>
      </c>
      <c r="Q268" s="12" t="n">
        <v>0</v>
      </c>
      <c r="R268" s="12" t="inlineStr">
        <is>
          <t>DEMO_PDM.xlsx</t>
        </is>
      </c>
      <c r="S268" s="24" t="n">
        <v>46309.625</v>
      </c>
    </row>
    <row r="269">
      <c r="A269" s="12" t="inlineStr">
        <is>
          <t>SVI</t>
        </is>
      </c>
      <c r="B269" s="12" t="inlineStr">
        <is>
          <t>AA1</t>
        </is>
      </c>
      <c r="C269" s="12" t="inlineStr">
        <is>
          <t>G-I-BBC28</t>
        </is>
      </c>
      <c r="D269" s="12" t="inlineStr">
        <is>
          <t>Poste fictif Delta II</t>
        </is>
      </c>
      <c r="E269" s="12" t="inlineStr">
        <is>
          <t>COMPTAGE</t>
        </is>
      </c>
      <c r="F269" s="12" t="n">
        <v>2027</v>
      </c>
      <c r="G269" s="12" t="inlineStr">
        <is>
          <t>REVISION</t>
        </is>
      </c>
      <c r="H269" s="12" t="n">
        <v>4</v>
      </c>
      <c r="I269" s="12" t="inlineStr">
        <is>
          <t>Révision</t>
        </is>
      </c>
      <c r="J269" s="12" t="inlineStr">
        <is>
          <t>G-I-BBC28</t>
        </is>
      </c>
      <c r="K269" s="12" t="inlineStr">
        <is>
          <t>G-I-BBC28-INS07</t>
        </is>
      </c>
      <c r="L269" s="12" t="inlineStr">
        <is>
          <t>Code Emprise</t>
        </is>
      </c>
      <c r="M269" s="12" t="inlineStr">
        <is>
          <t>G-I-BBC28</t>
        </is>
      </c>
      <c r="N269" s="12" t="b">
        <v>0</v>
      </c>
      <c r="O269" s="12" t="n"/>
      <c r="P269" s="12" t="n">
        <v>269</v>
      </c>
      <c r="Q269" s="12" t="n">
        <v>0</v>
      </c>
      <c r="R269" s="12" t="inlineStr">
        <is>
          <t>DEMO_PDM.xlsx</t>
        </is>
      </c>
      <c r="S269" s="24" t="n">
        <v>46309.625</v>
      </c>
    </row>
    <row r="270">
      <c r="A270" s="12" t="inlineStr">
        <is>
          <t>SVI</t>
        </is>
      </c>
      <c r="B270" s="12" t="inlineStr">
        <is>
          <t>AA1</t>
        </is>
      </c>
      <c r="C270" s="12" t="inlineStr">
        <is>
          <t>G-I-BBC28</t>
        </is>
      </c>
      <c r="D270" s="12" t="inlineStr">
        <is>
          <t>Poste fictif Delta II</t>
        </is>
      </c>
      <c r="E270" s="12" t="inlineStr">
        <is>
          <t>COMPTAGE</t>
        </is>
      </c>
      <c r="F270" s="12" t="n">
        <v>2028</v>
      </c>
      <c r="G270" s="12" t="inlineStr">
        <is>
          <t>PIS</t>
        </is>
      </c>
      <c r="H270" s="12" t="n">
        <v>1</v>
      </c>
      <c r="I270" s="12" t="inlineStr">
        <is>
          <t>PIS</t>
        </is>
      </c>
      <c r="J270" s="12" t="inlineStr">
        <is>
          <t>G-I-BBC28</t>
        </is>
      </c>
      <c r="K270" s="12" t="inlineStr">
        <is>
          <t>G-I-BBC28-INS07</t>
        </is>
      </c>
      <c r="L270" s="12" t="inlineStr">
        <is>
          <t>Code Emprise</t>
        </is>
      </c>
      <c r="M270" s="12" t="inlineStr">
        <is>
          <t>G-I-BBC28</t>
        </is>
      </c>
      <c r="N270" s="12" t="b">
        <v>0</v>
      </c>
      <c r="O270" s="12" t="n"/>
      <c r="P270" s="12" t="n">
        <v>270</v>
      </c>
      <c r="Q270" s="12" t="n">
        <v>0</v>
      </c>
      <c r="R270" s="12" t="inlineStr">
        <is>
          <t>DEMO_PDM.xlsx</t>
        </is>
      </c>
      <c r="S270" s="24" t="n">
        <v>46309.625</v>
      </c>
    </row>
    <row r="271">
      <c r="A271" s="12" t="inlineStr">
        <is>
          <t>SVI</t>
        </is>
      </c>
      <c r="B271" s="12" t="inlineStr">
        <is>
          <t>AA1</t>
        </is>
      </c>
      <c r="C271" s="12" t="inlineStr">
        <is>
          <t>G-I-BBC28</t>
        </is>
      </c>
      <c r="D271" s="12" t="inlineStr">
        <is>
          <t>Poste fictif Delta II</t>
        </is>
      </c>
      <c r="E271" s="12" t="inlineStr">
        <is>
          <t>COMPTAGE</t>
        </is>
      </c>
      <c r="F271" s="12" t="n">
        <v>2029</v>
      </c>
      <c r="G271" s="12" t="inlineStr">
        <is>
          <t>PIS</t>
        </is>
      </c>
      <c r="H271" s="12" t="n">
        <v>1</v>
      </c>
      <c r="I271" s="12" t="inlineStr">
        <is>
          <t>PIS</t>
        </is>
      </c>
      <c r="J271" s="12" t="inlineStr">
        <is>
          <t>G-I-BBC28</t>
        </is>
      </c>
      <c r="K271" s="12" t="inlineStr">
        <is>
          <t>G-I-BBC28-INS07</t>
        </is>
      </c>
      <c r="L271" s="12" t="inlineStr">
        <is>
          <t>Code Emprise</t>
        </is>
      </c>
      <c r="M271" s="12" t="inlineStr">
        <is>
          <t>G-I-BBC28</t>
        </is>
      </c>
      <c r="N271" s="12" t="b">
        <v>0</v>
      </c>
      <c r="O271" s="12" t="n"/>
      <c r="P271" s="12" t="n">
        <v>271</v>
      </c>
      <c r="Q271" s="12" t="n">
        <v>0</v>
      </c>
      <c r="R271" s="12" t="inlineStr">
        <is>
          <t>DEMO_PDM.xlsx</t>
        </is>
      </c>
      <c r="S271" s="24" t="n">
        <v>46309.625</v>
      </c>
    </row>
    <row r="272">
      <c r="A272" s="12" t="inlineStr">
        <is>
          <t>SVI</t>
        </is>
      </c>
      <c r="B272" s="12" t="inlineStr">
        <is>
          <t>AA1</t>
        </is>
      </c>
      <c r="C272" s="12" t="inlineStr">
        <is>
          <t>G-I-BBC28</t>
        </is>
      </c>
      <c r="D272" s="12" t="inlineStr">
        <is>
          <t>Poste fictif Delta II</t>
        </is>
      </c>
      <c r="E272" s="12" t="inlineStr">
        <is>
          <t>COMPTAGE</t>
        </is>
      </c>
      <c r="F272" s="12" t="n">
        <v>2029</v>
      </c>
      <c r="G272" s="12" t="inlineStr">
        <is>
          <t>EC SIMPLE</t>
        </is>
      </c>
      <c r="H272" s="12" t="n">
        <v>2</v>
      </c>
      <c r="I272" s="12" t="inlineStr">
        <is>
          <t>EC Simple</t>
        </is>
      </c>
      <c r="J272" s="12" t="inlineStr">
        <is>
          <t>G-I-BBC28</t>
        </is>
      </c>
      <c r="K272" s="12" t="inlineStr">
        <is>
          <t>G-I-BBC28-INS07</t>
        </is>
      </c>
      <c r="L272" s="12" t="inlineStr">
        <is>
          <t>Code Emprise</t>
        </is>
      </c>
      <c r="M272" s="12" t="inlineStr">
        <is>
          <t>G-I-BBC28</t>
        </is>
      </c>
      <c r="N272" s="12" t="b">
        <v>0</v>
      </c>
      <c r="O272" s="12" t="n"/>
      <c r="P272" s="12" t="n">
        <v>272</v>
      </c>
      <c r="Q272" s="12" t="n">
        <v>0</v>
      </c>
      <c r="R272" s="12" t="inlineStr">
        <is>
          <t>DEMO_PDM.xlsx</t>
        </is>
      </c>
      <c r="S272" s="24" t="n">
        <v>46309.625</v>
      </c>
    </row>
    <row r="273">
      <c r="A273" s="12" t="inlineStr">
        <is>
          <t>SVI</t>
        </is>
      </c>
      <c r="B273" s="12" t="inlineStr">
        <is>
          <t>AA1</t>
        </is>
      </c>
      <c r="C273" s="12" t="inlineStr">
        <is>
          <t>G-I-BBC28</t>
        </is>
      </c>
      <c r="D273" s="12" t="inlineStr">
        <is>
          <t>Poste fictif Delta II</t>
        </is>
      </c>
      <c r="E273" s="12" t="inlineStr">
        <is>
          <t>COMPTAGE</t>
        </is>
      </c>
      <c r="F273" s="12" t="n">
        <v>2030</v>
      </c>
      <c r="G273" s="12" t="inlineStr">
        <is>
          <t>PIS</t>
        </is>
      </c>
      <c r="H273" s="12" t="n">
        <v>1</v>
      </c>
      <c r="I273" s="12" t="inlineStr">
        <is>
          <t>PIS</t>
        </is>
      </c>
      <c r="J273" s="12" t="inlineStr">
        <is>
          <t>G-I-BBC28</t>
        </is>
      </c>
      <c r="K273" s="12" t="inlineStr">
        <is>
          <t>G-I-BBC28-INS07</t>
        </is>
      </c>
      <c r="L273" s="12" t="inlineStr">
        <is>
          <t>Code Emprise</t>
        </is>
      </c>
      <c r="M273" s="12" t="inlineStr">
        <is>
          <t>G-I-BBC28</t>
        </is>
      </c>
      <c r="N273" s="12" t="b">
        <v>0</v>
      </c>
      <c r="O273" s="12" t="n"/>
      <c r="P273" s="12" t="n">
        <v>273</v>
      </c>
      <c r="Q273" s="12" t="n">
        <v>0</v>
      </c>
      <c r="R273" s="12" t="inlineStr">
        <is>
          <t>DEMO_PDM.xlsx</t>
        </is>
      </c>
      <c r="S273" s="24" t="n">
        <v>46309.625</v>
      </c>
    </row>
    <row r="274">
      <c r="A274" s="12" t="inlineStr">
        <is>
          <t>SVI</t>
        </is>
      </c>
      <c r="B274" s="12" t="inlineStr">
        <is>
          <t>AA1</t>
        </is>
      </c>
      <c r="C274" s="12" t="inlineStr">
        <is>
          <t>G-I-BBC28</t>
        </is>
      </c>
      <c r="D274" s="12" t="inlineStr">
        <is>
          <t>Poste fictif Delta II</t>
        </is>
      </c>
      <c r="E274" s="12" t="inlineStr">
        <is>
          <t>COMPTAGE</t>
        </is>
      </c>
      <c r="F274" s="12" t="n">
        <v>2031</v>
      </c>
      <c r="G274" s="12" t="inlineStr">
        <is>
          <t>PIS</t>
        </is>
      </c>
      <c r="H274" s="12" t="n">
        <v>1</v>
      </c>
      <c r="I274" s="12" t="inlineStr">
        <is>
          <t>PIS</t>
        </is>
      </c>
      <c r="J274" s="12" t="inlineStr">
        <is>
          <t>G-I-BBC28</t>
        </is>
      </c>
      <c r="K274" s="12" t="inlineStr">
        <is>
          <t>G-I-BBC28-INS07</t>
        </is>
      </c>
      <c r="L274" s="12" t="inlineStr">
        <is>
          <t>Code Emprise</t>
        </is>
      </c>
      <c r="M274" s="12" t="inlineStr">
        <is>
          <t>G-I-BBC28</t>
        </is>
      </c>
      <c r="N274" s="12" t="b">
        <v>0</v>
      </c>
      <c r="O274" s="12" t="n"/>
      <c r="P274" s="12" t="n">
        <v>274</v>
      </c>
      <c r="Q274" s="12" t="n">
        <v>0</v>
      </c>
      <c r="R274" s="12" t="inlineStr">
        <is>
          <t>DEMO_PDM.xlsx</t>
        </is>
      </c>
      <c r="S274" s="24" t="n">
        <v>46309.625</v>
      </c>
    </row>
    <row r="275">
      <c r="A275" s="12" t="inlineStr">
        <is>
          <t>SVI</t>
        </is>
      </c>
      <c r="B275" s="12" t="inlineStr">
        <is>
          <t>AA1</t>
        </is>
      </c>
      <c r="C275" s="12" t="inlineStr">
        <is>
          <t>G-I-BBC28</t>
        </is>
      </c>
      <c r="D275" s="12" t="inlineStr">
        <is>
          <t>Poste fictif Delta II</t>
        </is>
      </c>
      <c r="E275" s="12" t="inlineStr">
        <is>
          <t>COMPTAGE</t>
        </is>
      </c>
      <c r="F275" s="12" t="n">
        <v>2031</v>
      </c>
      <c r="G275" s="12" t="inlineStr">
        <is>
          <t>EC FILTRE</t>
        </is>
      </c>
      <c r="H275" s="12" t="n">
        <v>3</v>
      </c>
      <c r="I275" s="12" t="inlineStr">
        <is>
          <t>EC Filtre</t>
        </is>
      </c>
      <c r="J275" s="12" t="inlineStr">
        <is>
          <t>G-I-BBC28</t>
        </is>
      </c>
      <c r="K275" s="12" t="inlineStr">
        <is>
          <t>G-I-BBC28-INS07</t>
        </is>
      </c>
      <c r="L275" s="12" t="inlineStr">
        <is>
          <t>Code Emprise</t>
        </is>
      </c>
      <c r="M275" s="12" t="inlineStr">
        <is>
          <t>G-I-BBC28</t>
        </is>
      </c>
      <c r="N275" s="12" t="b">
        <v>0</v>
      </c>
      <c r="O275" s="12" t="n"/>
      <c r="P275" s="12" t="n">
        <v>275</v>
      </c>
      <c r="Q275" s="12" t="n">
        <v>0</v>
      </c>
      <c r="R275" s="12" t="inlineStr">
        <is>
          <t>DEMO_PDM.xlsx</t>
        </is>
      </c>
      <c r="S275" s="24" t="n">
        <v>46309.625</v>
      </c>
    </row>
    <row r="276">
      <c r="A276" s="12" t="inlineStr">
        <is>
          <t>SVI</t>
        </is>
      </c>
      <c r="B276" s="12" t="inlineStr">
        <is>
          <t>AA1</t>
        </is>
      </c>
      <c r="C276" s="12" t="inlineStr">
        <is>
          <t>G-I-BBC28</t>
        </is>
      </c>
      <c r="D276" s="12" t="inlineStr">
        <is>
          <t>Poste fictif Delta II</t>
        </is>
      </c>
      <c r="E276" s="12" t="inlineStr">
        <is>
          <t>COMPTAGE</t>
        </is>
      </c>
      <c r="F276" s="12" t="n">
        <v>2032</v>
      </c>
      <c r="G276" s="12" t="inlineStr">
        <is>
          <t>PIS</t>
        </is>
      </c>
      <c r="H276" s="12" t="n">
        <v>1</v>
      </c>
      <c r="I276" s="12" t="inlineStr">
        <is>
          <t>PIS</t>
        </is>
      </c>
      <c r="J276" s="12" t="inlineStr">
        <is>
          <t>G-I-BBC28</t>
        </is>
      </c>
      <c r="K276" s="12" t="inlineStr">
        <is>
          <t>G-I-BBC28-INS07</t>
        </is>
      </c>
      <c r="L276" s="12" t="inlineStr">
        <is>
          <t>Code Emprise</t>
        </is>
      </c>
      <c r="M276" s="12" t="inlineStr">
        <is>
          <t>G-I-BBC28</t>
        </is>
      </c>
      <c r="N276" s="12" t="b">
        <v>0</v>
      </c>
      <c r="O276" s="12" t="n"/>
      <c r="P276" s="12" t="n">
        <v>276</v>
      </c>
      <c r="Q276" s="12" t="n">
        <v>0</v>
      </c>
      <c r="R276" s="12" t="inlineStr">
        <is>
          <t>DEMO_PDM.xlsx</t>
        </is>
      </c>
      <c r="S276" s="24" t="n">
        <v>46309.625</v>
      </c>
    </row>
    <row r="277">
      <c r="A277" s="12" t="inlineStr">
        <is>
          <t>SVI</t>
        </is>
      </c>
      <c r="B277" s="12" t="inlineStr">
        <is>
          <t>AA3</t>
        </is>
      </c>
      <c r="C277" s="12" t="inlineStr">
        <is>
          <t>G-I-CCD29</t>
        </is>
      </c>
      <c r="D277" s="12" t="inlineStr">
        <is>
          <t>Poste fictif Epsilon II</t>
        </is>
      </c>
      <c r="E277" s="12" t="inlineStr">
        <is>
          <t>COMPTAGE</t>
        </is>
      </c>
      <c r="F277" s="12" t="n">
        <v>2026</v>
      </c>
      <c r="G277" s="12" t="inlineStr">
        <is>
          <t>PIS</t>
        </is>
      </c>
      <c r="H277" s="12" t="n">
        <v>1</v>
      </c>
      <c r="I277" s="12" t="inlineStr">
        <is>
          <t>PIS</t>
        </is>
      </c>
      <c r="J277" s="12" t="inlineStr">
        <is>
          <t>G-I-CCD29</t>
        </is>
      </c>
      <c r="K277" s="12" t="inlineStr">
        <is>
          <t>G-I-CCD29-INS01</t>
        </is>
      </c>
      <c r="L277" s="12" t="inlineStr">
        <is>
          <t>Code Emprise</t>
        </is>
      </c>
      <c r="M277" s="12" t="inlineStr">
        <is>
          <t>G-I-CCD29</t>
        </is>
      </c>
      <c r="N277" s="12" t="b">
        <v>0</v>
      </c>
      <c r="O277" s="12" t="n"/>
      <c r="P277" s="12" t="n">
        <v>277</v>
      </c>
      <c r="Q277" s="12" t="n">
        <v>0</v>
      </c>
      <c r="R277" s="12" t="inlineStr">
        <is>
          <t>DEMO_PDM.xlsx</t>
        </is>
      </c>
      <c r="S277" s="24" t="n">
        <v>46309.625</v>
      </c>
    </row>
    <row r="278">
      <c r="A278" s="12" t="inlineStr">
        <is>
          <t>SVI</t>
        </is>
      </c>
      <c r="B278" s="12" t="inlineStr">
        <is>
          <t>AA3</t>
        </is>
      </c>
      <c r="C278" s="12" t="inlineStr">
        <is>
          <t>G-I-CCD29</t>
        </is>
      </c>
      <c r="D278" s="12" t="inlineStr">
        <is>
          <t>Poste fictif Epsilon II</t>
        </is>
      </c>
      <c r="E278" s="12" t="inlineStr">
        <is>
          <t>COMPTAGE</t>
        </is>
      </c>
      <c r="F278" s="12" t="n">
        <v>2027</v>
      </c>
      <c r="G278" s="12" t="inlineStr">
        <is>
          <t>PIS</t>
        </is>
      </c>
      <c r="H278" s="12" t="n">
        <v>1</v>
      </c>
      <c r="I278" s="12" t="inlineStr">
        <is>
          <t>PIS</t>
        </is>
      </c>
      <c r="J278" s="12" t="inlineStr">
        <is>
          <t>G-I-CCD29</t>
        </is>
      </c>
      <c r="K278" s="12" t="inlineStr">
        <is>
          <t>G-I-CCD29-INS01</t>
        </is>
      </c>
      <c r="L278" s="12" t="inlineStr">
        <is>
          <t>Code Emprise</t>
        </is>
      </c>
      <c r="M278" s="12" t="inlineStr">
        <is>
          <t>G-I-CCD29</t>
        </is>
      </c>
      <c r="N278" s="12" t="b">
        <v>0</v>
      </c>
      <c r="O278" s="12" t="n"/>
      <c r="P278" s="12" t="n">
        <v>278</v>
      </c>
      <c r="Q278" s="12" t="n">
        <v>0</v>
      </c>
      <c r="R278" s="12" t="inlineStr">
        <is>
          <t>DEMO_PDM.xlsx</t>
        </is>
      </c>
      <c r="S278" s="24" t="n">
        <v>46309.625</v>
      </c>
    </row>
    <row r="279">
      <c r="A279" s="12" t="inlineStr">
        <is>
          <t>SVI</t>
        </is>
      </c>
      <c r="B279" s="12" t="inlineStr">
        <is>
          <t>AA3</t>
        </is>
      </c>
      <c r="C279" s="12" t="inlineStr">
        <is>
          <t>G-I-CCD29</t>
        </is>
      </c>
      <c r="D279" s="12" t="inlineStr">
        <is>
          <t>Poste fictif Epsilon II</t>
        </is>
      </c>
      <c r="E279" s="12" t="inlineStr">
        <is>
          <t>COMPTAGE</t>
        </is>
      </c>
      <c r="F279" s="12" t="n">
        <v>2027</v>
      </c>
      <c r="G279" s="12" t="inlineStr">
        <is>
          <t>EC FILTRE</t>
        </is>
      </c>
      <c r="H279" s="12" t="n">
        <v>3</v>
      </c>
      <c r="I279" s="12" t="inlineStr">
        <is>
          <t>EC Filtre</t>
        </is>
      </c>
      <c r="J279" s="12" t="inlineStr">
        <is>
          <t>G-I-CCD29</t>
        </is>
      </c>
      <c r="K279" s="12" t="inlineStr">
        <is>
          <t>G-I-CCD29-INS01</t>
        </is>
      </c>
      <c r="L279" s="12" t="inlineStr">
        <is>
          <t>Code Emprise</t>
        </is>
      </c>
      <c r="M279" s="12" t="inlineStr">
        <is>
          <t>G-I-CCD29</t>
        </is>
      </c>
      <c r="N279" s="12" t="b">
        <v>0</v>
      </c>
      <c r="O279" s="12" t="n"/>
      <c r="P279" s="12" t="n">
        <v>279</v>
      </c>
      <c r="Q279" s="12" t="n">
        <v>0</v>
      </c>
      <c r="R279" s="12" t="inlineStr">
        <is>
          <t>DEMO_PDM.xlsx</t>
        </is>
      </c>
      <c r="S279" s="24" t="n">
        <v>46309.625</v>
      </c>
    </row>
    <row r="280">
      <c r="A280" s="12" t="inlineStr">
        <is>
          <t>SVI</t>
        </is>
      </c>
      <c r="B280" s="12" t="inlineStr">
        <is>
          <t>AA3</t>
        </is>
      </c>
      <c r="C280" s="12" t="inlineStr">
        <is>
          <t>G-I-CCD29</t>
        </is>
      </c>
      <c r="D280" s="12" t="inlineStr">
        <is>
          <t>Poste fictif Epsilon II</t>
        </is>
      </c>
      <c r="E280" s="12" t="inlineStr">
        <is>
          <t>COMPTAGE</t>
        </is>
      </c>
      <c r="F280" s="12" t="n">
        <v>2027</v>
      </c>
      <c r="G280" s="12" t="inlineStr">
        <is>
          <t>REVISION</t>
        </is>
      </c>
      <c r="H280" s="12" t="n">
        <v>4</v>
      </c>
      <c r="I280" s="12" t="inlineStr">
        <is>
          <t>Révision</t>
        </is>
      </c>
      <c r="J280" s="12" t="inlineStr">
        <is>
          <t>G-I-CCD29</t>
        </is>
      </c>
      <c r="K280" s="12" t="inlineStr">
        <is>
          <t>G-I-CCD29-INS01</t>
        </is>
      </c>
      <c r="L280" s="12" t="inlineStr">
        <is>
          <t>Code Emprise</t>
        </is>
      </c>
      <c r="M280" s="12" t="inlineStr">
        <is>
          <t>G-I-CCD29</t>
        </is>
      </c>
      <c r="N280" s="12" t="b">
        <v>0</v>
      </c>
      <c r="O280" s="12" t="n"/>
      <c r="P280" s="12" t="n">
        <v>280</v>
      </c>
      <c r="Q280" s="12" t="n">
        <v>0</v>
      </c>
      <c r="R280" s="12" t="inlineStr">
        <is>
          <t>DEMO_PDM.xlsx</t>
        </is>
      </c>
      <c r="S280" s="24" t="n">
        <v>46309.625</v>
      </c>
    </row>
    <row r="281">
      <c r="A281" s="12" t="inlineStr">
        <is>
          <t>SVI</t>
        </is>
      </c>
      <c r="B281" s="12" t="inlineStr">
        <is>
          <t>AA3</t>
        </is>
      </c>
      <c r="C281" s="12" t="inlineStr">
        <is>
          <t>G-I-CCD29</t>
        </is>
      </c>
      <c r="D281" s="12" t="inlineStr">
        <is>
          <t>Poste fictif Epsilon II</t>
        </is>
      </c>
      <c r="E281" s="12" t="inlineStr">
        <is>
          <t>COMPTAGE</t>
        </is>
      </c>
      <c r="F281" s="12" t="n">
        <v>2028</v>
      </c>
      <c r="G281" s="12" t="inlineStr">
        <is>
          <t>PIS</t>
        </is>
      </c>
      <c r="H281" s="12" t="n">
        <v>1</v>
      </c>
      <c r="I281" s="12" t="inlineStr">
        <is>
          <t>PIS</t>
        </is>
      </c>
      <c r="J281" s="12" t="inlineStr">
        <is>
          <t>G-I-CCD29</t>
        </is>
      </c>
      <c r="K281" s="12" t="inlineStr">
        <is>
          <t>G-I-CCD29-INS01</t>
        </is>
      </c>
      <c r="L281" s="12" t="inlineStr">
        <is>
          <t>Code Emprise</t>
        </is>
      </c>
      <c r="M281" s="12" t="inlineStr">
        <is>
          <t>G-I-CCD29</t>
        </is>
      </c>
      <c r="N281" s="12" t="b">
        <v>0</v>
      </c>
      <c r="O281" s="12" t="n"/>
      <c r="P281" s="12" t="n">
        <v>281</v>
      </c>
      <c r="Q281" s="12" t="n">
        <v>0</v>
      </c>
      <c r="R281" s="12" t="inlineStr">
        <is>
          <t>DEMO_PDM.xlsx</t>
        </is>
      </c>
      <c r="S281" s="24" t="n">
        <v>46309.625</v>
      </c>
    </row>
    <row r="282">
      <c r="A282" s="12" t="inlineStr">
        <is>
          <t>SVI</t>
        </is>
      </c>
      <c r="B282" s="12" t="inlineStr">
        <is>
          <t>AA3</t>
        </is>
      </c>
      <c r="C282" s="12" t="inlineStr">
        <is>
          <t>G-I-CCD29</t>
        </is>
      </c>
      <c r="D282" s="12" t="inlineStr">
        <is>
          <t>Poste fictif Epsilon II</t>
        </is>
      </c>
      <c r="E282" s="12" t="inlineStr">
        <is>
          <t>COMPTAGE</t>
        </is>
      </c>
      <c r="F282" s="12" t="n">
        <v>2029</v>
      </c>
      <c r="G282" s="12" t="inlineStr">
        <is>
          <t>PIS</t>
        </is>
      </c>
      <c r="H282" s="12" t="n">
        <v>1</v>
      </c>
      <c r="I282" s="12" t="inlineStr">
        <is>
          <t>PIS</t>
        </is>
      </c>
      <c r="J282" s="12" t="inlineStr">
        <is>
          <t>G-I-CCD29</t>
        </is>
      </c>
      <c r="K282" s="12" t="inlineStr">
        <is>
          <t>G-I-CCD29-INS01</t>
        </is>
      </c>
      <c r="L282" s="12" t="inlineStr">
        <is>
          <t>Code Emprise</t>
        </is>
      </c>
      <c r="M282" s="12" t="inlineStr">
        <is>
          <t>G-I-CCD29</t>
        </is>
      </c>
      <c r="N282" s="12" t="b">
        <v>0</v>
      </c>
      <c r="O282" s="12" t="n"/>
      <c r="P282" s="12" t="n">
        <v>282</v>
      </c>
      <c r="Q282" s="12" t="n">
        <v>0</v>
      </c>
      <c r="R282" s="12" t="inlineStr">
        <is>
          <t>DEMO_PDM.xlsx</t>
        </is>
      </c>
      <c r="S282" s="24" t="n">
        <v>46309.625</v>
      </c>
    </row>
    <row r="283">
      <c r="A283" s="12" t="inlineStr">
        <is>
          <t>SVI</t>
        </is>
      </c>
      <c r="B283" s="12" t="inlineStr">
        <is>
          <t>AA3</t>
        </is>
      </c>
      <c r="C283" s="12" t="inlineStr">
        <is>
          <t>G-I-CCD29</t>
        </is>
      </c>
      <c r="D283" s="12" t="inlineStr">
        <is>
          <t>Poste fictif Epsilon II</t>
        </is>
      </c>
      <c r="E283" s="12" t="inlineStr">
        <is>
          <t>COMPTAGE</t>
        </is>
      </c>
      <c r="F283" s="12" t="n">
        <v>2030</v>
      </c>
      <c r="G283" s="12" t="inlineStr">
        <is>
          <t>PIS</t>
        </is>
      </c>
      <c r="H283" s="12" t="n">
        <v>1</v>
      </c>
      <c r="I283" s="12" t="inlineStr">
        <is>
          <t>PIS</t>
        </is>
      </c>
      <c r="J283" s="12" t="inlineStr">
        <is>
          <t>G-I-CCD29</t>
        </is>
      </c>
      <c r="K283" s="12" t="inlineStr">
        <is>
          <t>G-I-CCD29-INS01</t>
        </is>
      </c>
      <c r="L283" s="12" t="inlineStr">
        <is>
          <t>Code Emprise</t>
        </is>
      </c>
      <c r="M283" s="12" t="inlineStr">
        <is>
          <t>G-I-CCD29</t>
        </is>
      </c>
      <c r="N283" s="12" t="b">
        <v>0</v>
      </c>
      <c r="O283" s="12" t="n"/>
      <c r="P283" s="12" t="n">
        <v>283</v>
      </c>
      <c r="Q283" s="12" t="n">
        <v>0</v>
      </c>
      <c r="R283" s="12" t="inlineStr">
        <is>
          <t>DEMO_PDM.xlsx</t>
        </is>
      </c>
      <c r="S283" s="24" t="n">
        <v>46309.625</v>
      </c>
    </row>
    <row r="284">
      <c r="A284" s="12" t="inlineStr">
        <is>
          <t>SVI</t>
        </is>
      </c>
      <c r="B284" s="12" t="inlineStr">
        <is>
          <t>AA3</t>
        </is>
      </c>
      <c r="C284" s="12" t="inlineStr">
        <is>
          <t>G-I-CCD29</t>
        </is>
      </c>
      <c r="D284" s="12" t="inlineStr">
        <is>
          <t>Poste fictif Epsilon II</t>
        </is>
      </c>
      <c r="E284" s="12" t="inlineStr">
        <is>
          <t>COMPTAGE</t>
        </is>
      </c>
      <c r="F284" s="12" t="n">
        <v>2030</v>
      </c>
      <c r="G284" s="12" t="inlineStr">
        <is>
          <t>EC SIMPLE</t>
        </is>
      </c>
      <c r="H284" s="12" t="n">
        <v>2</v>
      </c>
      <c r="I284" s="12" t="inlineStr">
        <is>
          <t>EC Simple</t>
        </is>
      </c>
      <c r="J284" s="12" t="inlineStr">
        <is>
          <t>G-I-CCD29</t>
        </is>
      </c>
      <c r="K284" s="12" t="inlineStr">
        <is>
          <t>G-I-CCD29-INS01</t>
        </is>
      </c>
      <c r="L284" s="12" t="inlineStr">
        <is>
          <t>Code Emprise</t>
        </is>
      </c>
      <c r="M284" s="12" t="inlineStr">
        <is>
          <t>G-I-CCD29</t>
        </is>
      </c>
      <c r="N284" s="12" t="b">
        <v>0</v>
      </c>
      <c r="O284" s="12" t="n"/>
      <c r="P284" s="12" t="n">
        <v>284</v>
      </c>
      <c r="Q284" s="12" t="n">
        <v>0</v>
      </c>
      <c r="R284" s="12" t="inlineStr">
        <is>
          <t>DEMO_PDM.xlsx</t>
        </is>
      </c>
      <c r="S284" s="24" t="n">
        <v>46309.625</v>
      </c>
    </row>
    <row r="285">
      <c r="A285" s="12" t="inlineStr">
        <is>
          <t>SVI</t>
        </is>
      </c>
      <c r="B285" s="12" t="inlineStr">
        <is>
          <t>AA3</t>
        </is>
      </c>
      <c r="C285" s="12" t="inlineStr">
        <is>
          <t>G-I-CCD29</t>
        </is>
      </c>
      <c r="D285" s="12" t="inlineStr">
        <is>
          <t>Poste fictif Epsilon II</t>
        </is>
      </c>
      <c r="E285" s="12" t="inlineStr">
        <is>
          <t>COMPTAGE</t>
        </is>
      </c>
      <c r="F285" s="12" t="n">
        <v>2031</v>
      </c>
      <c r="G285" s="12" t="inlineStr">
        <is>
          <t>PIS</t>
        </is>
      </c>
      <c r="H285" s="12" t="n">
        <v>1</v>
      </c>
      <c r="I285" s="12" t="inlineStr">
        <is>
          <t>PIS</t>
        </is>
      </c>
      <c r="J285" s="12" t="inlineStr">
        <is>
          <t>G-I-CCD29</t>
        </is>
      </c>
      <c r="K285" s="12" t="inlineStr">
        <is>
          <t>G-I-CCD29-INS01</t>
        </is>
      </c>
      <c r="L285" s="12" t="inlineStr">
        <is>
          <t>Code Emprise</t>
        </is>
      </c>
      <c r="M285" s="12" t="inlineStr">
        <is>
          <t>G-I-CCD29</t>
        </is>
      </c>
      <c r="N285" s="12" t="b">
        <v>0</v>
      </c>
      <c r="O285" s="12" t="n"/>
      <c r="P285" s="12" t="n">
        <v>285</v>
      </c>
      <c r="Q285" s="12" t="n">
        <v>0</v>
      </c>
      <c r="R285" s="12" t="inlineStr">
        <is>
          <t>DEMO_PDM.xlsx</t>
        </is>
      </c>
      <c r="S285" s="24" t="n">
        <v>46309.625</v>
      </c>
    </row>
    <row r="286">
      <c r="A286" s="12" t="inlineStr">
        <is>
          <t>SVI</t>
        </is>
      </c>
      <c r="B286" s="12" t="inlineStr">
        <is>
          <t>AA3</t>
        </is>
      </c>
      <c r="C286" s="12" t="inlineStr">
        <is>
          <t>G-I-CCD29</t>
        </is>
      </c>
      <c r="D286" s="12" t="inlineStr">
        <is>
          <t>Poste fictif Epsilon II</t>
        </is>
      </c>
      <c r="E286" s="12" t="inlineStr">
        <is>
          <t>COMPTAGE</t>
        </is>
      </c>
      <c r="F286" s="12" t="n">
        <v>2032</v>
      </c>
      <c r="G286" s="12" t="inlineStr">
        <is>
          <t>PIS</t>
        </is>
      </c>
      <c r="H286" s="12" t="n">
        <v>1</v>
      </c>
      <c r="I286" s="12" t="inlineStr">
        <is>
          <t>PIS</t>
        </is>
      </c>
      <c r="J286" s="12" t="inlineStr">
        <is>
          <t>G-I-CCD29</t>
        </is>
      </c>
      <c r="K286" s="12" t="inlineStr">
        <is>
          <t>G-I-CCD29-INS01</t>
        </is>
      </c>
      <c r="L286" s="12" t="inlineStr">
        <is>
          <t>Code Emprise</t>
        </is>
      </c>
      <c r="M286" s="12" t="inlineStr">
        <is>
          <t>G-I-CCD29</t>
        </is>
      </c>
      <c r="N286" s="12" t="b">
        <v>0</v>
      </c>
      <c r="O286" s="12" t="n"/>
      <c r="P286" s="12" t="n">
        <v>286</v>
      </c>
      <c r="Q286" s="12" t="n">
        <v>0</v>
      </c>
      <c r="R286" s="12" t="inlineStr">
        <is>
          <t>DEMO_PDM.xlsx</t>
        </is>
      </c>
      <c r="S286" s="24" t="n">
        <v>46309.625</v>
      </c>
    </row>
    <row r="287">
      <c r="A287" s="12" t="inlineStr">
        <is>
          <t>SVI</t>
        </is>
      </c>
      <c r="B287" s="12" t="inlineStr">
        <is>
          <t>AA4</t>
        </is>
      </c>
      <c r="C287" s="12" t="inlineStr">
        <is>
          <t>G-I-DDE30</t>
        </is>
      </c>
      <c r="D287" s="12" t="inlineStr">
        <is>
          <t>Poste fictif Zeta II</t>
        </is>
      </c>
      <c r="E287" s="12" t="inlineStr">
        <is>
          <t>PIQUAGE</t>
        </is>
      </c>
      <c r="F287" s="12" t="n">
        <v>2026</v>
      </c>
      <c r="G287" s="12" t="inlineStr">
        <is>
          <t>PIS</t>
        </is>
      </c>
      <c r="H287" s="12" t="n">
        <v>1</v>
      </c>
      <c r="I287" s="12" t="inlineStr">
        <is>
          <t>PIS</t>
        </is>
      </c>
      <c r="J287" s="12" t="inlineStr">
        <is>
          <t>G-I-DDE30</t>
        </is>
      </c>
      <c r="K287" s="12" t="inlineStr">
        <is>
          <t>G-I-DDE30-INS02</t>
        </is>
      </c>
      <c r="L287" s="12" t="inlineStr">
        <is>
          <t>Code Emprise</t>
        </is>
      </c>
      <c r="M287" s="12" t="inlineStr">
        <is>
          <t>G-I-DDE30</t>
        </is>
      </c>
      <c r="N287" s="12" t="b">
        <v>0</v>
      </c>
      <c r="O287" s="12" t="n"/>
      <c r="P287" s="12" t="n">
        <v>287</v>
      </c>
      <c r="Q287" s="12" t="n">
        <v>0</v>
      </c>
      <c r="R287" s="12" t="inlineStr">
        <is>
          <t>DEMO_PDM.xlsx</t>
        </is>
      </c>
      <c r="S287" s="24" t="n">
        <v>46309.625</v>
      </c>
    </row>
    <row r="288">
      <c r="A288" s="12" t="inlineStr">
        <is>
          <t>SVI</t>
        </is>
      </c>
      <c r="B288" s="12" t="inlineStr">
        <is>
          <t>AA4</t>
        </is>
      </c>
      <c r="C288" s="12" t="inlineStr">
        <is>
          <t>G-I-DDE30</t>
        </is>
      </c>
      <c r="D288" s="12" t="inlineStr">
        <is>
          <t>Poste fictif Zeta II</t>
        </is>
      </c>
      <c r="E288" s="12" t="inlineStr">
        <is>
          <t>PIQUAGE</t>
        </is>
      </c>
      <c r="F288" s="12" t="n">
        <v>2026</v>
      </c>
      <c r="G288" s="12" t="inlineStr">
        <is>
          <t>EC SIMPLE</t>
        </is>
      </c>
      <c r="H288" s="12" t="n">
        <v>2</v>
      </c>
      <c r="I288" s="12" t="inlineStr">
        <is>
          <t>EC Simple</t>
        </is>
      </c>
      <c r="J288" s="12" t="inlineStr">
        <is>
          <t>G-I-DDE30</t>
        </is>
      </c>
      <c r="K288" s="12" t="inlineStr">
        <is>
          <t>G-I-DDE30-INS02</t>
        </is>
      </c>
      <c r="L288" s="12" t="inlineStr">
        <is>
          <t>Code Emprise</t>
        </is>
      </c>
      <c r="M288" s="12" t="inlineStr">
        <is>
          <t>G-I-DDE30</t>
        </is>
      </c>
      <c r="N288" s="12" t="b">
        <v>0</v>
      </c>
      <c r="O288" s="12" t="n"/>
      <c r="P288" s="12" t="n">
        <v>288</v>
      </c>
      <c r="Q288" s="12" t="n">
        <v>0</v>
      </c>
      <c r="R288" s="12" t="inlineStr">
        <is>
          <t>DEMO_PDM.xlsx</t>
        </is>
      </c>
      <c r="S288" s="24" t="n">
        <v>46309.625</v>
      </c>
    </row>
    <row r="289">
      <c r="A289" s="12" t="inlineStr">
        <is>
          <t>SVI</t>
        </is>
      </c>
      <c r="B289" s="12" t="inlineStr">
        <is>
          <t>AA4</t>
        </is>
      </c>
      <c r="C289" s="12" t="inlineStr">
        <is>
          <t>G-I-DDE30</t>
        </is>
      </c>
      <c r="D289" s="12" t="inlineStr">
        <is>
          <t>Poste fictif Zeta II</t>
        </is>
      </c>
      <c r="E289" s="12" t="inlineStr">
        <is>
          <t>PIQUAGE</t>
        </is>
      </c>
      <c r="F289" s="12" t="n">
        <v>2027</v>
      </c>
      <c r="G289" s="12" t="inlineStr">
        <is>
          <t>PIS</t>
        </is>
      </c>
      <c r="H289" s="12" t="n">
        <v>1</v>
      </c>
      <c r="I289" s="12" t="inlineStr">
        <is>
          <t>PIS</t>
        </is>
      </c>
      <c r="J289" s="12" t="inlineStr">
        <is>
          <t>G-I-DDE30</t>
        </is>
      </c>
      <c r="K289" s="12" t="inlineStr">
        <is>
          <t>G-I-DDE30-INS02</t>
        </is>
      </c>
      <c r="L289" s="12" t="inlineStr">
        <is>
          <t>Code Emprise</t>
        </is>
      </c>
      <c r="M289" s="12" t="inlineStr">
        <is>
          <t>G-I-DDE30</t>
        </is>
      </c>
      <c r="N289" s="12" t="b">
        <v>0</v>
      </c>
      <c r="O289" s="12" t="n"/>
      <c r="P289" s="12" t="n">
        <v>289</v>
      </c>
      <c r="Q289" s="12" t="n">
        <v>0</v>
      </c>
      <c r="R289" s="12" t="inlineStr">
        <is>
          <t>DEMO_PDM.xlsx</t>
        </is>
      </c>
      <c r="S289" s="24" t="n">
        <v>46309.625</v>
      </c>
    </row>
    <row r="290">
      <c r="A290" s="12" t="inlineStr">
        <is>
          <t>SVI</t>
        </is>
      </c>
      <c r="B290" s="12" t="inlineStr">
        <is>
          <t>AA4</t>
        </is>
      </c>
      <c r="C290" s="12" t="inlineStr">
        <is>
          <t>G-I-DDE30</t>
        </is>
      </c>
      <c r="D290" s="12" t="inlineStr">
        <is>
          <t>Poste fictif Zeta II</t>
        </is>
      </c>
      <c r="E290" s="12" t="inlineStr">
        <is>
          <t>PIQUAGE</t>
        </is>
      </c>
      <c r="F290" s="12" t="n">
        <v>2027</v>
      </c>
      <c r="G290" s="12" t="inlineStr">
        <is>
          <t>REVISION</t>
        </is>
      </c>
      <c r="H290" s="12" t="n">
        <v>4</v>
      </c>
      <c r="I290" s="12" t="inlineStr">
        <is>
          <t>Révision</t>
        </is>
      </c>
      <c r="J290" s="12" t="inlineStr">
        <is>
          <t>G-I-DDE30</t>
        </is>
      </c>
      <c r="K290" s="12" t="inlineStr">
        <is>
          <t>G-I-DDE30-INS02</t>
        </is>
      </c>
      <c r="L290" s="12" t="inlineStr">
        <is>
          <t>Code Emprise</t>
        </is>
      </c>
      <c r="M290" s="12" t="inlineStr">
        <is>
          <t>G-I-DDE30</t>
        </is>
      </c>
      <c r="N290" s="12" t="b">
        <v>0</v>
      </c>
      <c r="O290" s="12" t="n"/>
      <c r="P290" s="12" t="n">
        <v>290</v>
      </c>
      <c r="Q290" s="12" t="n">
        <v>0</v>
      </c>
      <c r="R290" s="12" t="inlineStr">
        <is>
          <t>DEMO_PDM.xlsx</t>
        </is>
      </c>
      <c r="S290" s="24" t="n">
        <v>46309.625</v>
      </c>
    </row>
    <row r="291">
      <c r="A291" s="12" t="inlineStr">
        <is>
          <t>SVI</t>
        </is>
      </c>
      <c r="B291" s="12" t="inlineStr">
        <is>
          <t>AA4</t>
        </is>
      </c>
      <c r="C291" s="12" t="inlineStr">
        <is>
          <t>G-I-DDE30</t>
        </is>
      </c>
      <c r="D291" s="12" t="inlineStr">
        <is>
          <t>Poste fictif Zeta II</t>
        </is>
      </c>
      <c r="E291" s="12" t="inlineStr">
        <is>
          <t>PIQUAGE</t>
        </is>
      </c>
      <c r="F291" s="12" t="n">
        <v>2028</v>
      </c>
      <c r="G291" s="12" t="inlineStr">
        <is>
          <t>PIS</t>
        </is>
      </c>
      <c r="H291" s="12" t="n">
        <v>1</v>
      </c>
      <c r="I291" s="12" t="inlineStr">
        <is>
          <t>PIS</t>
        </is>
      </c>
      <c r="J291" s="12" t="inlineStr">
        <is>
          <t>G-I-DDE30</t>
        </is>
      </c>
      <c r="K291" s="12" t="inlineStr">
        <is>
          <t>G-I-DDE30-INS02</t>
        </is>
      </c>
      <c r="L291" s="12" t="inlineStr">
        <is>
          <t>Code Emprise</t>
        </is>
      </c>
      <c r="M291" s="12" t="inlineStr">
        <is>
          <t>G-I-DDE30</t>
        </is>
      </c>
      <c r="N291" s="12" t="b">
        <v>0</v>
      </c>
      <c r="O291" s="12" t="n"/>
      <c r="P291" s="12" t="n">
        <v>291</v>
      </c>
      <c r="Q291" s="12" t="n">
        <v>0</v>
      </c>
      <c r="R291" s="12" t="inlineStr">
        <is>
          <t>DEMO_PDM.xlsx</t>
        </is>
      </c>
      <c r="S291" s="24" t="n">
        <v>46309.625</v>
      </c>
    </row>
    <row r="292">
      <c r="A292" s="12" t="inlineStr">
        <is>
          <t>SVI</t>
        </is>
      </c>
      <c r="B292" s="12" t="inlineStr">
        <is>
          <t>AA4</t>
        </is>
      </c>
      <c r="C292" s="12" t="inlineStr">
        <is>
          <t>G-I-DDE30</t>
        </is>
      </c>
      <c r="D292" s="12" t="inlineStr">
        <is>
          <t>Poste fictif Zeta II</t>
        </is>
      </c>
      <c r="E292" s="12" t="inlineStr">
        <is>
          <t>PIQUAGE</t>
        </is>
      </c>
      <c r="F292" s="12" t="n">
        <v>2028</v>
      </c>
      <c r="G292" s="12" t="inlineStr">
        <is>
          <t>EC SIMPLE</t>
        </is>
      </c>
      <c r="H292" s="12" t="n">
        <v>2</v>
      </c>
      <c r="I292" s="12" t="inlineStr">
        <is>
          <t>EC Simple</t>
        </is>
      </c>
      <c r="J292" s="12" t="inlineStr">
        <is>
          <t>G-I-DDE30</t>
        </is>
      </c>
      <c r="K292" s="12" t="inlineStr">
        <is>
          <t>G-I-DDE30-INS02</t>
        </is>
      </c>
      <c r="L292" s="12" t="inlineStr">
        <is>
          <t>Code Emprise</t>
        </is>
      </c>
      <c r="M292" s="12" t="inlineStr">
        <is>
          <t>G-I-DDE30</t>
        </is>
      </c>
      <c r="N292" s="12" t="b">
        <v>0</v>
      </c>
      <c r="O292" s="12" t="n"/>
      <c r="P292" s="12" t="n">
        <v>292</v>
      </c>
      <c r="Q292" s="12" t="n">
        <v>0</v>
      </c>
      <c r="R292" s="12" t="inlineStr">
        <is>
          <t>DEMO_PDM.xlsx</t>
        </is>
      </c>
      <c r="S292" s="24" t="n">
        <v>46309.625</v>
      </c>
    </row>
    <row r="293">
      <c r="A293" s="12" t="inlineStr">
        <is>
          <t>SVI</t>
        </is>
      </c>
      <c r="B293" s="12" t="inlineStr">
        <is>
          <t>AA4</t>
        </is>
      </c>
      <c r="C293" s="12" t="inlineStr">
        <is>
          <t>G-I-DDE30</t>
        </is>
      </c>
      <c r="D293" s="12" t="inlineStr">
        <is>
          <t>Poste fictif Zeta II</t>
        </is>
      </c>
      <c r="E293" s="12" t="inlineStr">
        <is>
          <t>PIQUAGE</t>
        </is>
      </c>
      <c r="F293" s="12" t="n">
        <v>2029</v>
      </c>
      <c r="G293" s="12" t="inlineStr">
        <is>
          <t>PIS</t>
        </is>
      </c>
      <c r="H293" s="12" t="n">
        <v>1</v>
      </c>
      <c r="I293" s="12" t="inlineStr">
        <is>
          <t>PIS</t>
        </is>
      </c>
      <c r="J293" s="12" t="inlineStr">
        <is>
          <t>G-I-DDE30</t>
        </is>
      </c>
      <c r="K293" s="12" t="inlineStr">
        <is>
          <t>G-I-DDE30-INS02</t>
        </is>
      </c>
      <c r="L293" s="12" t="inlineStr">
        <is>
          <t>Code Emprise</t>
        </is>
      </c>
      <c r="M293" s="12" t="inlineStr">
        <is>
          <t>G-I-DDE30</t>
        </is>
      </c>
      <c r="N293" s="12" t="b">
        <v>0</v>
      </c>
      <c r="O293" s="12" t="n"/>
      <c r="P293" s="12" t="n">
        <v>293</v>
      </c>
      <c r="Q293" s="12" t="n">
        <v>0</v>
      </c>
      <c r="R293" s="12" t="inlineStr">
        <is>
          <t>DEMO_PDM.xlsx</t>
        </is>
      </c>
      <c r="S293" s="24" t="n">
        <v>46309.625</v>
      </c>
    </row>
    <row r="294">
      <c r="A294" s="12" t="inlineStr">
        <is>
          <t>SVI</t>
        </is>
      </c>
      <c r="B294" s="12" t="inlineStr">
        <is>
          <t>AA4</t>
        </is>
      </c>
      <c r="C294" s="12" t="inlineStr">
        <is>
          <t>G-I-DDE30</t>
        </is>
      </c>
      <c r="D294" s="12" t="inlineStr">
        <is>
          <t>Poste fictif Zeta II</t>
        </is>
      </c>
      <c r="E294" s="12" t="inlineStr">
        <is>
          <t>PIQUAGE</t>
        </is>
      </c>
      <c r="F294" s="12" t="n">
        <v>2030</v>
      </c>
      <c r="G294" s="12" t="inlineStr">
        <is>
          <t>PIS</t>
        </is>
      </c>
      <c r="H294" s="12" t="n">
        <v>1</v>
      </c>
      <c r="I294" s="12" t="inlineStr">
        <is>
          <t>PIS</t>
        </is>
      </c>
      <c r="J294" s="12" t="inlineStr">
        <is>
          <t>G-I-DDE30</t>
        </is>
      </c>
      <c r="K294" s="12" t="inlineStr">
        <is>
          <t>G-I-DDE30-INS02</t>
        </is>
      </c>
      <c r="L294" s="12" t="inlineStr">
        <is>
          <t>Code Emprise</t>
        </is>
      </c>
      <c r="M294" s="12" t="inlineStr">
        <is>
          <t>G-I-DDE30</t>
        </is>
      </c>
      <c r="N294" s="12" t="b">
        <v>0</v>
      </c>
      <c r="O294" s="12" t="n"/>
      <c r="P294" s="12" t="n">
        <v>294</v>
      </c>
      <c r="Q294" s="12" t="n">
        <v>0</v>
      </c>
      <c r="R294" s="12" t="inlineStr">
        <is>
          <t>DEMO_PDM.xlsx</t>
        </is>
      </c>
      <c r="S294" s="24" t="n">
        <v>46309.625</v>
      </c>
    </row>
    <row r="295">
      <c r="A295" s="12" t="inlineStr">
        <is>
          <t>SVI</t>
        </is>
      </c>
      <c r="B295" s="12" t="inlineStr">
        <is>
          <t>AA4</t>
        </is>
      </c>
      <c r="C295" s="12" t="inlineStr">
        <is>
          <t>G-I-DDE30</t>
        </is>
      </c>
      <c r="D295" s="12" t="inlineStr">
        <is>
          <t>Poste fictif Zeta II</t>
        </is>
      </c>
      <c r="E295" s="12" t="inlineStr">
        <is>
          <t>PIQUAGE</t>
        </is>
      </c>
      <c r="F295" s="12" t="n">
        <v>2030</v>
      </c>
      <c r="G295" s="12" t="inlineStr">
        <is>
          <t>EC SIMPLE</t>
        </is>
      </c>
      <c r="H295" s="12" t="n">
        <v>2</v>
      </c>
      <c r="I295" s="12" t="inlineStr">
        <is>
          <t>EC Simple</t>
        </is>
      </c>
      <c r="J295" s="12" t="inlineStr">
        <is>
          <t>G-I-DDE30</t>
        </is>
      </c>
      <c r="K295" s="12" t="inlineStr">
        <is>
          <t>G-I-DDE30-INS02</t>
        </is>
      </c>
      <c r="L295" s="12" t="inlineStr">
        <is>
          <t>Code Emprise</t>
        </is>
      </c>
      <c r="M295" s="12" t="inlineStr">
        <is>
          <t>G-I-DDE30</t>
        </is>
      </c>
      <c r="N295" s="12" t="b">
        <v>0</v>
      </c>
      <c r="O295" s="12" t="n"/>
      <c r="P295" s="12" t="n">
        <v>295</v>
      </c>
      <c r="Q295" s="12" t="n">
        <v>0</v>
      </c>
      <c r="R295" s="12" t="inlineStr">
        <is>
          <t>DEMO_PDM.xlsx</t>
        </is>
      </c>
      <c r="S295" s="24" t="n">
        <v>46309.625</v>
      </c>
    </row>
    <row r="296">
      <c r="A296" s="12" t="inlineStr">
        <is>
          <t>SVI</t>
        </is>
      </c>
      <c r="B296" s="12" t="inlineStr">
        <is>
          <t>AA4</t>
        </is>
      </c>
      <c r="C296" s="12" t="inlineStr">
        <is>
          <t>G-I-DDE30</t>
        </is>
      </c>
      <c r="D296" s="12" t="inlineStr">
        <is>
          <t>Poste fictif Zeta II</t>
        </is>
      </c>
      <c r="E296" s="12" t="inlineStr">
        <is>
          <t>PIQUAGE</t>
        </is>
      </c>
      <c r="F296" s="12" t="n">
        <v>2031</v>
      </c>
      <c r="G296" s="12" t="inlineStr">
        <is>
          <t>PIS</t>
        </is>
      </c>
      <c r="H296" s="12" t="n">
        <v>1</v>
      </c>
      <c r="I296" s="12" t="inlineStr">
        <is>
          <t>PIS</t>
        </is>
      </c>
      <c r="J296" s="12" t="inlineStr">
        <is>
          <t>G-I-DDE30</t>
        </is>
      </c>
      <c r="K296" s="12" t="inlineStr">
        <is>
          <t>G-I-DDE30-INS02</t>
        </is>
      </c>
      <c r="L296" s="12" t="inlineStr">
        <is>
          <t>Code Emprise</t>
        </is>
      </c>
      <c r="M296" s="12" t="inlineStr">
        <is>
          <t>G-I-DDE30</t>
        </is>
      </c>
      <c r="N296" s="12" t="b">
        <v>0</v>
      </c>
      <c r="O296" s="12" t="n"/>
      <c r="P296" s="12" t="n">
        <v>296</v>
      </c>
      <c r="Q296" s="12" t="n">
        <v>0</v>
      </c>
      <c r="R296" s="12" t="inlineStr">
        <is>
          <t>DEMO_PDM.xlsx</t>
        </is>
      </c>
      <c r="S296" s="24" t="n">
        <v>46309.625</v>
      </c>
    </row>
    <row r="297">
      <c r="A297" s="12" t="inlineStr">
        <is>
          <t>SVI</t>
        </is>
      </c>
      <c r="B297" s="12" t="inlineStr">
        <is>
          <t>AA4</t>
        </is>
      </c>
      <c r="C297" s="12" t="inlineStr">
        <is>
          <t>G-I-DDE30</t>
        </is>
      </c>
      <c r="D297" s="12" t="inlineStr">
        <is>
          <t>Poste fictif Zeta II</t>
        </is>
      </c>
      <c r="E297" s="12" t="inlineStr">
        <is>
          <t>PIQUAGE</t>
        </is>
      </c>
      <c r="F297" s="12" t="n">
        <v>2032</v>
      </c>
      <c r="G297" s="12" t="inlineStr">
        <is>
          <t>PIS</t>
        </is>
      </c>
      <c r="H297" s="12" t="n">
        <v>1</v>
      </c>
      <c r="I297" s="12" t="inlineStr">
        <is>
          <t>PIS</t>
        </is>
      </c>
      <c r="J297" s="12" t="inlineStr">
        <is>
          <t>G-I-DDE30</t>
        </is>
      </c>
      <c r="K297" s="12" t="inlineStr">
        <is>
          <t>G-I-DDE30-INS02</t>
        </is>
      </c>
      <c r="L297" s="12" t="inlineStr">
        <is>
          <t>Code Emprise</t>
        </is>
      </c>
      <c r="M297" s="12" t="inlineStr">
        <is>
          <t>G-I-DDE30</t>
        </is>
      </c>
      <c r="N297" s="12" t="b">
        <v>0</v>
      </c>
      <c r="O297" s="12" t="n"/>
      <c r="P297" s="12" t="n">
        <v>297</v>
      </c>
      <c r="Q297" s="12" t="n">
        <v>0</v>
      </c>
      <c r="R297" s="12" t="inlineStr">
        <is>
          <t>DEMO_PDM.xlsx</t>
        </is>
      </c>
      <c r="S297" s="24" t="n">
        <v>46309.625</v>
      </c>
    </row>
    <row r="298">
      <c r="A298" s="12" t="inlineStr">
        <is>
          <t>SVI</t>
        </is>
      </c>
      <c r="B298" s="12" t="inlineStr">
        <is>
          <t>AA4</t>
        </is>
      </c>
      <c r="C298" s="12" t="inlineStr">
        <is>
          <t>G-I-DDE30</t>
        </is>
      </c>
      <c r="D298" s="12" t="inlineStr">
        <is>
          <t>Poste fictif Zeta II</t>
        </is>
      </c>
      <c r="E298" s="12" t="inlineStr">
        <is>
          <t>PIQUAGE</t>
        </is>
      </c>
      <c r="F298" s="12" t="n">
        <v>2032</v>
      </c>
      <c r="G298" s="12" t="inlineStr">
        <is>
          <t>EC SIMPLE</t>
        </is>
      </c>
      <c r="H298" s="12" t="n">
        <v>2</v>
      </c>
      <c r="I298" s="12" t="inlineStr">
        <is>
          <t>EC Simple</t>
        </is>
      </c>
      <c r="J298" s="12" t="inlineStr">
        <is>
          <t>G-I-DDE30</t>
        </is>
      </c>
      <c r="K298" s="12" t="inlineStr">
        <is>
          <t>G-I-DDE30-INS02</t>
        </is>
      </c>
      <c r="L298" s="12" t="inlineStr">
        <is>
          <t>Code Emprise</t>
        </is>
      </c>
      <c r="M298" s="12" t="inlineStr">
        <is>
          <t>G-I-DDE30</t>
        </is>
      </c>
      <c r="N298" s="12" t="b">
        <v>0</v>
      </c>
      <c r="O298" s="12" t="n"/>
      <c r="P298" s="12" t="n">
        <v>298</v>
      </c>
      <c r="Q298" s="12" t="n">
        <v>0</v>
      </c>
      <c r="R298" s="12" t="inlineStr">
        <is>
          <t>DEMO_PDM.xlsx</t>
        </is>
      </c>
      <c r="S298" s="24" t="n">
        <v>46309.625</v>
      </c>
    </row>
    <row r="299">
      <c r="A299" s="12" t="inlineStr">
        <is>
          <t>DEI</t>
        </is>
      </c>
      <c r="B299" s="12" t="inlineStr">
        <is>
          <t>AA1</t>
        </is>
      </c>
      <c r="C299" s="12" t="inlineStr">
        <is>
          <t>G-I-EEF31</t>
        </is>
      </c>
      <c r="D299" s="12" t="inlineStr">
        <is>
          <t>Poste fictif Eta II</t>
        </is>
      </c>
      <c r="E299" s="12" t="inlineStr">
        <is>
          <t>COMPTAGE</t>
        </is>
      </c>
      <c r="F299" s="12" t="n">
        <v>2026</v>
      </c>
      <c r="G299" s="12" t="inlineStr">
        <is>
          <t>PIS</t>
        </is>
      </c>
      <c r="H299" s="12" t="n">
        <v>1</v>
      </c>
      <c r="I299" s="12" t="inlineStr">
        <is>
          <t>PIS</t>
        </is>
      </c>
      <c r="J299" s="12" t="inlineStr">
        <is>
          <t>G-I-EEF31</t>
        </is>
      </c>
      <c r="K299" s="12" t="inlineStr">
        <is>
          <t>G-I-EEF31-INS03</t>
        </is>
      </c>
      <c r="L299" s="12" t="inlineStr">
        <is>
          <t>Code Emprise</t>
        </is>
      </c>
      <c r="M299" s="12" t="inlineStr">
        <is>
          <t>G-I-EEF31</t>
        </is>
      </c>
      <c r="N299" s="12" t="b">
        <v>0</v>
      </c>
      <c r="O299" s="12" t="n"/>
      <c r="P299" s="12" t="n">
        <v>299</v>
      </c>
      <c r="Q299" s="12" t="n">
        <v>0</v>
      </c>
      <c r="R299" s="12" t="inlineStr">
        <is>
          <t>DEMO_PDM.xlsx</t>
        </is>
      </c>
      <c r="S299" s="24" t="n">
        <v>46309.625</v>
      </c>
    </row>
    <row r="300">
      <c r="A300" s="12" t="inlineStr">
        <is>
          <t>DEI</t>
        </is>
      </c>
      <c r="B300" s="12" t="inlineStr">
        <is>
          <t>AA1</t>
        </is>
      </c>
      <c r="C300" s="12" t="inlineStr">
        <is>
          <t>G-I-EEF31</t>
        </is>
      </c>
      <c r="D300" s="12" t="inlineStr">
        <is>
          <t>Poste fictif Eta II</t>
        </is>
      </c>
      <c r="E300" s="12" t="inlineStr">
        <is>
          <t>COMPTAGE</t>
        </is>
      </c>
      <c r="F300" s="12" t="n">
        <v>2027</v>
      </c>
      <c r="G300" s="12" t="inlineStr">
        <is>
          <t>EC FILTRE</t>
        </is>
      </c>
      <c r="H300" s="12" t="n">
        <v>3</v>
      </c>
      <c r="I300" s="12" t="inlineStr">
        <is>
          <t>EC Filtre</t>
        </is>
      </c>
      <c r="J300" s="12" t="inlineStr">
        <is>
          <t>G-I-EEF31</t>
        </is>
      </c>
      <c r="K300" s="12" t="inlineStr">
        <is>
          <t>G-I-EEF31-INS03</t>
        </is>
      </c>
      <c r="L300" s="12" t="inlineStr">
        <is>
          <t>Code Emprise</t>
        </is>
      </c>
      <c r="M300" s="12" t="inlineStr">
        <is>
          <t>G-I-EEF31</t>
        </is>
      </c>
      <c r="N300" s="12" t="b">
        <v>0</v>
      </c>
      <c r="O300" s="12" t="n"/>
      <c r="P300" s="12" t="n">
        <v>300</v>
      </c>
      <c r="Q300" s="12" t="n">
        <v>0</v>
      </c>
      <c r="R300" s="12" t="inlineStr">
        <is>
          <t>DEMO_PDM.xlsx</t>
        </is>
      </c>
      <c r="S300" s="24" t="n">
        <v>46309.625</v>
      </c>
    </row>
    <row r="301">
      <c r="A301" s="12" t="inlineStr">
        <is>
          <t>DEI</t>
        </is>
      </c>
      <c r="B301" s="12" t="inlineStr">
        <is>
          <t>AA1</t>
        </is>
      </c>
      <c r="C301" s="12" t="inlineStr">
        <is>
          <t>G-I-EEF31</t>
        </is>
      </c>
      <c r="D301" s="12" t="inlineStr">
        <is>
          <t>Poste fictif Eta II</t>
        </is>
      </c>
      <c r="E301" s="12" t="inlineStr">
        <is>
          <t>COMPTAGE</t>
        </is>
      </c>
      <c r="F301" s="12" t="n">
        <v>2028</v>
      </c>
      <c r="G301" s="12" t="inlineStr">
        <is>
          <t>PIS</t>
        </is>
      </c>
      <c r="H301" s="12" t="n">
        <v>1</v>
      </c>
      <c r="I301" s="12" t="inlineStr">
        <is>
          <t>PIS</t>
        </is>
      </c>
      <c r="J301" s="12" t="inlineStr">
        <is>
          <t>G-I-EEF31</t>
        </is>
      </c>
      <c r="K301" s="12" t="inlineStr">
        <is>
          <t>G-I-EEF31-INS03</t>
        </is>
      </c>
      <c r="L301" s="12" t="inlineStr">
        <is>
          <t>Code Emprise</t>
        </is>
      </c>
      <c r="M301" s="12" t="inlineStr">
        <is>
          <t>G-I-EEF31</t>
        </is>
      </c>
      <c r="N301" s="12" t="b">
        <v>0</v>
      </c>
      <c r="O301" s="12" t="n"/>
      <c r="P301" s="12" t="n">
        <v>301</v>
      </c>
      <c r="Q301" s="12" t="n">
        <v>0</v>
      </c>
      <c r="R301" s="12" t="inlineStr">
        <is>
          <t>DEMO_PDM.xlsx</t>
        </is>
      </c>
      <c r="S301" s="24" t="n">
        <v>46309.625</v>
      </c>
    </row>
    <row r="302">
      <c r="A302" s="12" t="inlineStr">
        <is>
          <t>DEI</t>
        </is>
      </c>
      <c r="B302" s="12" t="inlineStr">
        <is>
          <t>AA1</t>
        </is>
      </c>
      <c r="C302" s="12" t="inlineStr">
        <is>
          <t>G-I-EEF31</t>
        </is>
      </c>
      <c r="D302" s="12" t="inlineStr">
        <is>
          <t>Poste fictif Eta II</t>
        </is>
      </c>
      <c r="E302" s="12" t="inlineStr">
        <is>
          <t>COMPTAGE</t>
        </is>
      </c>
      <c r="F302" s="12" t="n">
        <v>2029</v>
      </c>
      <c r="G302" s="12" t="inlineStr">
        <is>
          <t>EC SIMPLE</t>
        </is>
      </c>
      <c r="H302" s="12" t="n">
        <v>2</v>
      </c>
      <c r="I302" s="12" t="inlineStr">
        <is>
          <t>EC Simple</t>
        </is>
      </c>
      <c r="J302" s="12" t="inlineStr">
        <is>
          <t>G-I-EEF31</t>
        </is>
      </c>
      <c r="K302" s="12" t="inlineStr">
        <is>
          <t>G-I-EEF31-INS03</t>
        </is>
      </c>
      <c r="L302" s="12" t="inlineStr">
        <is>
          <t>Code Emprise</t>
        </is>
      </c>
      <c r="M302" s="12" t="inlineStr">
        <is>
          <t>G-I-EEF31</t>
        </is>
      </c>
      <c r="N302" s="12" t="b">
        <v>0</v>
      </c>
      <c r="O302" s="12" t="n"/>
      <c r="P302" s="12" t="n">
        <v>302</v>
      </c>
      <c r="Q302" s="12" t="n">
        <v>0</v>
      </c>
      <c r="R302" s="12" t="inlineStr">
        <is>
          <t>DEMO_PDM.xlsx</t>
        </is>
      </c>
      <c r="S302" s="24" t="n">
        <v>46309.625</v>
      </c>
    </row>
    <row r="303">
      <c r="A303" s="12" t="inlineStr">
        <is>
          <t>DEI</t>
        </is>
      </c>
      <c r="B303" s="12" t="inlineStr">
        <is>
          <t>AA1</t>
        </is>
      </c>
      <c r="C303" s="12" t="inlineStr">
        <is>
          <t>G-I-EEF31</t>
        </is>
      </c>
      <c r="D303" s="12" t="inlineStr">
        <is>
          <t>Poste fictif Eta II</t>
        </is>
      </c>
      <c r="E303" s="12" t="inlineStr">
        <is>
          <t>COMPTAGE</t>
        </is>
      </c>
      <c r="F303" s="12" t="n">
        <v>2030</v>
      </c>
      <c r="G303" s="12" t="inlineStr">
        <is>
          <t>PIS</t>
        </is>
      </c>
      <c r="H303" s="12" t="n">
        <v>1</v>
      </c>
      <c r="I303" s="12" t="inlineStr">
        <is>
          <t>PIS</t>
        </is>
      </c>
      <c r="J303" s="12" t="inlineStr">
        <is>
          <t>G-I-EEF31</t>
        </is>
      </c>
      <c r="K303" s="12" t="inlineStr">
        <is>
          <t>G-I-EEF31-INS03</t>
        </is>
      </c>
      <c r="L303" s="12" t="inlineStr">
        <is>
          <t>Code Emprise</t>
        </is>
      </c>
      <c r="M303" s="12" t="inlineStr">
        <is>
          <t>G-I-EEF31</t>
        </is>
      </c>
      <c r="N303" s="12" t="b">
        <v>0</v>
      </c>
      <c r="O303" s="12" t="n"/>
      <c r="P303" s="12" t="n">
        <v>303</v>
      </c>
      <c r="Q303" s="12" t="n">
        <v>0</v>
      </c>
      <c r="R303" s="12" t="inlineStr">
        <is>
          <t>DEMO_PDM.xlsx</t>
        </is>
      </c>
      <c r="S303" s="24" t="n">
        <v>46309.625</v>
      </c>
    </row>
    <row r="304">
      <c r="A304" s="12" t="inlineStr">
        <is>
          <t>DEI</t>
        </is>
      </c>
      <c r="B304" s="12" t="inlineStr">
        <is>
          <t>AA1</t>
        </is>
      </c>
      <c r="C304" s="12" t="inlineStr">
        <is>
          <t>G-I-EEF31</t>
        </is>
      </c>
      <c r="D304" s="12" t="inlineStr">
        <is>
          <t>Poste fictif Eta II</t>
        </is>
      </c>
      <c r="E304" s="12" t="inlineStr">
        <is>
          <t>COMPTAGE</t>
        </is>
      </c>
      <c r="F304" s="12" t="n">
        <v>2031</v>
      </c>
      <c r="G304" s="12" t="inlineStr">
        <is>
          <t>EC FILTRE</t>
        </is>
      </c>
      <c r="H304" s="12" t="n">
        <v>3</v>
      </c>
      <c r="I304" s="12" t="inlineStr">
        <is>
          <t>EC Filtre</t>
        </is>
      </c>
      <c r="J304" s="12" t="inlineStr">
        <is>
          <t>G-I-EEF31</t>
        </is>
      </c>
      <c r="K304" s="12" t="inlineStr">
        <is>
          <t>G-I-EEF31-INS03</t>
        </is>
      </c>
      <c r="L304" s="12" t="inlineStr">
        <is>
          <t>Code Emprise</t>
        </is>
      </c>
      <c r="M304" s="12" t="inlineStr">
        <is>
          <t>G-I-EEF31</t>
        </is>
      </c>
      <c r="N304" s="12" t="b">
        <v>0</v>
      </c>
      <c r="O304" s="12" t="n"/>
      <c r="P304" s="12" t="n">
        <v>304</v>
      </c>
      <c r="Q304" s="12" t="n">
        <v>0</v>
      </c>
      <c r="R304" s="12" t="inlineStr">
        <is>
          <t>DEMO_PDM.xlsx</t>
        </is>
      </c>
      <c r="S304" s="24" t="n">
        <v>46309.625</v>
      </c>
    </row>
    <row r="305">
      <c r="A305" s="12" t="inlineStr">
        <is>
          <t>DEI</t>
        </is>
      </c>
      <c r="B305" s="12" t="inlineStr">
        <is>
          <t>AA1</t>
        </is>
      </c>
      <c r="C305" s="12" t="inlineStr">
        <is>
          <t>G-I-EEF31</t>
        </is>
      </c>
      <c r="D305" s="12" t="inlineStr">
        <is>
          <t>Poste fictif Eta II</t>
        </is>
      </c>
      <c r="E305" s="12" t="inlineStr">
        <is>
          <t>COMPTAGE</t>
        </is>
      </c>
      <c r="F305" s="12" t="n">
        <v>2031</v>
      </c>
      <c r="G305" s="12" t="inlineStr">
        <is>
          <t>REVISION</t>
        </is>
      </c>
      <c r="H305" s="12" t="n">
        <v>4</v>
      </c>
      <c r="I305" s="12" t="inlineStr">
        <is>
          <t>Révision</t>
        </is>
      </c>
      <c r="J305" s="12" t="inlineStr">
        <is>
          <t>G-I-EEF31</t>
        </is>
      </c>
      <c r="K305" s="12" t="inlineStr">
        <is>
          <t>G-I-EEF31-INS03</t>
        </is>
      </c>
      <c r="L305" s="12" t="inlineStr">
        <is>
          <t>Code Emprise</t>
        </is>
      </c>
      <c r="M305" s="12" t="inlineStr">
        <is>
          <t>G-I-EEF31</t>
        </is>
      </c>
      <c r="N305" s="12" t="b">
        <v>0</v>
      </c>
      <c r="O305" s="12" t="n"/>
      <c r="P305" s="12" t="n">
        <v>305</v>
      </c>
      <c r="Q305" s="12" t="n">
        <v>0</v>
      </c>
      <c r="R305" s="12" t="inlineStr">
        <is>
          <t>DEMO_PDM.xlsx</t>
        </is>
      </c>
      <c r="S305" s="24" t="n">
        <v>46309.625</v>
      </c>
    </row>
    <row r="306">
      <c r="A306" s="12" t="inlineStr">
        <is>
          <t>DEI</t>
        </is>
      </c>
      <c r="B306" s="12" t="inlineStr">
        <is>
          <t>AA1</t>
        </is>
      </c>
      <c r="C306" s="12" t="inlineStr">
        <is>
          <t>G-I-EEF31</t>
        </is>
      </c>
      <c r="D306" s="12" t="inlineStr">
        <is>
          <t>Poste fictif Eta II</t>
        </is>
      </c>
      <c r="E306" s="12" t="inlineStr">
        <is>
          <t>COMPTAGE</t>
        </is>
      </c>
      <c r="F306" s="12" t="n">
        <v>2032</v>
      </c>
      <c r="G306" s="12" t="inlineStr">
        <is>
          <t>PIS</t>
        </is>
      </c>
      <c r="H306" s="12" t="n">
        <v>1</v>
      </c>
      <c r="I306" s="12" t="inlineStr">
        <is>
          <t>PIS</t>
        </is>
      </c>
      <c r="J306" s="12" t="inlineStr">
        <is>
          <t>G-I-EEF31</t>
        </is>
      </c>
      <c r="K306" s="12" t="inlineStr">
        <is>
          <t>G-I-EEF31-INS03</t>
        </is>
      </c>
      <c r="L306" s="12" t="inlineStr">
        <is>
          <t>Code Emprise</t>
        </is>
      </c>
      <c r="M306" s="12" t="inlineStr">
        <is>
          <t>G-I-EEF31</t>
        </is>
      </c>
      <c r="N306" s="12" t="b">
        <v>0</v>
      </c>
      <c r="O306" s="12" t="n"/>
      <c r="P306" s="12" t="n">
        <v>306</v>
      </c>
      <c r="Q306" s="12" t="n">
        <v>0</v>
      </c>
      <c r="R306" s="12" t="inlineStr">
        <is>
          <t>DEMO_PDM.xlsx</t>
        </is>
      </c>
      <c r="S306" s="24" t="n">
        <v>46309.625</v>
      </c>
    </row>
    <row r="307">
      <c r="A307" s="12" t="inlineStr">
        <is>
          <t>VRS</t>
        </is>
      </c>
      <c r="B307" s="12" t="inlineStr">
        <is>
          <t>AA3</t>
        </is>
      </c>
      <c r="C307" s="12" t="inlineStr">
        <is>
          <t>G-I-FFG32</t>
        </is>
      </c>
      <c r="D307" s="12" t="inlineStr">
        <is>
          <t>Poste fictif Theta II</t>
        </is>
      </c>
      <c r="E307" s="12" t="inlineStr">
        <is>
          <t>PIQUAGE</t>
        </is>
      </c>
      <c r="F307" s="12" t="n">
        <v>2026</v>
      </c>
      <c r="G307" s="12" t="inlineStr">
        <is>
          <t>PIS</t>
        </is>
      </c>
      <c r="H307" s="12" t="n">
        <v>1</v>
      </c>
      <c r="I307" s="12" t="inlineStr">
        <is>
          <t>PIS</t>
        </is>
      </c>
      <c r="J307" s="12" t="inlineStr">
        <is>
          <t>G-I-FFG32</t>
        </is>
      </c>
      <c r="K307" s="12" t="inlineStr">
        <is>
          <t>G-I-FFG32-INS04</t>
        </is>
      </c>
      <c r="L307" s="12" t="inlineStr">
        <is>
          <t>Code Emprise</t>
        </is>
      </c>
      <c r="M307" s="12" t="inlineStr">
        <is>
          <t>G-I-FFG32</t>
        </is>
      </c>
      <c r="N307" s="12" t="b">
        <v>0</v>
      </c>
      <c r="O307" s="12" t="n"/>
      <c r="P307" s="12" t="n">
        <v>307</v>
      </c>
      <c r="Q307" s="12" t="n">
        <v>0</v>
      </c>
      <c r="R307" s="12" t="inlineStr">
        <is>
          <t>DEMO_PDM.xlsx</t>
        </is>
      </c>
      <c r="S307" s="24" t="n">
        <v>46309.625</v>
      </c>
    </row>
    <row r="308">
      <c r="A308" s="12" t="inlineStr">
        <is>
          <t>VRS</t>
        </is>
      </c>
      <c r="B308" s="12" t="inlineStr">
        <is>
          <t>AA3</t>
        </is>
      </c>
      <c r="C308" s="12" t="inlineStr">
        <is>
          <t>G-I-FFG32</t>
        </is>
      </c>
      <c r="D308" s="12" t="inlineStr">
        <is>
          <t>Poste fictif Theta II</t>
        </is>
      </c>
      <c r="E308" s="12" t="inlineStr">
        <is>
          <t>PIQUAGE</t>
        </is>
      </c>
      <c r="F308" s="12" t="n">
        <v>2027</v>
      </c>
      <c r="G308" s="12" t="inlineStr">
        <is>
          <t>PIS</t>
        </is>
      </c>
      <c r="H308" s="12" t="n">
        <v>1</v>
      </c>
      <c r="I308" s="12" t="inlineStr">
        <is>
          <t>PIS</t>
        </is>
      </c>
      <c r="J308" s="12" t="inlineStr">
        <is>
          <t>G-I-FFG32</t>
        </is>
      </c>
      <c r="K308" s="12" t="inlineStr">
        <is>
          <t>G-I-FFG32-INS04</t>
        </is>
      </c>
      <c r="L308" s="12" t="inlineStr">
        <is>
          <t>Code Emprise</t>
        </is>
      </c>
      <c r="M308" s="12" t="inlineStr">
        <is>
          <t>G-I-FFG32</t>
        </is>
      </c>
      <c r="N308" s="12" t="b">
        <v>0</v>
      </c>
      <c r="O308" s="12" t="n"/>
      <c r="P308" s="12" t="n">
        <v>308</v>
      </c>
      <c r="Q308" s="12" t="n">
        <v>0</v>
      </c>
      <c r="R308" s="12" t="inlineStr">
        <is>
          <t>DEMO_PDM.xlsx</t>
        </is>
      </c>
      <c r="S308" s="24" t="n">
        <v>46309.625</v>
      </c>
    </row>
    <row r="309">
      <c r="A309" s="12" t="inlineStr">
        <is>
          <t>VRS</t>
        </is>
      </c>
      <c r="B309" s="12" t="inlineStr">
        <is>
          <t>AA3</t>
        </is>
      </c>
      <c r="C309" s="12" t="inlineStr">
        <is>
          <t>G-I-FFG32</t>
        </is>
      </c>
      <c r="D309" s="12" t="inlineStr">
        <is>
          <t>Poste fictif Theta II</t>
        </is>
      </c>
      <c r="E309" s="12" t="inlineStr">
        <is>
          <t>PIQUAGE</t>
        </is>
      </c>
      <c r="F309" s="12" t="n">
        <v>2027</v>
      </c>
      <c r="G309" s="12" t="inlineStr">
        <is>
          <t>EC SIMPLE</t>
        </is>
      </c>
      <c r="H309" s="12" t="n">
        <v>2</v>
      </c>
      <c r="I309" s="12" t="inlineStr">
        <is>
          <t>EC Simple</t>
        </is>
      </c>
      <c r="J309" s="12" t="inlineStr">
        <is>
          <t>G-I-FFG32</t>
        </is>
      </c>
      <c r="K309" s="12" t="inlineStr">
        <is>
          <t>G-I-FFG32-INS04</t>
        </is>
      </c>
      <c r="L309" s="12" t="inlineStr">
        <is>
          <t>Code Emprise</t>
        </is>
      </c>
      <c r="M309" s="12" t="inlineStr">
        <is>
          <t>G-I-FFG32</t>
        </is>
      </c>
      <c r="N309" s="12" t="b">
        <v>0</v>
      </c>
      <c r="O309" s="12" t="n"/>
      <c r="P309" s="12" t="n">
        <v>309</v>
      </c>
      <c r="Q309" s="12" t="n">
        <v>0</v>
      </c>
      <c r="R309" s="12" t="inlineStr">
        <is>
          <t>DEMO_PDM.xlsx</t>
        </is>
      </c>
      <c r="S309" s="24" t="n">
        <v>46309.625</v>
      </c>
    </row>
    <row r="310">
      <c r="A310" s="12" t="inlineStr">
        <is>
          <t>VRS</t>
        </is>
      </c>
      <c r="B310" s="12" t="inlineStr">
        <is>
          <t>AA3</t>
        </is>
      </c>
      <c r="C310" s="12" t="inlineStr">
        <is>
          <t>G-I-FFG32</t>
        </is>
      </c>
      <c r="D310" s="12" t="inlineStr">
        <is>
          <t>Poste fictif Theta II</t>
        </is>
      </c>
      <c r="E310" s="12" t="inlineStr">
        <is>
          <t>PIQUAGE</t>
        </is>
      </c>
      <c r="F310" s="12" t="n">
        <v>2028</v>
      </c>
      <c r="G310" s="12" t="inlineStr">
        <is>
          <t>PIS</t>
        </is>
      </c>
      <c r="H310" s="12" t="n">
        <v>1</v>
      </c>
      <c r="I310" s="12" t="inlineStr">
        <is>
          <t>PIS</t>
        </is>
      </c>
      <c r="J310" s="12" t="inlineStr">
        <is>
          <t>G-I-FFG32</t>
        </is>
      </c>
      <c r="K310" s="12" t="inlineStr">
        <is>
          <t>G-I-FFG32-INS04</t>
        </is>
      </c>
      <c r="L310" s="12" t="inlineStr">
        <is>
          <t>Code Emprise</t>
        </is>
      </c>
      <c r="M310" s="12" t="inlineStr">
        <is>
          <t>G-I-FFG32</t>
        </is>
      </c>
      <c r="N310" s="12" t="b">
        <v>0</v>
      </c>
      <c r="O310" s="12" t="n"/>
      <c r="P310" s="12" t="n">
        <v>310</v>
      </c>
      <c r="Q310" s="12" t="n">
        <v>0</v>
      </c>
      <c r="R310" s="12" t="inlineStr">
        <is>
          <t>DEMO_PDM.xlsx</t>
        </is>
      </c>
      <c r="S310" s="24" t="n">
        <v>46309.625</v>
      </c>
    </row>
    <row r="311">
      <c r="A311" s="12" t="inlineStr">
        <is>
          <t>VRS</t>
        </is>
      </c>
      <c r="B311" s="12" t="inlineStr">
        <is>
          <t>AA3</t>
        </is>
      </c>
      <c r="C311" s="12" t="inlineStr">
        <is>
          <t>G-I-FFG32</t>
        </is>
      </c>
      <c r="D311" s="12" t="inlineStr">
        <is>
          <t>Poste fictif Theta II</t>
        </is>
      </c>
      <c r="E311" s="12" t="inlineStr">
        <is>
          <t>PIQUAGE</t>
        </is>
      </c>
      <c r="F311" s="12" t="n">
        <v>2029</v>
      </c>
      <c r="G311" s="12" t="inlineStr">
        <is>
          <t>PIS</t>
        </is>
      </c>
      <c r="H311" s="12" t="n">
        <v>1</v>
      </c>
      <c r="I311" s="12" t="inlineStr">
        <is>
          <t>PIS</t>
        </is>
      </c>
      <c r="J311" s="12" t="inlineStr">
        <is>
          <t>G-I-FFG32</t>
        </is>
      </c>
      <c r="K311" s="12" t="inlineStr">
        <is>
          <t>G-I-FFG32-INS04</t>
        </is>
      </c>
      <c r="L311" s="12" t="inlineStr">
        <is>
          <t>Code Emprise</t>
        </is>
      </c>
      <c r="M311" s="12" t="inlineStr">
        <is>
          <t>G-I-FFG32</t>
        </is>
      </c>
      <c r="N311" s="12" t="b">
        <v>0</v>
      </c>
      <c r="O311" s="12" t="n"/>
      <c r="P311" s="12" t="n">
        <v>311</v>
      </c>
      <c r="Q311" s="12" t="n">
        <v>0</v>
      </c>
      <c r="R311" s="12" t="inlineStr">
        <is>
          <t>DEMO_PDM.xlsx</t>
        </is>
      </c>
      <c r="S311" s="24" t="n">
        <v>46309.625</v>
      </c>
    </row>
    <row r="312">
      <c r="A312" s="12" t="inlineStr">
        <is>
          <t>VRS</t>
        </is>
      </c>
      <c r="B312" s="12" t="inlineStr">
        <is>
          <t>AA3</t>
        </is>
      </c>
      <c r="C312" s="12" t="inlineStr">
        <is>
          <t>G-I-FFG32</t>
        </is>
      </c>
      <c r="D312" s="12" t="inlineStr">
        <is>
          <t>Poste fictif Theta II</t>
        </is>
      </c>
      <c r="E312" s="12" t="inlineStr">
        <is>
          <t>PIQUAGE</t>
        </is>
      </c>
      <c r="F312" s="12" t="n">
        <v>2029</v>
      </c>
      <c r="G312" s="12" t="inlineStr">
        <is>
          <t>EC SIMPLE</t>
        </is>
      </c>
      <c r="H312" s="12" t="n">
        <v>2</v>
      </c>
      <c r="I312" s="12" t="inlineStr">
        <is>
          <t>EC Simple</t>
        </is>
      </c>
      <c r="J312" s="12" t="inlineStr">
        <is>
          <t>G-I-FFG32</t>
        </is>
      </c>
      <c r="K312" s="12" t="inlineStr">
        <is>
          <t>G-I-FFG32-INS04</t>
        </is>
      </c>
      <c r="L312" s="12" t="inlineStr">
        <is>
          <t>Code Emprise</t>
        </is>
      </c>
      <c r="M312" s="12" t="inlineStr">
        <is>
          <t>G-I-FFG32</t>
        </is>
      </c>
      <c r="N312" s="12" t="b">
        <v>0</v>
      </c>
      <c r="O312" s="12" t="n"/>
      <c r="P312" s="12" t="n">
        <v>312</v>
      </c>
      <c r="Q312" s="12" t="n">
        <v>0</v>
      </c>
      <c r="R312" s="12" t="inlineStr">
        <is>
          <t>DEMO_PDM.xlsx</t>
        </is>
      </c>
      <c r="S312" s="24" t="n">
        <v>46309.625</v>
      </c>
    </row>
    <row r="313">
      <c r="A313" s="12" t="inlineStr">
        <is>
          <t>VRS</t>
        </is>
      </c>
      <c r="B313" s="12" t="inlineStr">
        <is>
          <t>AA3</t>
        </is>
      </c>
      <c r="C313" s="12" t="inlineStr">
        <is>
          <t>G-I-FFG32</t>
        </is>
      </c>
      <c r="D313" s="12" t="inlineStr">
        <is>
          <t>Poste fictif Theta II</t>
        </is>
      </c>
      <c r="E313" s="12" t="inlineStr">
        <is>
          <t>PIQUAGE</t>
        </is>
      </c>
      <c r="F313" s="12" t="n">
        <v>2030</v>
      </c>
      <c r="G313" s="12" t="inlineStr">
        <is>
          <t>PIS</t>
        </is>
      </c>
      <c r="H313" s="12" t="n">
        <v>1</v>
      </c>
      <c r="I313" s="12" t="inlineStr">
        <is>
          <t>PIS</t>
        </is>
      </c>
      <c r="J313" s="12" t="inlineStr">
        <is>
          <t>G-I-FFG32</t>
        </is>
      </c>
      <c r="K313" s="12" t="inlineStr">
        <is>
          <t>G-I-FFG32-INS04</t>
        </is>
      </c>
      <c r="L313" s="12" t="inlineStr">
        <is>
          <t>Code Emprise</t>
        </is>
      </c>
      <c r="M313" s="12" t="inlineStr">
        <is>
          <t>G-I-FFG32</t>
        </is>
      </c>
      <c r="N313" s="12" t="b">
        <v>0</v>
      </c>
      <c r="O313" s="12" t="n"/>
      <c r="P313" s="12" t="n">
        <v>313</v>
      </c>
      <c r="Q313" s="12" t="n">
        <v>0</v>
      </c>
      <c r="R313" s="12" t="inlineStr">
        <is>
          <t>DEMO_PDM.xlsx</t>
        </is>
      </c>
      <c r="S313" s="24" t="n">
        <v>46309.625</v>
      </c>
    </row>
    <row r="314">
      <c r="A314" s="12" t="inlineStr">
        <is>
          <t>VRS</t>
        </is>
      </c>
      <c r="B314" s="12" t="inlineStr">
        <is>
          <t>AA3</t>
        </is>
      </c>
      <c r="C314" s="12" t="inlineStr">
        <is>
          <t>G-I-FFG32</t>
        </is>
      </c>
      <c r="D314" s="12" t="inlineStr">
        <is>
          <t>Poste fictif Theta II</t>
        </is>
      </c>
      <c r="E314" s="12" t="inlineStr">
        <is>
          <t>PIQUAGE</t>
        </is>
      </c>
      <c r="F314" s="12" t="n">
        <v>2031</v>
      </c>
      <c r="G314" s="12" t="inlineStr">
        <is>
          <t>PIS</t>
        </is>
      </c>
      <c r="H314" s="12" t="n">
        <v>1</v>
      </c>
      <c r="I314" s="12" t="inlineStr">
        <is>
          <t>PIS</t>
        </is>
      </c>
      <c r="J314" s="12" t="inlineStr">
        <is>
          <t>G-I-FFG32</t>
        </is>
      </c>
      <c r="K314" s="12" t="inlineStr">
        <is>
          <t>G-I-FFG32-INS04</t>
        </is>
      </c>
      <c r="L314" s="12" t="inlineStr">
        <is>
          <t>Code Emprise</t>
        </is>
      </c>
      <c r="M314" s="12" t="inlineStr">
        <is>
          <t>G-I-FFG32</t>
        </is>
      </c>
      <c r="N314" s="12" t="b">
        <v>0</v>
      </c>
      <c r="O314" s="12" t="n"/>
      <c r="P314" s="12" t="n">
        <v>314</v>
      </c>
      <c r="Q314" s="12" t="n">
        <v>0</v>
      </c>
      <c r="R314" s="12" t="inlineStr">
        <is>
          <t>DEMO_PDM.xlsx</t>
        </is>
      </c>
      <c r="S314" s="24" t="n">
        <v>46309.625</v>
      </c>
    </row>
    <row r="315">
      <c r="A315" s="12" t="inlineStr">
        <is>
          <t>VRS</t>
        </is>
      </c>
      <c r="B315" s="12" t="inlineStr">
        <is>
          <t>AA3</t>
        </is>
      </c>
      <c r="C315" s="12" t="inlineStr">
        <is>
          <t>G-I-FFG32</t>
        </is>
      </c>
      <c r="D315" s="12" t="inlineStr">
        <is>
          <t>Poste fictif Theta II</t>
        </is>
      </c>
      <c r="E315" s="12" t="inlineStr">
        <is>
          <t>PIQUAGE</t>
        </is>
      </c>
      <c r="F315" s="12" t="n">
        <v>2031</v>
      </c>
      <c r="G315" s="12" t="inlineStr">
        <is>
          <t>EC SIMPLE</t>
        </is>
      </c>
      <c r="H315" s="12" t="n">
        <v>2</v>
      </c>
      <c r="I315" s="12" t="inlineStr">
        <is>
          <t>EC Simple</t>
        </is>
      </c>
      <c r="J315" s="12" t="inlineStr">
        <is>
          <t>G-I-FFG32</t>
        </is>
      </c>
      <c r="K315" s="12" t="inlineStr">
        <is>
          <t>G-I-FFG32-INS04</t>
        </is>
      </c>
      <c r="L315" s="12" t="inlineStr">
        <is>
          <t>Code Emprise</t>
        </is>
      </c>
      <c r="M315" s="12" t="inlineStr">
        <is>
          <t>G-I-FFG32</t>
        </is>
      </c>
      <c r="N315" s="12" t="b">
        <v>0</v>
      </c>
      <c r="O315" s="12" t="n"/>
      <c r="P315" s="12" t="n">
        <v>315</v>
      </c>
      <c r="Q315" s="12" t="n">
        <v>0</v>
      </c>
      <c r="R315" s="12" t="inlineStr">
        <is>
          <t>DEMO_PDM.xlsx</t>
        </is>
      </c>
      <c r="S315" s="24" t="n">
        <v>46309.625</v>
      </c>
    </row>
    <row r="316">
      <c r="A316" s="12" t="inlineStr">
        <is>
          <t>VRS</t>
        </is>
      </c>
      <c r="B316" s="12" t="inlineStr">
        <is>
          <t>AA3</t>
        </is>
      </c>
      <c r="C316" s="12" t="inlineStr">
        <is>
          <t>G-I-FFG32</t>
        </is>
      </c>
      <c r="D316" s="12" t="inlineStr">
        <is>
          <t>Poste fictif Theta II</t>
        </is>
      </c>
      <c r="E316" s="12" t="inlineStr">
        <is>
          <t>PIQUAGE</t>
        </is>
      </c>
      <c r="F316" s="12" t="n">
        <v>2031</v>
      </c>
      <c r="G316" s="12" t="inlineStr">
        <is>
          <t>REVISION</t>
        </is>
      </c>
      <c r="H316" s="12" t="n">
        <v>4</v>
      </c>
      <c r="I316" s="12" t="inlineStr">
        <is>
          <t>Révision</t>
        </is>
      </c>
      <c r="J316" s="12" t="inlineStr">
        <is>
          <t>G-I-FFG32</t>
        </is>
      </c>
      <c r="K316" s="12" t="inlineStr">
        <is>
          <t>G-I-FFG32-INS04</t>
        </is>
      </c>
      <c r="L316" s="12" t="inlineStr">
        <is>
          <t>Code Emprise</t>
        </is>
      </c>
      <c r="M316" s="12" t="inlineStr">
        <is>
          <t>G-I-FFG32</t>
        </is>
      </c>
      <c r="N316" s="12" t="b">
        <v>0</v>
      </c>
      <c r="O316" s="12" t="n"/>
      <c r="P316" s="12" t="n">
        <v>316</v>
      </c>
      <c r="Q316" s="12" t="n">
        <v>0</v>
      </c>
      <c r="R316" s="12" t="inlineStr">
        <is>
          <t>DEMO_PDM.xlsx</t>
        </is>
      </c>
      <c r="S316" s="24" t="n">
        <v>46309.625</v>
      </c>
    </row>
    <row r="317">
      <c r="A317" s="12" t="inlineStr">
        <is>
          <t>VRS</t>
        </is>
      </c>
      <c r="B317" s="12" t="inlineStr">
        <is>
          <t>AA3</t>
        </is>
      </c>
      <c r="C317" s="12" t="inlineStr">
        <is>
          <t>G-I-FFG32</t>
        </is>
      </c>
      <c r="D317" s="12" t="inlineStr">
        <is>
          <t>Poste fictif Theta II</t>
        </is>
      </c>
      <c r="E317" s="12" t="inlineStr">
        <is>
          <t>PIQUAGE</t>
        </is>
      </c>
      <c r="F317" s="12" t="n">
        <v>2032</v>
      </c>
      <c r="G317" s="12" t="inlineStr">
        <is>
          <t>PIS</t>
        </is>
      </c>
      <c r="H317" s="12" t="n">
        <v>1</v>
      </c>
      <c r="I317" s="12" t="inlineStr">
        <is>
          <t>PIS</t>
        </is>
      </c>
      <c r="J317" s="12" t="inlineStr">
        <is>
          <t>G-I-FFG32</t>
        </is>
      </c>
      <c r="K317" s="12" t="inlineStr">
        <is>
          <t>G-I-FFG32-INS04</t>
        </is>
      </c>
      <c r="L317" s="12" t="inlineStr">
        <is>
          <t>Code Emprise</t>
        </is>
      </c>
      <c r="M317" s="12" t="inlineStr">
        <is>
          <t>G-I-FFG32</t>
        </is>
      </c>
      <c r="N317" s="12" t="b">
        <v>0</v>
      </c>
      <c r="O317" s="12" t="n"/>
      <c r="P317" s="12" t="n">
        <v>317</v>
      </c>
      <c r="Q317" s="12" t="n">
        <v>0</v>
      </c>
      <c r="R317" s="12" t="inlineStr">
        <is>
          <t>DEMO_PDM.xlsx</t>
        </is>
      </c>
      <c r="S317" s="24" t="n">
        <v>46309.625</v>
      </c>
    </row>
    <row r="318">
      <c r="A318" s="12" t="inlineStr">
        <is>
          <t>SET</t>
        </is>
      </c>
      <c r="B318" s="12" t="inlineStr">
        <is>
          <t>AA3</t>
        </is>
      </c>
      <c r="C318" s="12" t="inlineStr">
        <is>
          <t>G-I-GGH33</t>
        </is>
      </c>
      <c r="D318" s="12" t="inlineStr">
        <is>
          <t>Poste fictif Iota II</t>
        </is>
      </c>
      <c r="E318" s="12" t="inlineStr">
        <is>
          <t>DETENTE</t>
        </is>
      </c>
      <c r="F318" s="12" t="n">
        <v>2026</v>
      </c>
      <c r="G318" s="12" t="inlineStr">
        <is>
          <t>REVISION</t>
        </is>
      </c>
      <c r="H318" s="12" t="n">
        <v>4</v>
      </c>
      <c r="I318" s="12" t="inlineStr">
        <is>
          <t>Révision</t>
        </is>
      </c>
      <c r="J318" s="12" t="inlineStr">
        <is>
          <t>G-I-GGH33</t>
        </is>
      </c>
      <c r="K318" s="12" t="inlineStr">
        <is>
          <t>G-I-GGH33-INS05</t>
        </is>
      </c>
      <c r="L318" s="12" t="inlineStr">
        <is>
          <t>Code Emprise</t>
        </is>
      </c>
      <c r="M318" s="12" t="inlineStr">
        <is>
          <t>G-I-GGH33</t>
        </is>
      </c>
      <c r="N318" s="12" t="b">
        <v>0</v>
      </c>
      <c r="O318" s="12" t="n"/>
      <c r="P318" s="12" t="n">
        <v>318</v>
      </c>
      <c r="Q318" s="12" t="n">
        <v>0</v>
      </c>
      <c r="R318" s="12" t="inlineStr">
        <is>
          <t>DEMO_PDM.xlsx</t>
        </is>
      </c>
      <c r="S318" s="24" t="n">
        <v>46309.625</v>
      </c>
    </row>
    <row r="319">
      <c r="A319" s="12" t="inlineStr">
        <is>
          <t>SET</t>
        </is>
      </c>
      <c r="B319" s="12" t="inlineStr">
        <is>
          <t>AA3</t>
        </is>
      </c>
      <c r="C319" s="12" t="inlineStr">
        <is>
          <t>G-I-GGH33</t>
        </is>
      </c>
      <c r="D319" s="12" t="inlineStr">
        <is>
          <t>Poste fictif Iota II</t>
        </is>
      </c>
      <c r="E319" s="12" t="inlineStr">
        <is>
          <t>DETENTE</t>
        </is>
      </c>
      <c r="F319" s="12" t="n">
        <v>2027</v>
      </c>
      <c r="G319" s="12" t="inlineStr">
        <is>
          <t>PIS</t>
        </is>
      </c>
      <c r="H319" s="12" t="n">
        <v>1</v>
      </c>
      <c r="I319" s="12" t="inlineStr">
        <is>
          <t>PIS</t>
        </is>
      </c>
      <c r="J319" s="12" t="inlineStr">
        <is>
          <t>G-I-GGH33</t>
        </is>
      </c>
      <c r="K319" s="12" t="inlineStr">
        <is>
          <t>G-I-GGH33-INS05</t>
        </is>
      </c>
      <c r="L319" s="12" t="inlineStr">
        <is>
          <t>Code Emprise</t>
        </is>
      </c>
      <c r="M319" s="12" t="inlineStr">
        <is>
          <t>G-I-GGH33</t>
        </is>
      </c>
      <c r="N319" s="12" t="b">
        <v>0</v>
      </c>
      <c r="O319" s="12" t="n"/>
      <c r="P319" s="12" t="n">
        <v>319</v>
      </c>
      <c r="Q319" s="12" t="n">
        <v>0</v>
      </c>
      <c r="R319" s="12" t="inlineStr">
        <is>
          <t>DEMO_PDM.xlsx</t>
        </is>
      </c>
      <c r="S319" s="24" t="n">
        <v>46309.625</v>
      </c>
    </row>
    <row r="320">
      <c r="A320" s="12" t="inlineStr">
        <is>
          <t>SET</t>
        </is>
      </c>
      <c r="B320" s="12" t="inlineStr">
        <is>
          <t>AA3</t>
        </is>
      </c>
      <c r="C320" s="12" t="inlineStr">
        <is>
          <t>G-I-GGH33</t>
        </is>
      </c>
      <c r="D320" s="12" t="inlineStr">
        <is>
          <t>Poste fictif Iota II</t>
        </is>
      </c>
      <c r="E320" s="12" t="inlineStr">
        <is>
          <t>DETENTE</t>
        </is>
      </c>
      <c r="F320" s="12" t="n">
        <v>2027</v>
      </c>
      <c r="G320" s="12" t="inlineStr">
        <is>
          <t>EC SIMPLE</t>
        </is>
      </c>
      <c r="H320" s="12" t="n">
        <v>2</v>
      </c>
      <c r="I320" s="12" t="inlineStr">
        <is>
          <t>EC Simple</t>
        </is>
      </c>
      <c r="J320" s="12" t="inlineStr">
        <is>
          <t>G-I-GGH33</t>
        </is>
      </c>
      <c r="K320" s="12" t="inlineStr">
        <is>
          <t>G-I-GGH33-INS05</t>
        </is>
      </c>
      <c r="L320" s="12" t="inlineStr">
        <is>
          <t>Code Emprise</t>
        </is>
      </c>
      <c r="M320" s="12" t="inlineStr">
        <is>
          <t>G-I-GGH33</t>
        </is>
      </c>
      <c r="N320" s="12" t="b">
        <v>0</v>
      </c>
      <c r="O320" s="12" t="n"/>
      <c r="P320" s="12" t="n">
        <v>320</v>
      </c>
      <c r="Q320" s="12" t="n">
        <v>0</v>
      </c>
      <c r="R320" s="12" t="inlineStr">
        <is>
          <t>DEMO_PDM.xlsx</t>
        </is>
      </c>
      <c r="S320" s="24" t="n">
        <v>46309.625</v>
      </c>
    </row>
    <row r="321">
      <c r="A321" s="12" t="inlineStr">
        <is>
          <t>SET</t>
        </is>
      </c>
      <c r="B321" s="12" t="inlineStr">
        <is>
          <t>AA3</t>
        </is>
      </c>
      <c r="C321" s="12" t="inlineStr">
        <is>
          <t>G-I-GGH33</t>
        </is>
      </c>
      <c r="D321" s="12" t="inlineStr">
        <is>
          <t>Poste fictif Iota II</t>
        </is>
      </c>
      <c r="E321" s="12" t="inlineStr">
        <is>
          <t>DETENTE</t>
        </is>
      </c>
      <c r="F321" s="12" t="n">
        <v>2028</v>
      </c>
      <c r="G321" s="12" t="inlineStr">
        <is>
          <t>PIS</t>
        </is>
      </c>
      <c r="H321" s="12" t="n">
        <v>1</v>
      </c>
      <c r="I321" s="12" t="inlineStr">
        <is>
          <t>PIS</t>
        </is>
      </c>
      <c r="J321" s="12" t="inlineStr">
        <is>
          <t>G-I-GGH33</t>
        </is>
      </c>
      <c r="K321" s="12" t="inlineStr">
        <is>
          <t>G-I-GGH33-INS05</t>
        </is>
      </c>
      <c r="L321" s="12" t="inlineStr">
        <is>
          <t>Code Emprise</t>
        </is>
      </c>
      <c r="M321" s="12" t="inlineStr">
        <is>
          <t>G-I-GGH33</t>
        </is>
      </c>
      <c r="N321" s="12" t="b">
        <v>0</v>
      </c>
      <c r="O321" s="12" t="n"/>
      <c r="P321" s="12" t="n">
        <v>321</v>
      </c>
      <c r="Q321" s="12" t="n">
        <v>0</v>
      </c>
      <c r="R321" s="12" t="inlineStr">
        <is>
          <t>DEMO_PDM.xlsx</t>
        </is>
      </c>
      <c r="S321" s="24" t="n">
        <v>46309.625</v>
      </c>
    </row>
    <row r="322">
      <c r="A322" s="12" t="inlineStr">
        <is>
          <t>SET</t>
        </is>
      </c>
      <c r="B322" s="12" t="inlineStr">
        <is>
          <t>AA3</t>
        </is>
      </c>
      <c r="C322" s="12" t="inlineStr">
        <is>
          <t>G-I-GGH33</t>
        </is>
      </c>
      <c r="D322" s="12" t="inlineStr">
        <is>
          <t>Poste fictif Iota II</t>
        </is>
      </c>
      <c r="E322" s="12" t="inlineStr">
        <is>
          <t>DETENTE</t>
        </is>
      </c>
      <c r="F322" s="12" t="n">
        <v>2029</v>
      </c>
      <c r="G322" s="12" t="inlineStr">
        <is>
          <t>PIS</t>
        </is>
      </c>
      <c r="H322" s="12" t="n">
        <v>1</v>
      </c>
      <c r="I322" s="12" t="inlineStr">
        <is>
          <t>PIS</t>
        </is>
      </c>
      <c r="J322" s="12" t="inlineStr">
        <is>
          <t>G-I-GGH33</t>
        </is>
      </c>
      <c r="K322" s="12" t="inlineStr">
        <is>
          <t>G-I-GGH33-INS05</t>
        </is>
      </c>
      <c r="L322" s="12" t="inlineStr">
        <is>
          <t>Code Emprise</t>
        </is>
      </c>
      <c r="M322" s="12" t="inlineStr">
        <is>
          <t>G-I-GGH33</t>
        </is>
      </c>
      <c r="N322" s="12" t="b">
        <v>0</v>
      </c>
      <c r="O322" s="12" t="n"/>
      <c r="P322" s="12" t="n">
        <v>322</v>
      </c>
      <c r="Q322" s="12" t="n">
        <v>0</v>
      </c>
      <c r="R322" s="12" t="inlineStr">
        <is>
          <t>DEMO_PDM.xlsx</t>
        </is>
      </c>
      <c r="S322" s="24" t="n">
        <v>46309.625</v>
      </c>
    </row>
    <row r="323">
      <c r="A323" s="12" t="inlineStr">
        <is>
          <t>SET</t>
        </is>
      </c>
      <c r="B323" s="12" t="inlineStr">
        <is>
          <t>AA3</t>
        </is>
      </c>
      <c r="C323" s="12" t="inlineStr">
        <is>
          <t>G-I-GGH33</t>
        </is>
      </c>
      <c r="D323" s="12" t="inlineStr">
        <is>
          <t>Poste fictif Iota II</t>
        </is>
      </c>
      <c r="E323" s="12" t="inlineStr">
        <is>
          <t>DETENTE</t>
        </is>
      </c>
      <c r="F323" s="12" t="n">
        <v>2030</v>
      </c>
      <c r="G323" s="12" t="inlineStr">
        <is>
          <t>PIS</t>
        </is>
      </c>
      <c r="H323" s="12" t="n">
        <v>1</v>
      </c>
      <c r="I323" s="12" t="inlineStr">
        <is>
          <t>PIS</t>
        </is>
      </c>
      <c r="J323" s="12" t="inlineStr">
        <is>
          <t>G-I-GGH33</t>
        </is>
      </c>
      <c r="K323" s="12" t="inlineStr">
        <is>
          <t>G-I-GGH33-INS05</t>
        </is>
      </c>
      <c r="L323" s="12" t="inlineStr">
        <is>
          <t>Code Emprise</t>
        </is>
      </c>
      <c r="M323" s="12" t="inlineStr">
        <is>
          <t>G-I-GGH33</t>
        </is>
      </c>
      <c r="N323" s="12" t="b">
        <v>0</v>
      </c>
      <c r="O323" s="12" t="n"/>
      <c r="P323" s="12" t="n">
        <v>323</v>
      </c>
      <c r="Q323" s="12" t="n">
        <v>0</v>
      </c>
      <c r="R323" s="12" t="inlineStr">
        <is>
          <t>DEMO_PDM.xlsx</t>
        </is>
      </c>
      <c r="S323" s="24" t="n">
        <v>46309.625</v>
      </c>
    </row>
    <row r="324">
      <c r="A324" s="12" t="inlineStr">
        <is>
          <t>SET</t>
        </is>
      </c>
      <c r="B324" s="12" t="inlineStr">
        <is>
          <t>AA3</t>
        </is>
      </c>
      <c r="C324" s="12" t="inlineStr">
        <is>
          <t>G-I-GGH33</t>
        </is>
      </c>
      <c r="D324" s="12" t="inlineStr">
        <is>
          <t>Poste fictif Iota II</t>
        </is>
      </c>
      <c r="E324" s="12" t="inlineStr">
        <is>
          <t>DETENTE</t>
        </is>
      </c>
      <c r="F324" s="12" t="n">
        <v>2030</v>
      </c>
      <c r="G324" s="12" t="inlineStr">
        <is>
          <t>EC SIMPLE</t>
        </is>
      </c>
      <c r="H324" s="12" t="n">
        <v>2</v>
      </c>
      <c r="I324" s="12" t="inlineStr">
        <is>
          <t>EC Simple</t>
        </is>
      </c>
      <c r="J324" s="12" t="inlineStr">
        <is>
          <t>G-I-GGH33</t>
        </is>
      </c>
      <c r="K324" s="12" t="inlineStr">
        <is>
          <t>G-I-GGH33-INS05</t>
        </is>
      </c>
      <c r="L324" s="12" t="inlineStr">
        <is>
          <t>Code Emprise</t>
        </is>
      </c>
      <c r="M324" s="12" t="inlineStr">
        <is>
          <t>G-I-GGH33</t>
        </is>
      </c>
      <c r="N324" s="12" t="b">
        <v>0</v>
      </c>
      <c r="O324" s="12" t="n"/>
      <c r="P324" s="12" t="n">
        <v>324</v>
      </c>
      <c r="Q324" s="12" t="n">
        <v>0</v>
      </c>
      <c r="R324" s="12" t="inlineStr">
        <is>
          <t>DEMO_PDM.xlsx</t>
        </is>
      </c>
      <c r="S324" s="24" t="n">
        <v>46309.625</v>
      </c>
    </row>
    <row r="325">
      <c r="A325" s="12" t="inlineStr">
        <is>
          <t>SET</t>
        </is>
      </c>
      <c r="B325" s="12" t="inlineStr">
        <is>
          <t>AA3</t>
        </is>
      </c>
      <c r="C325" s="12" t="inlineStr">
        <is>
          <t>G-I-GGH33</t>
        </is>
      </c>
      <c r="D325" s="12" t="inlineStr">
        <is>
          <t>Poste fictif Iota II</t>
        </is>
      </c>
      <c r="E325" s="12" t="inlineStr">
        <is>
          <t>DETENTE</t>
        </is>
      </c>
      <c r="F325" s="12" t="n">
        <v>2031</v>
      </c>
      <c r="G325" s="12" t="inlineStr">
        <is>
          <t>PIS</t>
        </is>
      </c>
      <c r="H325" s="12" t="n">
        <v>1</v>
      </c>
      <c r="I325" s="12" t="inlineStr">
        <is>
          <t>PIS</t>
        </is>
      </c>
      <c r="J325" s="12" t="inlineStr">
        <is>
          <t>G-I-GGH33</t>
        </is>
      </c>
      <c r="K325" s="12" t="inlineStr">
        <is>
          <t>G-I-GGH33-INS05</t>
        </is>
      </c>
      <c r="L325" s="12" t="inlineStr">
        <is>
          <t>Code Emprise</t>
        </is>
      </c>
      <c r="M325" s="12" t="inlineStr">
        <is>
          <t>G-I-GGH33</t>
        </is>
      </c>
      <c r="N325" s="12" t="b">
        <v>0</v>
      </c>
      <c r="O325" s="12" t="n"/>
      <c r="P325" s="12" t="n">
        <v>325</v>
      </c>
      <c r="Q325" s="12" t="n">
        <v>0</v>
      </c>
      <c r="R325" s="12" t="inlineStr">
        <is>
          <t>DEMO_PDM.xlsx</t>
        </is>
      </c>
      <c r="S325" s="24" t="n">
        <v>46309.625</v>
      </c>
    </row>
    <row r="326">
      <c r="A326" s="12" t="inlineStr">
        <is>
          <t>SET</t>
        </is>
      </c>
      <c r="B326" s="12" t="inlineStr">
        <is>
          <t>AA3</t>
        </is>
      </c>
      <c r="C326" s="12" t="inlineStr">
        <is>
          <t>G-I-GGH33</t>
        </is>
      </c>
      <c r="D326" s="12" t="inlineStr">
        <is>
          <t>Poste fictif Iota II</t>
        </is>
      </c>
      <c r="E326" s="12" t="inlineStr">
        <is>
          <t>DETENTE</t>
        </is>
      </c>
      <c r="F326" s="12" t="n">
        <v>2032</v>
      </c>
      <c r="G326" s="12" t="inlineStr">
        <is>
          <t>REVISION</t>
        </is>
      </c>
      <c r="H326" s="12" t="n">
        <v>4</v>
      </c>
      <c r="I326" s="12" t="inlineStr">
        <is>
          <t>Révision</t>
        </is>
      </c>
      <c r="J326" s="12" t="inlineStr">
        <is>
          <t>G-I-GGH33</t>
        </is>
      </c>
      <c r="K326" s="12" t="inlineStr">
        <is>
          <t>G-I-GGH33-INS05</t>
        </is>
      </c>
      <c r="L326" s="12" t="inlineStr">
        <is>
          <t>Code Emprise</t>
        </is>
      </c>
      <c r="M326" s="12" t="inlineStr">
        <is>
          <t>G-I-GGH33</t>
        </is>
      </c>
      <c r="N326" s="12" t="b">
        <v>0</v>
      </c>
      <c r="O326" s="12" t="n"/>
      <c r="P326" s="12" t="n">
        <v>326</v>
      </c>
      <c r="Q326" s="12" t="n">
        <v>0</v>
      </c>
      <c r="R326" s="12" t="inlineStr">
        <is>
          <t>DEMO_PDM.xlsx</t>
        </is>
      </c>
      <c r="S326" s="24" t="n">
        <v>46309.625</v>
      </c>
    </row>
    <row r="327">
      <c r="A327" s="12" t="inlineStr">
        <is>
          <t>LRO</t>
        </is>
      </c>
      <c r="B327" s="12" t="inlineStr">
        <is>
          <t>AA4</t>
        </is>
      </c>
      <c r="C327" s="12" t="inlineStr">
        <is>
          <t>G-I-HHI34</t>
        </is>
      </c>
      <c r="D327" s="12" t="inlineStr">
        <is>
          <t>Poste fictif Kappa II</t>
        </is>
      </c>
      <c r="E327" s="12" t="inlineStr">
        <is>
          <t>PIQUAGE</t>
        </is>
      </c>
      <c r="F327" s="12" t="n">
        <v>2026</v>
      </c>
      <c r="G327" s="12" t="inlineStr">
        <is>
          <t>PIS</t>
        </is>
      </c>
      <c r="H327" s="12" t="n">
        <v>1</v>
      </c>
      <c r="I327" s="12" t="inlineStr">
        <is>
          <t>PIS</t>
        </is>
      </c>
      <c r="J327" s="12" t="inlineStr">
        <is>
          <t>G-I-HHI34</t>
        </is>
      </c>
      <c r="K327" s="12" t="inlineStr">
        <is>
          <t>G-I-HHI34-INS06</t>
        </is>
      </c>
      <c r="L327" s="12" t="inlineStr">
        <is>
          <t>Code Emprise</t>
        </is>
      </c>
      <c r="M327" s="12" t="inlineStr">
        <is>
          <t>G-I-HHI34</t>
        </is>
      </c>
      <c r="N327" s="12" t="b">
        <v>0</v>
      </c>
      <c r="O327" s="12" t="n"/>
      <c r="P327" s="12" t="n">
        <v>327</v>
      </c>
      <c r="Q327" s="12" t="n">
        <v>0</v>
      </c>
      <c r="R327" s="12" t="inlineStr">
        <is>
          <t>DEMO_PDM.xlsx</t>
        </is>
      </c>
      <c r="S327" s="24" t="n">
        <v>46309.625</v>
      </c>
    </row>
    <row r="328">
      <c r="A328" s="12" t="inlineStr">
        <is>
          <t>LRO</t>
        </is>
      </c>
      <c r="B328" s="12" t="inlineStr">
        <is>
          <t>AA4</t>
        </is>
      </c>
      <c r="C328" s="12" t="inlineStr">
        <is>
          <t>G-I-HHI34</t>
        </is>
      </c>
      <c r="D328" s="12" t="inlineStr">
        <is>
          <t>Poste fictif Kappa II</t>
        </is>
      </c>
      <c r="E328" s="12" t="inlineStr">
        <is>
          <t>PIQUAGE</t>
        </is>
      </c>
      <c r="F328" s="12" t="n">
        <v>2027</v>
      </c>
      <c r="G328" s="12" t="inlineStr">
        <is>
          <t>PIS</t>
        </is>
      </c>
      <c r="H328" s="12" t="n">
        <v>1</v>
      </c>
      <c r="I328" s="12" t="inlineStr">
        <is>
          <t>PIS</t>
        </is>
      </c>
      <c r="J328" s="12" t="inlineStr">
        <is>
          <t>G-I-HHI34</t>
        </is>
      </c>
      <c r="K328" s="12" t="inlineStr">
        <is>
          <t>G-I-HHI34-INS06</t>
        </is>
      </c>
      <c r="L328" s="12" t="inlineStr">
        <is>
          <t>Code Emprise</t>
        </is>
      </c>
      <c r="M328" s="12" t="inlineStr">
        <is>
          <t>G-I-HHI34</t>
        </is>
      </c>
      <c r="N328" s="12" t="b">
        <v>0</v>
      </c>
      <c r="O328" s="12" t="n"/>
      <c r="P328" s="12" t="n">
        <v>328</v>
      </c>
      <c r="Q328" s="12" t="n">
        <v>0</v>
      </c>
      <c r="R328" s="12" t="inlineStr">
        <is>
          <t>DEMO_PDM.xlsx</t>
        </is>
      </c>
      <c r="S328" s="24" t="n">
        <v>46309.625</v>
      </c>
    </row>
    <row r="329">
      <c r="A329" s="12" t="inlineStr">
        <is>
          <t>LRO</t>
        </is>
      </c>
      <c r="B329" s="12" t="inlineStr">
        <is>
          <t>AA4</t>
        </is>
      </c>
      <c r="C329" s="12" t="inlineStr">
        <is>
          <t>G-I-HHI34</t>
        </is>
      </c>
      <c r="D329" s="12" t="inlineStr">
        <is>
          <t>Poste fictif Kappa II</t>
        </is>
      </c>
      <c r="E329" s="12" t="inlineStr">
        <is>
          <t>PIQUAGE</t>
        </is>
      </c>
      <c r="F329" s="12" t="n">
        <v>2028</v>
      </c>
      <c r="G329" s="12" t="inlineStr">
        <is>
          <t>PIS</t>
        </is>
      </c>
      <c r="H329" s="12" t="n">
        <v>1</v>
      </c>
      <c r="I329" s="12" t="inlineStr">
        <is>
          <t>PIS</t>
        </is>
      </c>
      <c r="J329" s="12" t="inlineStr">
        <is>
          <t>G-I-HHI34</t>
        </is>
      </c>
      <c r="K329" s="12" t="inlineStr">
        <is>
          <t>G-I-HHI34-INS06</t>
        </is>
      </c>
      <c r="L329" s="12" t="inlineStr">
        <is>
          <t>Code Emprise</t>
        </is>
      </c>
      <c r="M329" s="12" t="inlineStr">
        <is>
          <t>G-I-HHI34</t>
        </is>
      </c>
      <c r="N329" s="12" t="b">
        <v>0</v>
      </c>
      <c r="O329" s="12" t="n"/>
      <c r="P329" s="12" t="n">
        <v>329</v>
      </c>
      <c r="Q329" s="12" t="n">
        <v>0</v>
      </c>
      <c r="R329" s="12" t="inlineStr">
        <is>
          <t>DEMO_PDM.xlsx</t>
        </is>
      </c>
      <c r="S329" s="24" t="n">
        <v>46309.625</v>
      </c>
    </row>
    <row r="330">
      <c r="A330" s="12" t="inlineStr">
        <is>
          <t>LRO</t>
        </is>
      </c>
      <c r="B330" s="12" t="inlineStr">
        <is>
          <t>AA4</t>
        </is>
      </c>
      <c r="C330" s="12" t="inlineStr">
        <is>
          <t>G-I-HHI34</t>
        </is>
      </c>
      <c r="D330" s="12" t="inlineStr">
        <is>
          <t>Poste fictif Kappa II</t>
        </is>
      </c>
      <c r="E330" s="12" t="inlineStr">
        <is>
          <t>PIQUAGE</t>
        </is>
      </c>
      <c r="F330" s="12" t="n">
        <v>2028</v>
      </c>
      <c r="G330" s="12" t="inlineStr">
        <is>
          <t>EC FILTRE</t>
        </is>
      </c>
      <c r="H330" s="12" t="n">
        <v>3</v>
      </c>
      <c r="I330" s="12" t="inlineStr">
        <is>
          <t>EC Filtre</t>
        </is>
      </c>
      <c r="J330" s="12" t="inlineStr">
        <is>
          <t>G-I-HHI34</t>
        </is>
      </c>
      <c r="K330" s="12" t="inlineStr">
        <is>
          <t>G-I-HHI34-INS06</t>
        </is>
      </c>
      <c r="L330" s="12" t="inlineStr">
        <is>
          <t>Code Emprise</t>
        </is>
      </c>
      <c r="M330" s="12" t="inlineStr">
        <is>
          <t>G-I-HHI34</t>
        </is>
      </c>
      <c r="N330" s="12" t="b">
        <v>0</v>
      </c>
      <c r="O330" s="12" t="n"/>
      <c r="P330" s="12" t="n">
        <v>330</v>
      </c>
      <c r="Q330" s="12" t="n">
        <v>0</v>
      </c>
      <c r="R330" s="12" t="inlineStr">
        <is>
          <t>DEMO_PDM.xlsx</t>
        </is>
      </c>
      <c r="S330" s="24" t="n">
        <v>46309.625</v>
      </c>
    </row>
    <row r="331">
      <c r="A331" s="12" t="inlineStr">
        <is>
          <t>LRO</t>
        </is>
      </c>
      <c r="B331" s="12" t="inlineStr">
        <is>
          <t>AA4</t>
        </is>
      </c>
      <c r="C331" s="12" t="inlineStr">
        <is>
          <t>G-I-HHI34</t>
        </is>
      </c>
      <c r="D331" s="12" t="inlineStr">
        <is>
          <t>Poste fictif Kappa II</t>
        </is>
      </c>
      <c r="E331" s="12" t="inlineStr">
        <is>
          <t>PIQUAGE</t>
        </is>
      </c>
      <c r="F331" s="12" t="n">
        <v>2029</v>
      </c>
      <c r="G331" s="12" t="inlineStr">
        <is>
          <t>PIS</t>
        </is>
      </c>
      <c r="H331" s="12" t="n">
        <v>1</v>
      </c>
      <c r="I331" s="12" t="inlineStr">
        <is>
          <t>PIS</t>
        </is>
      </c>
      <c r="J331" s="12" t="inlineStr">
        <is>
          <t>G-I-HHI34</t>
        </is>
      </c>
      <c r="K331" s="12" t="inlineStr">
        <is>
          <t>G-I-HHI34-INS06</t>
        </is>
      </c>
      <c r="L331" s="12" t="inlineStr">
        <is>
          <t>Code Emprise</t>
        </is>
      </c>
      <c r="M331" s="12" t="inlineStr">
        <is>
          <t>G-I-HHI34</t>
        </is>
      </c>
      <c r="N331" s="12" t="b">
        <v>0</v>
      </c>
      <c r="O331" s="12" t="n"/>
      <c r="P331" s="12" t="n">
        <v>331</v>
      </c>
      <c r="Q331" s="12" t="n">
        <v>0</v>
      </c>
      <c r="R331" s="12" t="inlineStr">
        <is>
          <t>DEMO_PDM.xlsx</t>
        </is>
      </c>
      <c r="S331" s="24" t="n">
        <v>46309.625</v>
      </c>
    </row>
    <row r="332">
      <c r="A332" s="12" t="inlineStr">
        <is>
          <t>LRO</t>
        </is>
      </c>
      <c r="B332" s="12" t="inlineStr">
        <is>
          <t>AA4</t>
        </is>
      </c>
      <c r="C332" s="12" t="inlineStr">
        <is>
          <t>G-I-HHI34</t>
        </is>
      </c>
      <c r="D332" s="12" t="inlineStr">
        <is>
          <t>Poste fictif Kappa II</t>
        </is>
      </c>
      <c r="E332" s="12" t="inlineStr">
        <is>
          <t>PIQUAGE</t>
        </is>
      </c>
      <c r="F332" s="12" t="n">
        <v>2029</v>
      </c>
      <c r="G332" s="12" t="inlineStr">
        <is>
          <t>REVISION</t>
        </is>
      </c>
      <c r="H332" s="12" t="n">
        <v>4</v>
      </c>
      <c r="I332" s="12" t="inlineStr">
        <is>
          <t>Révision</t>
        </is>
      </c>
      <c r="J332" s="12" t="inlineStr">
        <is>
          <t>G-I-HHI34</t>
        </is>
      </c>
      <c r="K332" s="12" t="inlineStr">
        <is>
          <t>G-I-HHI34-INS06</t>
        </is>
      </c>
      <c r="L332" s="12" t="inlineStr">
        <is>
          <t>Code Emprise</t>
        </is>
      </c>
      <c r="M332" s="12" t="inlineStr">
        <is>
          <t>G-I-HHI34</t>
        </is>
      </c>
      <c r="N332" s="12" t="b">
        <v>0</v>
      </c>
      <c r="O332" s="12" t="n"/>
      <c r="P332" s="12" t="n">
        <v>332</v>
      </c>
      <c r="Q332" s="12" t="n">
        <v>0</v>
      </c>
      <c r="R332" s="12" t="inlineStr">
        <is>
          <t>DEMO_PDM.xlsx</t>
        </is>
      </c>
      <c r="S332" s="24" t="n">
        <v>46309.625</v>
      </c>
    </row>
    <row r="333">
      <c r="A333" s="12" t="inlineStr">
        <is>
          <t>LRO</t>
        </is>
      </c>
      <c r="B333" s="12" t="inlineStr">
        <is>
          <t>AA4</t>
        </is>
      </c>
      <c r="C333" s="12" t="inlineStr">
        <is>
          <t>G-I-HHI34</t>
        </is>
      </c>
      <c r="D333" s="12" t="inlineStr">
        <is>
          <t>Poste fictif Kappa II</t>
        </is>
      </c>
      <c r="E333" s="12" t="inlineStr">
        <is>
          <t>PIQUAGE</t>
        </is>
      </c>
      <c r="F333" s="12" t="n">
        <v>2030</v>
      </c>
      <c r="G333" s="12" t="inlineStr">
        <is>
          <t>PIS</t>
        </is>
      </c>
      <c r="H333" s="12" t="n">
        <v>1</v>
      </c>
      <c r="I333" s="12" t="inlineStr">
        <is>
          <t>PIS</t>
        </is>
      </c>
      <c r="J333" s="12" t="inlineStr">
        <is>
          <t>G-I-HHI34</t>
        </is>
      </c>
      <c r="K333" s="12" t="inlineStr">
        <is>
          <t>G-I-HHI34-INS06</t>
        </is>
      </c>
      <c r="L333" s="12" t="inlineStr">
        <is>
          <t>Code Emprise</t>
        </is>
      </c>
      <c r="M333" s="12" t="inlineStr">
        <is>
          <t>G-I-HHI34</t>
        </is>
      </c>
      <c r="N333" s="12" t="b">
        <v>0</v>
      </c>
      <c r="O333" s="12" t="n"/>
      <c r="P333" s="12" t="n">
        <v>333</v>
      </c>
      <c r="Q333" s="12" t="n">
        <v>0</v>
      </c>
      <c r="R333" s="12" t="inlineStr">
        <is>
          <t>DEMO_PDM.xlsx</t>
        </is>
      </c>
      <c r="S333" s="24" t="n">
        <v>46309.625</v>
      </c>
    </row>
    <row r="334">
      <c r="A334" s="12" t="inlineStr">
        <is>
          <t>LRO</t>
        </is>
      </c>
      <c r="B334" s="12" t="inlineStr">
        <is>
          <t>AA4</t>
        </is>
      </c>
      <c r="C334" s="12" t="inlineStr">
        <is>
          <t>G-I-HHI34</t>
        </is>
      </c>
      <c r="D334" s="12" t="inlineStr">
        <is>
          <t>Poste fictif Kappa II</t>
        </is>
      </c>
      <c r="E334" s="12" t="inlineStr">
        <is>
          <t>PIQUAGE</t>
        </is>
      </c>
      <c r="F334" s="12" t="n">
        <v>2031</v>
      </c>
      <c r="G334" s="12" t="inlineStr">
        <is>
          <t>PIS</t>
        </is>
      </c>
      <c r="H334" s="12" t="n">
        <v>1</v>
      </c>
      <c r="I334" s="12" t="inlineStr">
        <is>
          <t>PIS</t>
        </is>
      </c>
      <c r="J334" s="12" t="inlineStr">
        <is>
          <t>G-I-HHI34</t>
        </is>
      </c>
      <c r="K334" s="12" t="inlineStr">
        <is>
          <t>G-I-HHI34-INS06</t>
        </is>
      </c>
      <c r="L334" s="12" t="inlineStr">
        <is>
          <t>Code Emprise</t>
        </is>
      </c>
      <c r="M334" s="12" t="inlineStr">
        <is>
          <t>G-I-HHI34</t>
        </is>
      </c>
      <c r="N334" s="12" t="b">
        <v>0</v>
      </c>
      <c r="O334" s="12" t="n"/>
      <c r="P334" s="12" t="n">
        <v>334</v>
      </c>
      <c r="Q334" s="12" t="n">
        <v>0</v>
      </c>
      <c r="R334" s="12" t="inlineStr">
        <is>
          <t>DEMO_PDM.xlsx</t>
        </is>
      </c>
      <c r="S334" s="24" t="n">
        <v>46309.625</v>
      </c>
    </row>
    <row r="335">
      <c r="A335" s="12" t="inlineStr">
        <is>
          <t>LRO</t>
        </is>
      </c>
      <c r="B335" s="12" t="inlineStr">
        <is>
          <t>AA4</t>
        </is>
      </c>
      <c r="C335" s="12" t="inlineStr">
        <is>
          <t>G-I-HHI34</t>
        </is>
      </c>
      <c r="D335" s="12" t="inlineStr">
        <is>
          <t>Poste fictif Kappa II</t>
        </is>
      </c>
      <c r="E335" s="12" t="inlineStr">
        <is>
          <t>PIQUAGE</t>
        </is>
      </c>
      <c r="F335" s="12" t="n">
        <v>2031</v>
      </c>
      <c r="G335" s="12" t="inlineStr">
        <is>
          <t>EC SIMPLE</t>
        </is>
      </c>
      <c r="H335" s="12" t="n">
        <v>2</v>
      </c>
      <c r="I335" s="12" t="inlineStr">
        <is>
          <t>EC Simple</t>
        </is>
      </c>
      <c r="J335" s="12" t="inlineStr">
        <is>
          <t>G-I-HHI34</t>
        </is>
      </c>
      <c r="K335" s="12" t="inlineStr">
        <is>
          <t>G-I-HHI34-INS06</t>
        </is>
      </c>
      <c r="L335" s="12" t="inlineStr">
        <is>
          <t>Code Emprise</t>
        </is>
      </c>
      <c r="M335" s="12" t="inlineStr">
        <is>
          <t>G-I-HHI34</t>
        </is>
      </c>
      <c r="N335" s="12" t="b">
        <v>0</v>
      </c>
      <c r="O335" s="12" t="n"/>
      <c r="P335" s="12" t="n">
        <v>335</v>
      </c>
      <c r="Q335" s="12" t="n">
        <v>0</v>
      </c>
      <c r="R335" s="12" t="inlineStr">
        <is>
          <t>DEMO_PDM.xlsx</t>
        </is>
      </c>
      <c r="S335" s="24" t="n">
        <v>46309.625</v>
      </c>
    </row>
    <row r="336">
      <c r="A336" s="12" t="inlineStr">
        <is>
          <t>LRO</t>
        </is>
      </c>
      <c r="B336" s="12" t="inlineStr">
        <is>
          <t>AA4</t>
        </is>
      </c>
      <c r="C336" s="12" t="inlineStr">
        <is>
          <t>G-I-HHI34</t>
        </is>
      </c>
      <c r="D336" s="12" t="inlineStr">
        <is>
          <t>Poste fictif Kappa II</t>
        </is>
      </c>
      <c r="E336" s="12" t="inlineStr">
        <is>
          <t>PIQUAGE</t>
        </is>
      </c>
      <c r="F336" s="12" t="n">
        <v>2032</v>
      </c>
      <c r="G336" s="12" t="inlineStr">
        <is>
          <t>PIS</t>
        </is>
      </c>
      <c r="H336" s="12" t="n">
        <v>1</v>
      </c>
      <c r="I336" s="12" t="inlineStr">
        <is>
          <t>PIS</t>
        </is>
      </c>
      <c r="J336" s="12" t="inlineStr">
        <is>
          <t>G-I-HHI34</t>
        </is>
      </c>
      <c r="K336" s="12" t="inlineStr">
        <is>
          <t>G-I-HHI34-INS06</t>
        </is>
      </c>
      <c r="L336" s="12" t="inlineStr">
        <is>
          <t>Code Emprise</t>
        </is>
      </c>
      <c r="M336" s="12" t="inlineStr">
        <is>
          <t>G-I-HHI34</t>
        </is>
      </c>
      <c r="N336" s="12" t="b">
        <v>0</v>
      </c>
      <c r="O336" s="12" t="n"/>
      <c r="P336" s="12" t="n">
        <v>336</v>
      </c>
      <c r="Q336" s="12" t="n">
        <v>0</v>
      </c>
      <c r="R336" s="12" t="inlineStr">
        <is>
          <t>DEMO_PDM.xlsx</t>
        </is>
      </c>
      <c r="S336" s="24" t="n">
        <v>46309.625</v>
      </c>
    </row>
    <row r="337">
      <c r="A337" s="12" t="inlineStr">
        <is>
          <t>RNA</t>
        </is>
      </c>
      <c r="B337" s="12" t="inlineStr">
        <is>
          <t>AA1</t>
        </is>
      </c>
      <c r="C337" s="12" t="inlineStr">
        <is>
          <t>G-I-IIJ35</t>
        </is>
      </c>
      <c r="D337" s="12" t="inlineStr">
        <is>
          <t>Poste fictif Lambda II</t>
        </is>
      </c>
      <c r="E337" s="12" t="inlineStr">
        <is>
          <t>PIQUAGE</t>
        </is>
      </c>
      <c r="F337" s="12" t="n">
        <v>2026</v>
      </c>
      <c r="G337" s="12" t="inlineStr">
        <is>
          <t>PIS</t>
        </is>
      </c>
      <c r="H337" s="12" t="n">
        <v>1</v>
      </c>
      <c r="I337" s="12" t="inlineStr">
        <is>
          <t>PIS</t>
        </is>
      </c>
      <c r="J337" s="12" t="inlineStr">
        <is>
          <t>G-I-IIJ35</t>
        </is>
      </c>
      <c r="K337" s="12" t="inlineStr">
        <is>
          <t>G-I-IIJ35-INS07</t>
        </is>
      </c>
      <c r="L337" s="12" t="inlineStr">
        <is>
          <t>Code Emprise</t>
        </is>
      </c>
      <c r="M337" s="12" t="inlineStr">
        <is>
          <t>G-I-IIJ35</t>
        </is>
      </c>
      <c r="N337" s="12" t="b">
        <v>0</v>
      </c>
      <c r="O337" s="12" t="n"/>
      <c r="P337" s="12" t="n">
        <v>337</v>
      </c>
      <c r="Q337" s="12" t="n">
        <v>0</v>
      </c>
      <c r="R337" s="12" t="inlineStr">
        <is>
          <t>DEMO_PDM.xlsx</t>
        </is>
      </c>
      <c r="S337" s="24" t="n">
        <v>46309.625</v>
      </c>
    </row>
    <row r="338">
      <c r="A338" s="12" t="inlineStr">
        <is>
          <t>RNA</t>
        </is>
      </c>
      <c r="B338" s="12" t="inlineStr">
        <is>
          <t>AA1</t>
        </is>
      </c>
      <c r="C338" s="12" t="inlineStr">
        <is>
          <t>G-I-IIJ35</t>
        </is>
      </c>
      <c r="D338" s="12" t="inlineStr">
        <is>
          <t>Poste fictif Lambda II</t>
        </is>
      </c>
      <c r="E338" s="12" t="inlineStr">
        <is>
          <t>PIQUAGE</t>
        </is>
      </c>
      <c r="F338" s="12" t="n">
        <v>2026</v>
      </c>
      <c r="G338" s="12" t="inlineStr">
        <is>
          <t>EC FILTRE</t>
        </is>
      </c>
      <c r="H338" s="12" t="n">
        <v>3</v>
      </c>
      <c r="I338" s="12" t="inlineStr">
        <is>
          <t>EC Filtre</t>
        </is>
      </c>
      <c r="J338" s="12" t="inlineStr">
        <is>
          <t>G-I-IIJ35</t>
        </is>
      </c>
      <c r="K338" s="12" t="inlineStr">
        <is>
          <t>G-I-IIJ35-INS07</t>
        </is>
      </c>
      <c r="L338" s="12" t="inlineStr">
        <is>
          <t>Code Emprise</t>
        </is>
      </c>
      <c r="M338" s="12" t="inlineStr">
        <is>
          <t>G-I-IIJ35</t>
        </is>
      </c>
      <c r="N338" s="12" t="b">
        <v>0</v>
      </c>
      <c r="O338" s="12" t="n"/>
      <c r="P338" s="12" t="n">
        <v>338</v>
      </c>
      <c r="Q338" s="12" t="n">
        <v>0</v>
      </c>
      <c r="R338" s="12" t="inlineStr">
        <is>
          <t>DEMO_PDM.xlsx</t>
        </is>
      </c>
      <c r="S338" s="24" t="n">
        <v>46309.625</v>
      </c>
    </row>
    <row r="339">
      <c r="A339" s="12" t="inlineStr">
        <is>
          <t>RNA</t>
        </is>
      </c>
      <c r="B339" s="12" t="inlineStr">
        <is>
          <t>AA1</t>
        </is>
      </c>
      <c r="C339" s="12" t="inlineStr">
        <is>
          <t>G-I-IIJ35</t>
        </is>
      </c>
      <c r="D339" s="12" t="inlineStr">
        <is>
          <t>Poste fictif Lambda II</t>
        </is>
      </c>
      <c r="E339" s="12" t="inlineStr">
        <is>
          <t>PIQUAGE</t>
        </is>
      </c>
      <c r="F339" s="12" t="n">
        <v>2026</v>
      </c>
      <c r="G339" s="12" t="inlineStr">
        <is>
          <t>REVISION</t>
        </is>
      </c>
      <c r="H339" s="12" t="n">
        <v>4</v>
      </c>
      <c r="I339" s="12" t="inlineStr">
        <is>
          <t>Révision</t>
        </is>
      </c>
      <c r="J339" s="12" t="inlineStr">
        <is>
          <t>G-I-IIJ35</t>
        </is>
      </c>
      <c r="K339" s="12" t="inlineStr">
        <is>
          <t>G-I-IIJ35-INS07</t>
        </is>
      </c>
      <c r="L339" s="12" t="inlineStr">
        <is>
          <t>Code Emprise</t>
        </is>
      </c>
      <c r="M339" s="12" t="inlineStr">
        <is>
          <t>G-I-IIJ35</t>
        </is>
      </c>
      <c r="N339" s="12" t="b">
        <v>0</v>
      </c>
      <c r="O339" s="12" t="n"/>
      <c r="P339" s="12" t="n">
        <v>339</v>
      </c>
      <c r="Q339" s="12" t="n">
        <v>0</v>
      </c>
      <c r="R339" s="12" t="inlineStr">
        <is>
          <t>DEMO_PDM.xlsx</t>
        </is>
      </c>
      <c r="S339" s="24" t="n">
        <v>46309.625</v>
      </c>
    </row>
    <row r="340">
      <c r="A340" s="12" t="inlineStr">
        <is>
          <t>RNA</t>
        </is>
      </c>
      <c r="B340" s="12" t="inlineStr">
        <is>
          <t>AA1</t>
        </is>
      </c>
      <c r="C340" s="12" t="inlineStr">
        <is>
          <t>G-I-IIJ35</t>
        </is>
      </c>
      <c r="D340" s="12" t="inlineStr">
        <is>
          <t>Poste fictif Lambda II</t>
        </is>
      </c>
      <c r="E340" s="12" t="inlineStr">
        <is>
          <t>PIQUAGE</t>
        </is>
      </c>
      <c r="F340" s="12" t="n">
        <v>2027</v>
      </c>
      <c r="G340" s="12" t="inlineStr">
        <is>
          <t>PIS</t>
        </is>
      </c>
      <c r="H340" s="12" t="n">
        <v>1</v>
      </c>
      <c r="I340" s="12" t="inlineStr">
        <is>
          <t>PIS</t>
        </is>
      </c>
      <c r="J340" s="12" t="inlineStr">
        <is>
          <t>G-I-IIJ35</t>
        </is>
      </c>
      <c r="K340" s="12" t="inlineStr">
        <is>
          <t>G-I-IIJ35-INS07</t>
        </is>
      </c>
      <c r="L340" s="12" t="inlineStr">
        <is>
          <t>Code Emprise</t>
        </is>
      </c>
      <c r="M340" s="12" t="inlineStr">
        <is>
          <t>G-I-IIJ35</t>
        </is>
      </c>
      <c r="N340" s="12" t="b">
        <v>0</v>
      </c>
      <c r="O340" s="12" t="n"/>
      <c r="P340" s="12" t="n">
        <v>340</v>
      </c>
      <c r="Q340" s="12" t="n">
        <v>0</v>
      </c>
      <c r="R340" s="12" t="inlineStr">
        <is>
          <t>DEMO_PDM.xlsx</t>
        </is>
      </c>
      <c r="S340" s="24" t="n">
        <v>46309.625</v>
      </c>
    </row>
    <row r="341">
      <c r="A341" s="12" t="inlineStr">
        <is>
          <t>RNA</t>
        </is>
      </c>
      <c r="B341" s="12" t="inlineStr">
        <is>
          <t>AA1</t>
        </is>
      </c>
      <c r="C341" s="12" t="inlineStr">
        <is>
          <t>G-I-IIJ35</t>
        </is>
      </c>
      <c r="D341" s="12" t="inlineStr">
        <is>
          <t>Poste fictif Lambda II</t>
        </is>
      </c>
      <c r="E341" s="12" t="inlineStr">
        <is>
          <t>PIQUAGE</t>
        </is>
      </c>
      <c r="F341" s="12" t="n">
        <v>2028</v>
      </c>
      <c r="G341" s="12" t="inlineStr">
        <is>
          <t>PIS</t>
        </is>
      </c>
      <c r="H341" s="12" t="n">
        <v>1</v>
      </c>
      <c r="I341" s="12" t="inlineStr">
        <is>
          <t>PIS</t>
        </is>
      </c>
      <c r="J341" s="12" t="inlineStr">
        <is>
          <t>G-I-IIJ35</t>
        </is>
      </c>
      <c r="K341" s="12" t="inlineStr">
        <is>
          <t>G-I-IIJ35-INS07</t>
        </is>
      </c>
      <c r="L341" s="12" t="inlineStr">
        <is>
          <t>Code Emprise</t>
        </is>
      </c>
      <c r="M341" s="12" t="inlineStr">
        <is>
          <t>G-I-IIJ35</t>
        </is>
      </c>
      <c r="N341" s="12" t="b">
        <v>0</v>
      </c>
      <c r="O341" s="12" t="n"/>
      <c r="P341" s="12" t="n">
        <v>341</v>
      </c>
      <c r="Q341" s="12" t="n">
        <v>0</v>
      </c>
      <c r="R341" s="12" t="inlineStr">
        <is>
          <t>DEMO_PDM.xlsx</t>
        </is>
      </c>
      <c r="S341" s="24" t="n">
        <v>46309.625</v>
      </c>
    </row>
    <row r="342">
      <c r="A342" s="12" t="inlineStr">
        <is>
          <t>RNA</t>
        </is>
      </c>
      <c r="B342" s="12" t="inlineStr">
        <is>
          <t>AA1</t>
        </is>
      </c>
      <c r="C342" s="12" t="inlineStr">
        <is>
          <t>G-I-IIJ35</t>
        </is>
      </c>
      <c r="D342" s="12" t="inlineStr">
        <is>
          <t>Poste fictif Lambda II</t>
        </is>
      </c>
      <c r="E342" s="12" t="inlineStr">
        <is>
          <t>PIQUAGE</t>
        </is>
      </c>
      <c r="F342" s="12" t="n">
        <v>2028</v>
      </c>
      <c r="G342" s="12" t="inlineStr">
        <is>
          <t>EC SIMPLE</t>
        </is>
      </c>
      <c r="H342" s="12" t="n">
        <v>2</v>
      </c>
      <c r="I342" s="12" t="inlineStr">
        <is>
          <t>EC Simple</t>
        </is>
      </c>
      <c r="J342" s="12" t="inlineStr">
        <is>
          <t>G-I-IIJ35</t>
        </is>
      </c>
      <c r="K342" s="12" t="inlineStr">
        <is>
          <t>G-I-IIJ35-INS07</t>
        </is>
      </c>
      <c r="L342" s="12" t="inlineStr">
        <is>
          <t>Code Emprise</t>
        </is>
      </c>
      <c r="M342" s="12" t="inlineStr">
        <is>
          <t>G-I-IIJ35</t>
        </is>
      </c>
      <c r="N342" s="12" t="b">
        <v>0</v>
      </c>
      <c r="O342" s="12" t="n"/>
      <c r="P342" s="12" t="n">
        <v>342</v>
      </c>
      <c r="Q342" s="12" t="n">
        <v>0</v>
      </c>
      <c r="R342" s="12" t="inlineStr">
        <is>
          <t>DEMO_PDM.xlsx</t>
        </is>
      </c>
      <c r="S342" s="24" t="n">
        <v>46309.625</v>
      </c>
    </row>
    <row r="343">
      <c r="A343" s="12" t="inlineStr">
        <is>
          <t>RNA</t>
        </is>
      </c>
      <c r="B343" s="12" t="inlineStr">
        <is>
          <t>AA1</t>
        </is>
      </c>
      <c r="C343" s="12" t="inlineStr">
        <is>
          <t>G-I-IIJ35</t>
        </is>
      </c>
      <c r="D343" s="12" t="inlineStr">
        <is>
          <t>Poste fictif Lambda II</t>
        </is>
      </c>
      <c r="E343" s="12" t="inlineStr">
        <is>
          <t>PIQUAGE</t>
        </is>
      </c>
      <c r="F343" s="12" t="n">
        <v>2029</v>
      </c>
      <c r="G343" s="12" t="inlineStr">
        <is>
          <t>PIS</t>
        </is>
      </c>
      <c r="H343" s="12" t="n">
        <v>1</v>
      </c>
      <c r="I343" s="12" t="inlineStr">
        <is>
          <t>PIS</t>
        </is>
      </c>
      <c r="J343" s="12" t="inlineStr">
        <is>
          <t>G-I-IIJ35</t>
        </is>
      </c>
      <c r="K343" s="12" t="inlineStr">
        <is>
          <t>G-I-IIJ35-INS07</t>
        </is>
      </c>
      <c r="L343" s="12" t="inlineStr">
        <is>
          <t>Code Emprise</t>
        </is>
      </c>
      <c r="M343" s="12" t="inlineStr">
        <is>
          <t>G-I-IIJ35</t>
        </is>
      </c>
      <c r="N343" s="12" t="b">
        <v>0</v>
      </c>
      <c r="O343" s="12" t="n"/>
      <c r="P343" s="12" t="n">
        <v>343</v>
      </c>
      <c r="Q343" s="12" t="n">
        <v>0</v>
      </c>
      <c r="R343" s="12" t="inlineStr">
        <is>
          <t>DEMO_PDM.xlsx</t>
        </is>
      </c>
      <c r="S343" s="24" t="n">
        <v>46309.625</v>
      </c>
    </row>
    <row r="344">
      <c r="A344" s="12" t="inlineStr">
        <is>
          <t>RNA</t>
        </is>
      </c>
      <c r="B344" s="12" t="inlineStr">
        <is>
          <t>AA1</t>
        </is>
      </c>
      <c r="C344" s="12" t="inlineStr">
        <is>
          <t>G-I-IIJ35</t>
        </is>
      </c>
      <c r="D344" s="12" t="inlineStr">
        <is>
          <t>Poste fictif Lambda II</t>
        </is>
      </c>
      <c r="E344" s="12" t="inlineStr">
        <is>
          <t>PIQUAGE</t>
        </is>
      </c>
      <c r="F344" s="12" t="n">
        <v>2030</v>
      </c>
      <c r="G344" s="12" t="inlineStr">
        <is>
          <t>PIS</t>
        </is>
      </c>
      <c r="H344" s="12" t="n">
        <v>1</v>
      </c>
      <c r="I344" s="12" t="inlineStr">
        <is>
          <t>PIS</t>
        </is>
      </c>
      <c r="J344" s="12" t="inlineStr">
        <is>
          <t>G-I-IIJ35</t>
        </is>
      </c>
      <c r="K344" s="12" t="inlineStr">
        <is>
          <t>G-I-IIJ35-INS07</t>
        </is>
      </c>
      <c r="L344" s="12" t="inlineStr">
        <is>
          <t>Code Emprise</t>
        </is>
      </c>
      <c r="M344" s="12" t="inlineStr">
        <is>
          <t>G-I-IIJ35</t>
        </is>
      </c>
      <c r="N344" s="12" t="b">
        <v>0</v>
      </c>
      <c r="O344" s="12" t="n"/>
      <c r="P344" s="12" t="n">
        <v>344</v>
      </c>
      <c r="Q344" s="12" t="n">
        <v>0</v>
      </c>
      <c r="R344" s="12" t="inlineStr">
        <is>
          <t>DEMO_PDM.xlsx</t>
        </is>
      </c>
      <c r="S344" s="24" t="n">
        <v>46309.625</v>
      </c>
    </row>
    <row r="345">
      <c r="A345" s="12" t="inlineStr">
        <is>
          <t>RNA</t>
        </is>
      </c>
      <c r="B345" s="12" t="inlineStr">
        <is>
          <t>AA1</t>
        </is>
      </c>
      <c r="C345" s="12" t="inlineStr">
        <is>
          <t>G-I-IIJ35</t>
        </is>
      </c>
      <c r="D345" s="12" t="inlineStr">
        <is>
          <t>Poste fictif Lambda II</t>
        </is>
      </c>
      <c r="E345" s="12" t="inlineStr">
        <is>
          <t>PIQUAGE</t>
        </is>
      </c>
      <c r="F345" s="12" t="n">
        <v>2030</v>
      </c>
      <c r="G345" s="12" t="inlineStr">
        <is>
          <t>EC FILTRE</t>
        </is>
      </c>
      <c r="H345" s="12" t="n">
        <v>3</v>
      </c>
      <c r="I345" s="12" t="inlineStr">
        <is>
          <t>EC Filtre</t>
        </is>
      </c>
      <c r="J345" s="12" t="inlineStr">
        <is>
          <t>G-I-IIJ35</t>
        </is>
      </c>
      <c r="K345" s="12" t="inlineStr">
        <is>
          <t>G-I-IIJ35-INS07</t>
        </is>
      </c>
      <c r="L345" s="12" t="inlineStr">
        <is>
          <t>Code Emprise</t>
        </is>
      </c>
      <c r="M345" s="12" t="inlineStr">
        <is>
          <t>G-I-IIJ35</t>
        </is>
      </c>
      <c r="N345" s="12" t="b">
        <v>0</v>
      </c>
      <c r="O345" s="12" t="n"/>
      <c r="P345" s="12" t="n">
        <v>345</v>
      </c>
      <c r="Q345" s="12" t="n">
        <v>0</v>
      </c>
      <c r="R345" s="12" t="inlineStr">
        <is>
          <t>DEMO_PDM.xlsx</t>
        </is>
      </c>
      <c r="S345" s="24" t="n">
        <v>46309.625</v>
      </c>
    </row>
    <row r="346">
      <c r="A346" s="12" t="inlineStr">
        <is>
          <t>RNA</t>
        </is>
      </c>
      <c r="B346" s="12" t="inlineStr">
        <is>
          <t>AA1</t>
        </is>
      </c>
      <c r="C346" s="12" t="inlineStr">
        <is>
          <t>G-I-IIJ35</t>
        </is>
      </c>
      <c r="D346" s="12" t="inlineStr">
        <is>
          <t>Poste fictif Lambda II</t>
        </is>
      </c>
      <c r="E346" s="12" t="inlineStr">
        <is>
          <t>PIQUAGE</t>
        </is>
      </c>
      <c r="F346" s="12" t="n">
        <v>2031</v>
      </c>
      <c r="G346" s="12" t="inlineStr">
        <is>
          <t>PIS</t>
        </is>
      </c>
      <c r="H346" s="12" t="n">
        <v>1</v>
      </c>
      <c r="I346" s="12" t="inlineStr">
        <is>
          <t>PIS</t>
        </is>
      </c>
      <c r="J346" s="12" t="inlineStr">
        <is>
          <t>G-I-IIJ35</t>
        </is>
      </c>
      <c r="K346" s="12" t="inlineStr">
        <is>
          <t>G-I-IIJ35-INS07</t>
        </is>
      </c>
      <c r="L346" s="12" t="inlineStr">
        <is>
          <t>Code Emprise</t>
        </is>
      </c>
      <c r="M346" s="12" t="inlineStr">
        <is>
          <t>G-I-IIJ35</t>
        </is>
      </c>
      <c r="N346" s="12" t="b">
        <v>0</v>
      </c>
      <c r="O346" s="12" t="n"/>
      <c r="P346" s="12" t="n">
        <v>346</v>
      </c>
      <c r="Q346" s="12" t="n">
        <v>0</v>
      </c>
      <c r="R346" s="12" t="inlineStr">
        <is>
          <t>DEMO_PDM.xlsx</t>
        </is>
      </c>
      <c r="S346" s="24" t="n">
        <v>46309.625</v>
      </c>
    </row>
    <row r="347">
      <c r="A347" s="12" t="inlineStr">
        <is>
          <t>RNA</t>
        </is>
      </c>
      <c r="B347" s="12" t="inlineStr">
        <is>
          <t>AA1</t>
        </is>
      </c>
      <c r="C347" s="12" t="inlineStr">
        <is>
          <t>G-I-IIJ35</t>
        </is>
      </c>
      <c r="D347" s="12" t="inlineStr">
        <is>
          <t>Poste fictif Lambda II</t>
        </is>
      </c>
      <c r="E347" s="12" t="inlineStr">
        <is>
          <t>PIQUAGE</t>
        </is>
      </c>
      <c r="F347" s="12" t="n">
        <v>2032</v>
      </c>
      <c r="G347" s="12" t="inlineStr">
        <is>
          <t>PIS</t>
        </is>
      </c>
      <c r="H347" s="12" t="n">
        <v>1</v>
      </c>
      <c r="I347" s="12" t="inlineStr">
        <is>
          <t>PIS</t>
        </is>
      </c>
      <c r="J347" s="12" t="inlineStr">
        <is>
          <t>G-I-IIJ35</t>
        </is>
      </c>
      <c r="K347" s="12" t="inlineStr">
        <is>
          <t>G-I-IIJ35-INS07</t>
        </is>
      </c>
      <c r="L347" s="12" t="inlineStr">
        <is>
          <t>Code Emprise</t>
        </is>
      </c>
      <c r="M347" s="12" t="inlineStr">
        <is>
          <t>G-I-IIJ35</t>
        </is>
      </c>
      <c r="N347" s="12" t="b">
        <v>0</v>
      </c>
      <c r="O347" s="12" t="n"/>
      <c r="P347" s="12" t="n">
        <v>347</v>
      </c>
      <c r="Q347" s="12" t="n">
        <v>0</v>
      </c>
      <c r="R347" s="12" t="inlineStr">
        <is>
          <t>DEMO_PDM.xlsx</t>
        </is>
      </c>
      <c r="S347" s="24" t="n">
        <v>46309.625</v>
      </c>
    </row>
    <row r="348">
      <c r="A348" s="12" t="inlineStr">
        <is>
          <t>RNA</t>
        </is>
      </c>
      <c r="B348" s="12" t="inlineStr">
        <is>
          <t>AA1</t>
        </is>
      </c>
      <c r="C348" s="12" t="inlineStr">
        <is>
          <t>G-I-IIJ35</t>
        </is>
      </c>
      <c r="D348" s="12" t="inlineStr">
        <is>
          <t>Poste fictif Lambda II</t>
        </is>
      </c>
      <c r="E348" s="12" t="inlineStr">
        <is>
          <t>PIQUAGE</t>
        </is>
      </c>
      <c r="F348" s="12" t="n">
        <v>2032</v>
      </c>
      <c r="G348" s="12" t="inlineStr">
        <is>
          <t>EC SIMPLE</t>
        </is>
      </c>
      <c r="H348" s="12" t="n">
        <v>2</v>
      </c>
      <c r="I348" s="12" t="inlineStr">
        <is>
          <t>EC Simple</t>
        </is>
      </c>
      <c r="J348" s="12" t="inlineStr">
        <is>
          <t>G-I-IIJ35</t>
        </is>
      </c>
      <c r="K348" s="12" t="inlineStr">
        <is>
          <t>G-I-IIJ35-INS07</t>
        </is>
      </c>
      <c r="L348" s="12" t="inlineStr">
        <is>
          <t>Code Emprise</t>
        </is>
      </c>
      <c r="M348" s="12" t="inlineStr">
        <is>
          <t>G-I-IIJ35</t>
        </is>
      </c>
      <c r="N348" s="12" t="b">
        <v>0</v>
      </c>
      <c r="O348" s="12" t="n"/>
      <c r="P348" s="12" t="n">
        <v>348</v>
      </c>
      <c r="Q348" s="12" t="n">
        <v>0</v>
      </c>
      <c r="R348" s="12" t="inlineStr">
        <is>
          <t>DEMO_PDM.xlsx</t>
        </is>
      </c>
      <c r="S348" s="24" t="n">
        <v>46309.625</v>
      </c>
    </row>
    <row r="349">
      <c r="A349" s="12" t="inlineStr">
        <is>
          <t>RNA</t>
        </is>
      </c>
      <c r="B349" s="12" t="inlineStr">
        <is>
          <t>AA1</t>
        </is>
      </c>
      <c r="C349" s="12" t="inlineStr">
        <is>
          <t>G-I-IIJ35</t>
        </is>
      </c>
      <c r="D349" s="12" t="inlineStr">
        <is>
          <t>Poste fictif Lambda II</t>
        </is>
      </c>
      <c r="E349" s="12" t="inlineStr">
        <is>
          <t>PIQUAGE</t>
        </is>
      </c>
      <c r="F349" s="12" t="n">
        <v>2032</v>
      </c>
      <c r="G349" s="12" t="inlineStr">
        <is>
          <t>REVISION</t>
        </is>
      </c>
      <c r="H349" s="12" t="n">
        <v>4</v>
      </c>
      <c r="I349" s="12" t="inlineStr">
        <is>
          <t>Révision</t>
        </is>
      </c>
      <c r="J349" s="12" t="inlineStr">
        <is>
          <t>G-I-IIJ35</t>
        </is>
      </c>
      <c r="K349" s="12" t="inlineStr">
        <is>
          <t>G-I-IIJ35-INS07</t>
        </is>
      </c>
      <c r="L349" s="12" t="inlineStr">
        <is>
          <t>Code Emprise</t>
        </is>
      </c>
      <c r="M349" s="12" t="inlineStr">
        <is>
          <t>G-I-IIJ35</t>
        </is>
      </c>
      <c r="N349" s="12" t="b">
        <v>0</v>
      </c>
      <c r="O349" s="12" t="n"/>
      <c r="P349" s="12" t="n">
        <v>349</v>
      </c>
      <c r="Q349" s="12" t="n">
        <v>0</v>
      </c>
      <c r="R349" s="12" t="inlineStr">
        <is>
          <t>DEMO_PDM.xlsx</t>
        </is>
      </c>
      <c r="S349" s="24" t="n">
        <v>46309.625</v>
      </c>
    </row>
    <row r="350">
      <c r="A350" s="12" t="inlineStr">
        <is>
          <t>SVI</t>
        </is>
      </c>
      <c r="B350" s="12" t="inlineStr">
        <is>
          <t>AA4</t>
        </is>
      </c>
      <c r="C350" s="12" t="inlineStr">
        <is>
          <t>G-I-JJK36</t>
        </is>
      </c>
      <c r="D350" s="12" t="inlineStr">
        <is>
          <t>Poste fictif Mu II</t>
        </is>
      </c>
      <c r="E350" s="12" t="inlineStr">
        <is>
          <t>COUPURE</t>
        </is>
      </c>
      <c r="F350" s="12" t="n">
        <v>2026</v>
      </c>
      <c r="G350" s="12" t="inlineStr">
        <is>
          <t>PIS</t>
        </is>
      </c>
      <c r="H350" s="12" t="n">
        <v>1</v>
      </c>
      <c r="I350" s="12" t="inlineStr">
        <is>
          <t>PIS</t>
        </is>
      </c>
      <c r="J350" s="12" t="inlineStr">
        <is>
          <t>G-I-JJK36</t>
        </is>
      </c>
      <c r="K350" s="12" t="inlineStr">
        <is>
          <t>G-I-JJK36-INS01</t>
        </is>
      </c>
      <c r="L350" s="12" t="inlineStr">
        <is>
          <t>Code Emprise</t>
        </is>
      </c>
      <c r="M350" s="12" t="inlineStr">
        <is>
          <t>G-I-JJK36</t>
        </is>
      </c>
      <c r="N350" s="12" t="b">
        <v>0</v>
      </c>
      <c r="O350" s="12" t="n"/>
      <c r="P350" s="12" t="n">
        <v>350</v>
      </c>
      <c r="Q350" s="12" t="n">
        <v>0</v>
      </c>
      <c r="R350" s="12" t="inlineStr">
        <is>
          <t>DEMO_PDM.xlsx</t>
        </is>
      </c>
      <c r="S350" s="24" t="n">
        <v>46309.625</v>
      </c>
    </row>
    <row r="351">
      <c r="A351" s="12" t="inlineStr">
        <is>
          <t>SVI</t>
        </is>
      </c>
      <c r="B351" s="12" t="inlineStr">
        <is>
          <t>AA4</t>
        </is>
      </c>
      <c r="C351" s="12" t="inlineStr">
        <is>
          <t>G-I-JJK36</t>
        </is>
      </c>
      <c r="D351" s="12" t="inlineStr">
        <is>
          <t>Poste fictif Mu II</t>
        </is>
      </c>
      <c r="E351" s="12" t="inlineStr">
        <is>
          <t>COUPURE</t>
        </is>
      </c>
      <c r="F351" s="12" t="n">
        <v>2026</v>
      </c>
      <c r="G351" s="12" t="inlineStr">
        <is>
          <t>REVISION</t>
        </is>
      </c>
      <c r="H351" s="12" t="n">
        <v>4</v>
      </c>
      <c r="I351" s="12" t="inlineStr">
        <is>
          <t>Révision</t>
        </is>
      </c>
      <c r="J351" s="12" t="inlineStr">
        <is>
          <t>G-I-JJK36</t>
        </is>
      </c>
      <c r="K351" s="12" t="inlineStr">
        <is>
          <t>G-I-JJK36-INS01</t>
        </is>
      </c>
      <c r="L351" s="12" t="inlineStr">
        <is>
          <t>Code Emprise</t>
        </is>
      </c>
      <c r="M351" s="12" t="inlineStr">
        <is>
          <t>G-I-JJK36</t>
        </is>
      </c>
      <c r="N351" s="12" t="b">
        <v>0</v>
      </c>
      <c r="O351" s="12" t="n"/>
      <c r="P351" s="12" t="n">
        <v>351</v>
      </c>
      <c r="Q351" s="12" t="n">
        <v>0</v>
      </c>
      <c r="R351" s="12" t="inlineStr">
        <is>
          <t>DEMO_PDM.xlsx</t>
        </is>
      </c>
      <c r="S351" s="24" t="n">
        <v>46309.625</v>
      </c>
    </row>
    <row r="352">
      <c r="A352" s="12" t="inlineStr">
        <is>
          <t>SVI</t>
        </is>
      </c>
      <c r="B352" s="12" t="inlineStr">
        <is>
          <t>AA4</t>
        </is>
      </c>
      <c r="C352" s="12" t="inlineStr">
        <is>
          <t>G-I-JJK36</t>
        </is>
      </c>
      <c r="D352" s="12" t="inlineStr">
        <is>
          <t>Poste fictif Mu II</t>
        </is>
      </c>
      <c r="E352" s="12" t="inlineStr">
        <is>
          <t>COUPURE</t>
        </is>
      </c>
      <c r="F352" s="12" t="n">
        <v>2027</v>
      </c>
      <c r="G352" s="12" t="inlineStr">
        <is>
          <t>PIS</t>
        </is>
      </c>
      <c r="H352" s="12" t="n">
        <v>1</v>
      </c>
      <c r="I352" s="12" t="inlineStr">
        <is>
          <t>PIS</t>
        </is>
      </c>
      <c r="J352" s="12" t="inlineStr">
        <is>
          <t>G-I-JJK36</t>
        </is>
      </c>
      <c r="K352" s="12" t="inlineStr">
        <is>
          <t>G-I-JJK36-INS01</t>
        </is>
      </c>
      <c r="L352" s="12" t="inlineStr">
        <is>
          <t>Code Emprise</t>
        </is>
      </c>
      <c r="M352" s="12" t="inlineStr">
        <is>
          <t>G-I-JJK36</t>
        </is>
      </c>
      <c r="N352" s="12" t="b">
        <v>0</v>
      </c>
      <c r="O352" s="12" t="n"/>
      <c r="P352" s="12" t="n">
        <v>352</v>
      </c>
      <c r="Q352" s="12" t="n">
        <v>0</v>
      </c>
      <c r="R352" s="12" t="inlineStr">
        <is>
          <t>DEMO_PDM.xlsx</t>
        </is>
      </c>
      <c r="S352" s="24" t="n">
        <v>46309.625</v>
      </c>
    </row>
    <row r="353">
      <c r="A353" s="12" t="inlineStr">
        <is>
          <t>SVI</t>
        </is>
      </c>
      <c r="B353" s="12" t="inlineStr">
        <is>
          <t>AA4</t>
        </is>
      </c>
      <c r="C353" s="12" t="inlineStr">
        <is>
          <t>G-I-JJK36</t>
        </is>
      </c>
      <c r="D353" s="12" t="inlineStr">
        <is>
          <t>Poste fictif Mu II</t>
        </is>
      </c>
      <c r="E353" s="12" t="inlineStr">
        <is>
          <t>COUPURE</t>
        </is>
      </c>
      <c r="F353" s="12" t="n">
        <v>2027</v>
      </c>
      <c r="G353" s="12" t="inlineStr">
        <is>
          <t>EC SIMPLE</t>
        </is>
      </c>
      <c r="H353" s="12" t="n">
        <v>2</v>
      </c>
      <c r="I353" s="12" t="inlineStr">
        <is>
          <t>EC Simple</t>
        </is>
      </c>
      <c r="J353" s="12" t="inlineStr">
        <is>
          <t>G-I-JJK36</t>
        </is>
      </c>
      <c r="K353" s="12" t="inlineStr">
        <is>
          <t>G-I-JJK36-INS01</t>
        </is>
      </c>
      <c r="L353" s="12" t="inlineStr">
        <is>
          <t>Code Emprise</t>
        </is>
      </c>
      <c r="M353" s="12" t="inlineStr">
        <is>
          <t>G-I-JJK36</t>
        </is>
      </c>
      <c r="N353" s="12" t="b">
        <v>0</v>
      </c>
      <c r="O353" s="12" t="n"/>
      <c r="P353" s="12" t="n">
        <v>353</v>
      </c>
      <c r="Q353" s="12" t="n">
        <v>0</v>
      </c>
      <c r="R353" s="12" t="inlineStr">
        <is>
          <t>DEMO_PDM.xlsx</t>
        </is>
      </c>
      <c r="S353" s="24" t="n">
        <v>46309.625</v>
      </c>
    </row>
    <row r="354">
      <c r="A354" s="12" t="inlineStr">
        <is>
          <t>SVI</t>
        </is>
      </c>
      <c r="B354" s="12" t="inlineStr">
        <is>
          <t>AA4</t>
        </is>
      </c>
      <c r="C354" s="12" t="inlineStr">
        <is>
          <t>G-I-JJK36</t>
        </is>
      </c>
      <c r="D354" s="12" t="inlineStr">
        <is>
          <t>Poste fictif Mu II</t>
        </is>
      </c>
      <c r="E354" s="12" t="inlineStr">
        <is>
          <t>COUPURE</t>
        </is>
      </c>
      <c r="F354" s="12" t="n">
        <v>2028</v>
      </c>
      <c r="G354" s="12" t="inlineStr">
        <is>
          <t>PIS</t>
        </is>
      </c>
      <c r="H354" s="12" t="n">
        <v>1</v>
      </c>
      <c r="I354" s="12" t="inlineStr">
        <is>
          <t>PIS</t>
        </is>
      </c>
      <c r="J354" s="12" t="inlineStr">
        <is>
          <t>G-I-JJK36</t>
        </is>
      </c>
      <c r="K354" s="12" t="inlineStr">
        <is>
          <t>G-I-JJK36-INS01</t>
        </is>
      </c>
      <c r="L354" s="12" t="inlineStr">
        <is>
          <t>Code Emprise</t>
        </is>
      </c>
      <c r="M354" s="12" t="inlineStr">
        <is>
          <t>G-I-JJK36</t>
        </is>
      </c>
      <c r="N354" s="12" t="b">
        <v>0</v>
      </c>
      <c r="O354" s="12" t="n"/>
      <c r="P354" s="12" t="n">
        <v>354</v>
      </c>
      <c r="Q354" s="12" t="n">
        <v>0</v>
      </c>
      <c r="R354" s="12" t="inlineStr">
        <is>
          <t>DEMO_PDM.xlsx</t>
        </is>
      </c>
      <c r="S354" s="24" t="n">
        <v>46309.625</v>
      </c>
    </row>
    <row r="355">
      <c r="A355" s="12" t="inlineStr">
        <is>
          <t>SVI</t>
        </is>
      </c>
      <c r="B355" s="12" t="inlineStr">
        <is>
          <t>AA4</t>
        </is>
      </c>
      <c r="C355" s="12" t="inlineStr">
        <is>
          <t>G-I-JJK36</t>
        </is>
      </c>
      <c r="D355" s="12" t="inlineStr">
        <is>
          <t>Poste fictif Mu II</t>
        </is>
      </c>
      <c r="E355" s="12" t="inlineStr">
        <is>
          <t>COUPURE</t>
        </is>
      </c>
      <c r="F355" s="12" t="n">
        <v>2029</v>
      </c>
      <c r="G355" s="12" t="inlineStr">
        <is>
          <t>PIS</t>
        </is>
      </c>
      <c r="H355" s="12" t="n">
        <v>1</v>
      </c>
      <c r="I355" s="12" t="inlineStr">
        <is>
          <t>PIS</t>
        </is>
      </c>
      <c r="J355" s="12" t="inlineStr">
        <is>
          <t>G-I-JJK36</t>
        </is>
      </c>
      <c r="K355" s="12" t="inlineStr">
        <is>
          <t>G-I-JJK36-INS01</t>
        </is>
      </c>
      <c r="L355" s="12" t="inlineStr">
        <is>
          <t>Code Emprise</t>
        </is>
      </c>
      <c r="M355" s="12" t="inlineStr">
        <is>
          <t>G-I-JJK36</t>
        </is>
      </c>
      <c r="N355" s="12" t="b">
        <v>0</v>
      </c>
      <c r="O355" s="12" t="n"/>
      <c r="P355" s="12" t="n">
        <v>355</v>
      </c>
      <c r="Q355" s="12" t="n">
        <v>0</v>
      </c>
      <c r="R355" s="12" t="inlineStr">
        <is>
          <t>DEMO_PDM.xlsx</t>
        </is>
      </c>
      <c r="S355" s="24" t="n">
        <v>46309.625</v>
      </c>
    </row>
    <row r="356">
      <c r="A356" s="12" t="inlineStr">
        <is>
          <t>SVI</t>
        </is>
      </c>
      <c r="B356" s="12" t="inlineStr">
        <is>
          <t>AA4</t>
        </is>
      </c>
      <c r="C356" s="12" t="inlineStr">
        <is>
          <t>G-I-JJK36</t>
        </is>
      </c>
      <c r="D356" s="12" t="inlineStr">
        <is>
          <t>Poste fictif Mu II</t>
        </is>
      </c>
      <c r="E356" s="12" t="inlineStr">
        <is>
          <t>COUPURE</t>
        </is>
      </c>
      <c r="F356" s="12" t="n">
        <v>2030</v>
      </c>
      <c r="G356" s="12" t="inlineStr">
        <is>
          <t>PIS</t>
        </is>
      </c>
      <c r="H356" s="12" t="n">
        <v>1</v>
      </c>
      <c r="I356" s="12" t="inlineStr">
        <is>
          <t>PIS</t>
        </is>
      </c>
      <c r="J356" s="12" t="inlineStr">
        <is>
          <t>G-I-JJK36</t>
        </is>
      </c>
      <c r="K356" s="12" t="inlineStr">
        <is>
          <t>G-I-JJK36-INS01</t>
        </is>
      </c>
      <c r="L356" s="12" t="inlineStr">
        <is>
          <t>Code Emprise</t>
        </is>
      </c>
      <c r="M356" s="12" t="inlineStr">
        <is>
          <t>G-I-JJK36</t>
        </is>
      </c>
      <c r="N356" s="12" t="b">
        <v>0</v>
      </c>
      <c r="O356" s="12" t="n"/>
      <c r="P356" s="12" t="n">
        <v>356</v>
      </c>
      <c r="Q356" s="12" t="n">
        <v>0</v>
      </c>
      <c r="R356" s="12" t="inlineStr">
        <is>
          <t>DEMO_PDM.xlsx</t>
        </is>
      </c>
      <c r="S356" s="24" t="n">
        <v>46309.625</v>
      </c>
    </row>
    <row r="357">
      <c r="A357" s="12" t="inlineStr">
        <is>
          <t>SVI</t>
        </is>
      </c>
      <c r="B357" s="12" t="inlineStr">
        <is>
          <t>AA4</t>
        </is>
      </c>
      <c r="C357" s="12" t="inlineStr">
        <is>
          <t>G-I-JJK36</t>
        </is>
      </c>
      <c r="D357" s="12" t="inlineStr">
        <is>
          <t>Poste fictif Mu II</t>
        </is>
      </c>
      <c r="E357" s="12" t="inlineStr">
        <is>
          <t>COUPURE</t>
        </is>
      </c>
      <c r="F357" s="12" t="n">
        <v>2030</v>
      </c>
      <c r="G357" s="12" t="inlineStr">
        <is>
          <t>EC SIMPLE</t>
        </is>
      </c>
      <c r="H357" s="12" t="n">
        <v>2</v>
      </c>
      <c r="I357" s="12" t="inlineStr">
        <is>
          <t>EC Simple</t>
        </is>
      </c>
      <c r="J357" s="12" t="inlineStr">
        <is>
          <t>G-I-JJK36</t>
        </is>
      </c>
      <c r="K357" s="12" t="inlineStr">
        <is>
          <t>G-I-JJK36-INS01</t>
        </is>
      </c>
      <c r="L357" s="12" t="inlineStr">
        <is>
          <t>Code Emprise</t>
        </is>
      </c>
      <c r="M357" s="12" t="inlineStr">
        <is>
          <t>G-I-JJK36</t>
        </is>
      </c>
      <c r="N357" s="12" t="b">
        <v>0</v>
      </c>
      <c r="O357" s="12" t="n"/>
      <c r="P357" s="12" t="n">
        <v>357</v>
      </c>
      <c r="Q357" s="12" t="n">
        <v>0</v>
      </c>
      <c r="R357" s="12" t="inlineStr">
        <is>
          <t>DEMO_PDM.xlsx</t>
        </is>
      </c>
      <c r="S357" s="24" t="n">
        <v>46309.625</v>
      </c>
    </row>
    <row r="358">
      <c r="A358" s="12" t="inlineStr">
        <is>
          <t>SVI</t>
        </is>
      </c>
      <c r="B358" s="12" t="inlineStr">
        <is>
          <t>AA4</t>
        </is>
      </c>
      <c r="C358" s="12" t="inlineStr">
        <is>
          <t>G-I-JJK36</t>
        </is>
      </c>
      <c r="D358" s="12" t="inlineStr">
        <is>
          <t>Poste fictif Mu II</t>
        </is>
      </c>
      <c r="E358" s="12" t="inlineStr">
        <is>
          <t>COUPURE</t>
        </is>
      </c>
      <c r="F358" s="12" t="n">
        <v>2031</v>
      </c>
      <c r="G358" s="12" t="inlineStr">
        <is>
          <t>PIS</t>
        </is>
      </c>
      <c r="H358" s="12" t="n">
        <v>1</v>
      </c>
      <c r="I358" s="12" t="inlineStr">
        <is>
          <t>PIS</t>
        </is>
      </c>
      <c r="J358" s="12" t="inlineStr">
        <is>
          <t>G-I-JJK36</t>
        </is>
      </c>
      <c r="K358" s="12" t="inlineStr">
        <is>
          <t>G-I-JJK36-INS01</t>
        </is>
      </c>
      <c r="L358" s="12" t="inlineStr">
        <is>
          <t>Code Emprise</t>
        </is>
      </c>
      <c r="M358" s="12" t="inlineStr">
        <is>
          <t>G-I-JJK36</t>
        </is>
      </c>
      <c r="N358" s="12" t="b">
        <v>0</v>
      </c>
      <c r="O358" s="12" t="n"/>
      <c r="P358" s="12" t="n">
        <v>358</v>
      </c>
      <c r="Q358" s="12" t="n">
        <v>0</v>
      </c>
      <c r="R358" s="12" t="inlineStr">
        <is>
          <t>DEMO_PDM.xlsx</t>
        </is>
      </c>
      <c r="S358" s="24" t="n">
        <v>46309.625</v>
      </c>
    </row>
    <row r="359">
      <c r="A359" s="12" t="inlineStr">
        <is>
          <t>SVI</t>
        </is>
      </c>
      <c r="B359" s="12" t="inlineStr">
        <is>
          <t>AA4</t>
        </is>
      </c>
      <c r="C359" s="12" t="inlineStr">
        <is>
          <t>G-I-JJK36</t>
        </is>
      </c>
      <c r="D359" s="12" t="inlineStr">
        <is>
          <t>Poste fictif Mu II</t>
        </is>
      </c>
      <c r="E359" s="12" t="inlineStr">
        <is>
          <t>COUPURE</t>
        </is>
      </c>
      <c r="F359" s="12" t="n">
        <v>2032</v>
      </c>
      <c r="G359" s="12" t="inlineStr">
        <is>
          <t>PIS</t>
        </is>
      </c>
      <c r="H359" s="12" t="n">
        <v>1</v>
      </c>
      <c r="I359" s="12" t="inlineStr">
        <is>
          <t>PIS</t>
        </is>
      </c>
      <c r="J359" s="12" t="inlineStr">
        <is>
          <t>G-I-JJK36</t>
        </is>
      </c>
      <c r="K359" s="12" t="inlineStr">
        <is>
          <t>G-I-JJK36-INS01</t>
        </is>
      </c>
      <c r="L359" s="12" t="inlineStr">
        <is>
          <t>Code Emprise</t>
        </is>
      </c>
      <c r="M359" s="12" t="inlineStr">
        <is>
          <t>G-I-JJK36</t>
        </is>
      </c>
      <c r="N359" s="12" t="b">
        <v>0</v>
      </c>
      <c r="O359" s="12" t="n"/>
      <c r="P359" s="12" t="n">
        <v>359</v>
      </c>
      <c r="Q359" s="12" t="n">
        <v>0</v>
      </c>
      <c r="R359" s="12" t="inlineStr">
        <is>
          <t>DEMO_PDM.xlsx</t>
        </is>
      </c>
      <c r="S359" s="24" t="n">
        <v>46309.625</v>
      </c>
    </row>
    <row r="360">
      <c r="A360" s="12" t="inlineStr">
        <is>
          <t>SVI</t>
        </is>
      </c>
      <c r="B360" s="12" t="inlineStr">
        <is>
          <t>AA4</t>
        </is>
      </c>
      <c r="C360" s="12" t="inlineStr">
        <is>
          <t>G-I-JJK36</t>
        </is>
      </c>
      <c r="D360" s="12" t="inlineStr">
        <is>
          <t>Poste fictif Mu II</t>
        </is>
      </c>
      <c r="E360" s="12" t="inlineStr">
        <is>
          <t>COUPURE</t>
        </is>
      </c>
      <c r="F360" s="12" t="n">
        <v>2032</v>
      </c>
      <c r="G360" s="12" t="inlineStr">
        <is>
          <t>REVISION</t>
        </is>
      </c>
      <c r="H360" s="12" t="n">
        <v>4</v>
      </c>
      <c r="I360" s="12" t="inlineStr">
        <is>
          <t>Révision</t>
        </is>
      </c>
      <c r="J360" s="12" t="inlineStr">
        <is>
          <t>G-I-JJK36</t>
        </is>
      </c>
      <c r="K360" s="12" t="inlineStr">
        <is>
          <t>G-I-JJK36-INS01</t>
        </is>
      </c>
      <c r="L360" s="12" t="inlineStr">
        <is>
          <t>Code Emprise</t>
        </is>
      </c>
      <c r="M360" s="12" t="inlineStr">
        <is>
          <t>G-I-JJK36</t>
        </is>
      </c>
      <c r="N360" s="12" t="b">
        <v>0</v>
      </c>
      <c r="O360" s="12" t="n"/>
      <c r="P360" s="12" t="n">
        <v>360</v>
      </c>
      <c r="Q360" s="12" t="n">
        <v>0</v>
      </c>
      <c r="R360" s="12" t="inlineStr">
        <is>
          <t>DEMO_PDM.xlsx</t>
        </is>
      </c>
      <c r="S360" s="24" t="n">
        <v>46309.625</v>
      </c>
    </row>
  </sheetData>
  <pageMargins left="0.75" right="0.75" top="1" bottom="1" header="0.5" footer="0.5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3DBDB"/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15" customWidth="1" min="5" max="5"/>
    <col width="19" customWidth="1" min="6" max="6"/>
    <col width="24" customWidth="1" min="7" max="7"/>
    <col width="27" customWidth="1" min="8" max="8"/>
  </cols>
  <sheetData>
    <row r="1" ht="32" customHeight="1">
      <c r="A1" s="11" t="inlineStr">
        <is>
          <t>Origine</t>
        </is>
      </c>
      <c r="B1" s="11" t="inlineStr">
        <is>
          <t>Site</t>
        </is>
      </c>
      <c r="C1" s="11" t="inlineStr">
        <is>
          <t>Équipe</t>
        </is>
      </c>
      <c r="D1" s="11" t="inlineStr">
        <is>
          <t>Code poste</t>
        </is>
      </c>
      <c r="E1" s="11" t="inlineStr">
        <is>
          <t>Désignation</t>
        </is>
      </c>
      <c r="F1" s="11" t="inlineStr">
        <is>
          <t>Code poste GMAO</t>
        </is>
      </c>
      <c r="G1" s="11" t="inlineStr">
        <is>
          <t>Statut rapprochement</t>
        </is>
      </c>
      <c r="H1" s="11" t="inlineStr">
        <is>
          <t>Nb OT préventifs (GMAO)</t>
        </is>
      </c>
    </row>
    <row r="2">
      <c r="A2" s="12" t="inlineStr">
        <is>
          <t>Programme</t>
        </is>
      </c>
      <c r="B2" s="12" t="inlineStr">
        <is>
          <t>ALZ</t>
        </is>
      </c>
      <c r="C2" s="12" t="inlineStr">
        <is>
          <t>AA1</t>
        </is>
      </c>
      <c r="D2" s="12" t="inlineStr">
        <is>
          <t>G-I-PPP16</t>
        </is>
      </c>
      <c r="E2" s="12" t="inlineStr">
        <is>
          <t>Poste fictif Pi</t>
        </is>
      </c>
      <c r="F2" s="12" t="inlineStr">
        <is>
          <t>G-I-PPP16</t>
        </is>
      </c>
      <c r="G2" s="12" t="inlineStr">
        <is>
          <t>Correspondance automatique</t>
        </is>
      </c>
      <c r="H2" s="12" t="n">
        <v>3</v>
      </c>
    </row>
    <row r="3">
      <c r="A3" s="12" t="inlineStr">
        <is>
          <t>Programme</t>
        </is>
      </c>
      <c r="B3" s="12" t="inlineStr">
        <is>
          <t>ALZ</t>
        </is>
      </c>
      <c r="C3" s="12" t="inlineStr">
        <is>
          <t>AA3</t>
        </is>
      </c>
      <c r="D3" s="12" t="inlineStr">
        <is>
          <t>G-I-QQQ17</t>
        </is>
      </c>
      <c r="E3" s="12" t="inlineStr">
        <is>
          <t>Poste fictif Rho</t>
        </is>
      </c>
      <c r="F3" s="12" t="inlineStr">
        <is>
          <t>G-I-QQQ17</t>
        </is>
      </c>
      <c r="G3" s="12" t="inlineStr">
        <is>
          <t>Correspondance automatique</t>
        </is>
      </c>
      <c r="H3" s="12" t="n">
        <v>3</v>
      </c>
    </row>
    <row r="4">
      <c r="A4" s="12" t="inlineStr">
        <is>
          <t>Programme</t>
        </is>
      </c>
      <c r="B4" s="12" t="inlineStr">
        <is>
          <t>ALZ</t>
        </is>
      </c>
      <c r="C4" s="12" t="inlineStr">
        <is>
          <t>AA4</t>
        </is>
      </c>
      <c r="D4" s="12" t="inlineStr">
        <is>
          <t>G-I-RRR18</t>
        </is>
      </c>
      <c r="E4" s="12" t="inlineStr">
        <is>
          <t>Poste fictif Sigma</t>
        </is>
      </c>
      <c r="F4" s="12" t="inlineStr">
        <is>
          <t>G-I-RRR18</t>
        </is>
      </c>
      <c r="G4" s="12" t="inlineStr">
        <is>
          <t>Correspondance automatique</t>
        </is>
      </c>
      <c r="H4" s="12" t="n">
        <v>2</v>
      </c>
    </row>
    <row r="5">
      <c r="A5" s="12" t="inlineStr">
        <is>
          <t>Programme</t>
        </is>
      </c>
      <c r="B5" s="12" t="inlineStr">
        <is>
          <t>DEI</t>
        </is>
      </c>
      <c r="C5" s="12" t="inlineStr">
        <is>
          <t>AA1</t>
        </is>
      </c>
      <c r="D5" s="12" t="inlineStr">
        <is>
          <t>G-I-EEF31</t>
        </is>
      </c>
      <c r="E5" s="12" t="inlineStr">
        <is>
          <t>Poste fictif Eta II</t>
        </is>
      </c>
      <c r="F5" s="12" t="inlineStr">
        <is>
          <t>G-I-EEF31</t>
        </is>
      </c>
      <c r="G5" s="12" t="inlineStr">
        <is>
          <t>Correspondance automatique</t>
        </is>
      </c>
      <c r="H5" s="12" t="n">
        <v>2</v>
      </c>
    </row>
    <row r="6">
      <c r="A6" s="12" t="inlineStr">
        <is>
          <t>Programme</t>
        </is>
      </c>
      <c r="B6" s="12" t="inlineStr">
        <is>
          <t>DEI</t>
        </is>
      </c>
      <c r="C6" s="12" t="inlineStr">
        <is>
          <t>AA1</t>
        </is>
      </c>
      <c r="D6" s="12" t="inlineStr">
        <is>
          <t>G-I-VVV22</t>
        </is>
      </c>
      <c r="E6" s="12" t="inlineStr">
        <is>
          <t>Poste fictif Chi</t>
        </is>
      </c>
      <c r="F6" s="12" t="inlineStr">
        <is>
          <t>G-I-VVV22</t>
        </is>
      </c>
      <c r="G6" s="12" t="inlineStr">
        <is>
          <t>Correspondance automatique</t>
        </is>
      </c>
      <c r="H6" s="12" t="n">
        <v>3</v>
      </c>
    </row>
    <row r="7">
      <c r="A7" s="12" t="inlineStr">
        <is>
          <t>Programme</t>
        </is>
      </c>
      <c r="B7" s="12" t="inlineStr">
        <is>
          <t>DEI</t>
        </is>
      </c>
      <c r="C7" s="12" t="inlineStr">
        <is>
          <t>AA3</t>
        </is>
      </c>
      <c r="D7" s="12" t="inlineStr">
        <is>
          <t>G-I-WWW23</t>
        </is>
      </c>
      <c r="E7" s="12" t="inlineStr">
        <is>
          <t>Poste fictif Psi</t>
        </is>
      </c>
      <c r="F7" s="12" t="inlineStr">
        <is>
          <t>G-I-WWW23</t>
        </is>
      </c>
      <c r="G7" s="12" t="inlineStr">
        <is>
          <t>Correspondance automatique</t>
        </is>
      </c>
      <c r="H7" s="12" t="n">
        <v>2</v>
      </c>
    </row>
    <row r="8">
      <c r="A8" s="12" t="inlineStr">
        <is>
          <t>Programme</t>
        </is>
      </c>
      <c r="B8" s="12" t="inlineStr">
        <is>
          <t>DEI</t>
        </is>
      </c>
      <c r="C8" s="12" t="inlineStr">
        <is>
          <t>AA4</t>
        </is>
      </c>
      <c r="D8" s="12" t="inlineStr">
        <is>
          <t>G-I-XXX24</t>
        </is>
      </c>
      <c r="E8" s="12" t="inlineStr">
        <is>
          <t>Poste fictif Omega</t>
        </is>
      </c>
      <c r="F8" s="12" t="inlineStr">
        <is>
          <t>G-I-XXX24</t>
        </is>
      </c>
      <c r="G8" s="12" t="inlineStr">
        <is>
          <t>Correspondance automatique</t>
        </is>
      </c>
      <c r="H8" s="12" t="n">
        <v>2</v>
      </c>
    </row>
    <row r="9">
      <c r="A9" s="12" t="inlineStr">
        <is>
          <t>Programme</t>
        </is>
      </c>
      <c r="B9" s="12" t="inlineStr">
        <is>
          <t>LRO</t>
        </is>
      </c>
      <c r="C9" s="12" t="inlineStr">
        <is>
          <t>AA1</t>
        </is>
      </c>
      <c r="D9" s="12" t="inlineStr">
        <is>
          <t>G-I-MMM13</t>
        </is>
      </c>
      <c r="E9" s="12" t="inlineStr">
        <is>
          <t>Poste fictif Nu</t>
        </is>
      </c>
      <c r="F9" s="12" t="inlineStr">
        <is>
          <t>G-I-MMN13</t>
        </is>
      </c>
      <c r="G9" s="12" t="inlineStr">
        <is>
          <t>Correspondance manuelle</t>
        </is>
      </c>
      <c r="H9" s="12" t="n">
        <v>3</v>
      </c>
    </row>
    <row r="10">
      <c r="A10" s="12" t="inlineStr">
        <is>
          <t>Programme</t>
        </is>
      </c>
      <c r="B10" s="12" t="inlineStr">
        <is>
          <t>LRO</t>
        </is>
      </c>
      <c r="C10" s="12" t="inlineStr">
        <is>
          <t>AA3</t>
        </is>
      </c>
      <c r="D10" s="12" t="inlineStr">
        <is>
          <t>G-I-NNN14</t>
        </is>
      </c>
      <c r="E10" s="12" t="inlineStr">
        <is>
          <t>Poste fictif Xi</t>
        </is>
      </c>
      <c r="F10" s="12" t="inlineStr">
        <is>
          <t>G-I-NNN14</t>
        </is>
      </c>
      <c r="G10" s="12" t="inlineStr">
        <is>
          <t>Correspondance automatique</t>
        </is>
      </c>
      <c r="H10" s="12" t="n">
        <v>2</v>
      </c>
    </row>
    <row r="11">
      <c r="A11" s="12" t="inlineStr">
        <is>
          <t>Programme</t>
        </is>
      </c>
      <c r="B11" s="12" t="inlineStr">
        <is>
          <t>LRO</t>
        </is>
      </c>
      <c r="C11" s="12" t="inlineStr">
        <is>
          <t>AA4</t>
        </is>
      </c>
      <c r="D11" s="12" t="inlineStr">
        <is>
          <t>G-I-HHI34</t>
        </is>
      </c>
      <c r="E11" s="12" t="inlineStr">
        <is>
          <t>Poste fictif Kappa II</t>
        </is>
      </c>
      <c r="F11" s="12" t="inlineStr">
        <is>
          <t>G-I-HHI34</t>
        </is>
      </c>
      <c r="G11" s="12" t="inlineStr">
        <is>
          <t>Correspondance automatique</t>
        </is>
      </c>
      <c r="H11" s="12" t="n">
        <v>1</v>
      </c>
    </row>
    <row r="12">
      <c r="A12" s="12" t="inlineStr">
        <is>
          <t>Programme</t>
        </is>
      </c>
      <c r="B12" s="12" t="inlineStr">
        <is>
          <t>LRO</t>
        </is>
      </c>
      <c r="C12" s="12" t="inlineStr">
        <is>
          <t>AA4</t>
        </is>
      </c>
      <c r="D12" s="12" t="inlineStr">
        <is>
          <t>G-I-OOO15</t>
        </is>
      </c>
      <c r="E12" s="12" t="inlineStr">
        <is>
          <t>Poste fictif Omicron</t>
        </is>
      </c>
      <c r="F12" s="12" t="inlineStr">
        <is>
          <t>G-I-OOO15</t>
        </is>
      </c>
      <c r="G12" s="12" t="inlineStr">
        <is>
          <t>Correspondance automatique</t>
        </is>
      </c>
      <c r="H12" s="12" t="n">
        <v>1</v>
      </c>
    </row>
    <row r="13">
      <c r="A13" s="12" t="inlineStr">
        <is>
          <t>Programme</t>
        </is>
      </c>
      <c r="B13" s="12" t="inlineStr">
        <is>
          <t>RNA</t>
        </is>
      </c>
      <c r="C13" s="12" t="inlineStr">
        <is>
          <t>AA1</t>
        </is>
      </c>
      <c r="D13" s="12" t="inlineStr">
        <is>
          <t>G-I-GGG07</t>
        </is>
      </c>
      <c r="E13" s="12" t="inlineStr">
        <is>
          <t>Poste fictif Eta</t>
        </is>
      </c>
      <c r="F13" s="12" t="inlineStr">
        <is>
          <t>G-I-GGG07</t>
        </is>
      </c>
      <c r="G13" s="12" t="inlineStr">
        <is>
          <t>Correspondance automatique</t>
        </is>
      </c>
      <c r="H13" s="12" t="n">
        <v>3</v>
      </c>
    </row>
    <row r="14">
      <c r="A14" s="12" t="inlineStr">
        <is>
          <t>Programme</t>
        </is>
      </c>
      <c r="B14" s="12" t="inlineStr">
        <is>
          <t>RNA</t>
        </is>
      </c>
      <c r="C14" s="12" t="inlineStr">
        <is>
          <t>AA1</t>
        </is>
      </c>
      <c r="D14" s="12" t="inlineStr">
        <is>
          <t>G-I-IIJ35</t>
        </is>
      </c>
      <c r="E14" s="12" t="inlineStr">
        <is>
          <t>Poste fictif Lambda II</t>
        </is>
      </c>
      <c r="F14" s="12" t="inlineStr">
        <is>
          <t>G-I-IIJ35</t>
        </is>
      </c>
      <c r="G14" s="12" t="inlineStr">
        <is>
          <t>Correspondance automatique</t>
        </is>
      </c>
      <c r="H14" s="12" t="n">
        <v>2</v>
      </c>
    </row>
    <row r="15">
      <c r="A15" s="12" t="inlineStr">
        <is>
          <t>Programme</t>
        </is>
      </c>
      <c r="B15" s="12" t="inlineStr">
        <is>
          <t>RNA</t>
        </is>
      </c>
      <c r="C15" s="12" t="inlineStr">
        <is>
          <t>AA3</t>
        </is>
      </c>
      <c r="D15" s="12" t="inlineStr">
        <is>
          <t>G-I-HHH08</t>
        </is>
      </c>
      <c r="E15" s="12" t="inlineStr">
        <is>
          <t>Poste fictif Theta</t>
        </is>
      </c>
      <c r="F15" s="12" t="inlineStr">
        <is>
          <t>G-I-HHH08</t>
        </is>
      </c>
      <c r="G15" s="12" t="inlineStr">
        <is>
          <t>Correspondance automatique</t>
        </is>
      </c>
      <c r="H15" s="12" t="n">
        <v>3</v>
      </c>
    </row>
    <row r="16">
      <c r="A16" s="12" t="inlineStr">
        <is>
          <t>Programme</t>
        </is>
      </c>
      <c r="B16" s="12" t="inlineStr">
        <is>
          <t>RNA</t>
        </is>
      </c>
      <c r="C16" s="12" t="inlineStr">
        <is>
          <t>AA4</t>
        </is>
      </c>
      <c r="D16" s="12" t="inlineStr">
        <is>
          <t>G-I-III09</t>
        </is>
      </c>
      <c r="E16" s="12" t="inlineStr">
        <is>
          <t>Poste fictif Iota</t>
        </is>
      </c>
      <c r="F16" s="12" t="inlineStr">
        <is>
          <t>G-I-III09</t>
        </is>
      </c>
      <c r="G16" s="12" t="inlineStr">
        <is>
          <t>Correspondance automatique</t>
        </is>
      </c>
      <c r="H16" s="12" t="n">
        <v>1</v>
      </c>
    </row>
    <row r="17">
      <c r="A17" s="12" t="inlineStr">
        <is>
          <t>Programme</t>
        </is>
      </c>
      <c r="B17" s="12" t="inlineStr">
        <is>
          <t>SET</t>
        </is>
      </c>
      <c r="C17" s="12" t="inlineStr">
        <is>
          <t>AA1</t>
        </is>
      </c>
      <c r="D17" s="12" t="inlineStr">
        <is>
          <t>G-I-AAA01</t>
        </is>
      </c>
      <c r="E17" s="12" t="inlineStr">
        <is>
          <t>Poste fictif Alpha</t>
        </is>
      </c>
      <c r="F17" s="12" t="inlineStr">
        <is>
          <t>G-I-AAA01</t>
        </is>
      </c>
      <c r="G17" s="12" t="inlineStr">
        <is>
          <t>Correspondance automatique</t>
        </is>
      </c>
      <c r="H17" s="12" t="n">
        <v>2</v>
      </c>
    </row>
    <row r="18">
      <c r="A18" s="12" t="inlineStr">
        <is>
          <t>Programme</t>
        </is>
      </c>
      <c r="B18" s="12" t="inlineStr">
        <is>
          <t>SET</t>
        </is>
      </c>
      <c r="C18" s="12" t="inlineStr">
        <is>
          <t>AA3</t>
        </is>
      </c>
      <c r="D18" s="12" t="inlineStr">
        <is>
          <t>G-I-BBB02</t>
        </is>
      </c>
      <c r="E18" s="12" t="inlineStr">
        <is>
          <t>Poste fictif Beta</t>
        </is>
      </c>
      <c r="F18" s="12" t="inlineStr">
        <is>
          <t>G-I-BBB02</t>
        </is>
      </c>
      <c r="G18" s="12" t="inlineStr">
        <is>
          <t>Correspondance automatique</t>
        </is>
      </c>
      <c r="H18" s="12" t="n">
        <v>3</v>
      </c>
    </row>
    <row r="19">
      <c r="A19" s="12" t="inlineStr">
        <is>
          <t>Programme</t>
        </is>
      </c>
      <c r="B19" s="12" t="inlineStr">
        <is>
          <t>SET</t>
        </is>
      </c>
      <c r="C19" s="12" t="inlineStr">
        <is>
          <t>AA3</t>
        </is>
      </c>
      <c r="D19" s="12" t="inlineStr">
        <is>
          <t>G-I-GGH33</t>
        </is>
      </c>
      <c r="E19" s="12" t="inlineStr">
        <is>
          <t>Poste fictif Iota II</t>
        </is>
      </c>
      <c r="F19" s="12" t="inlineStr">
        <is>
          <t>G-I-GGH33</t>
        </is>
      </c>
      <c r="G19" s="12" t="inlineStr">
        <is>
          <t>Correspondance automatique</t>
        </is>
      </c>
      <c r="H19" s="12" t="n">
        <v>2</v>
      </c>
    </row>
    <row r="20">
      <c r="A20" s="12" t="inlineStr">
        <is>
          <t>Programme</t>
        </is>
      </c>
      <c r="B20" s="12" t="inlineStr">
        <is>
          <t>SET</t>
        </is>
      </c>
      <c r="C20" s="12" t="inlineStr">
        <is>
          <t>AA4</t>
        </is>
      </c>
      <c r="D20" s="12" t="inlineStr">
        <is>
          <t>G-I-CCC03</t>
        </is>
      </c>
      <c r="E20" s="12" t="inlineStr">
        <is>
          <t>Poste fictif Gamma</t>
        </is>
      </c>
      <c r="F20" s="12" t="inlineStr">
        <is>
          <t>G-I-CCC03</t>
        </is>
      </c>
      <c r="G20" s="12" t="inlineStr">
        <is>
          <t>Correspondance automatique</t>
        </is>
      </c>
      <c r="H20" s="12" t="n">
        <v>3</v>
      </c>
    </row>
    <row r="21">
      <c r="A21" s="12" t="inlineStr">
        <is>
          <t>Programme</t>
        </is>
      </c>
      <c r="B21" s="12" t="inlineStr">
        <is>
          <t>SHL</t>
        </is>
      </c>
      <c r="C21" s="12" t="inlineStr">
        <is>
          <t>AA1</t>
        </is>
      </c>
      <c r="D21" s="12" t="inlineStr">
        <is>
          <t>G-I-YYY25</t>
        </is>
      </c>
      <c r="E21" s="12" t="inlineStr">
        <is>
          <t>Poste fictif Alpha II</t>
        </is>
      </c>
      <c r="F21" s="12" t="inlineStr">
        <is>
          <t>G-I-YYY25</t>
        </is>
      </c>
      <c r="G21" s="12" t="inlineStr">
        <is>
          <t>Correspondance automatique</t>
        </is>
      </c>
      <c r="H21" s="12" t="n">
        <v>2</v>
      </c>
    </row>
    <row r="22">
      <c r="A22" s="12" t="inlineStr">
        <is>
          <t>Programme</t>
        </is>
      </c>
      <c r="B22" s="12" t="inlineStr">
        <is>
          <t>SHL</t>
        </is>
      </c>
      <c r="C22" s="12" t="inlineStr">
        <is>
          <t>AA3</t>
        </is>
      </c>
      <c r="D22" s="12" t="inlineStr">
        <is>
          <t>G-I-ZZZ26</t>
        </is>
      </c>
      <c r="E22" s="12" t="inlineStr">
        <is>
          <t>Poste fictif Beta II</t>
        </is>
      </c>
      <c r="F22" s="12" t="inlineStr">
        <is>
          <t>G-I-ZZZ26</t>
        </is>
      </c>
      <c r="G22" s="12" t="inlineStr">
        <is>
          <t>Non rapproché</t>
        </is>
      </c>
      <c r="H22" s="12" t="n">
        <v>0</v>
      </c>
    </row>
    <row r="23">
      <c r="A23" s="12" t="inlineStr">
        <is>
          <t>Programme</t>
        </is>
      </c>
      <c r="B23" s="12" t="inlineStr">
        <is>
          <t>SHL</t>
        </is>
      </c>
      <c r="C23" s="12" t="inlineStr">
        <is>
          <t>AA4</t>
        </is>
      </c>
      <c r="D23" s="12" t="inlineStr">
        <is>
          <t>G-I-AAB27</t>
        </is>
      </c>
      <c r="E23" s="12" t="inlineStr">
        <is>
          <t>Poste fictif Gamma II</t>
        </is>
      </c>
      <c r="F23" s="12" t="inlineStr">
        <is>
          <t>G-I-AAB27</t>
        </is>
      </c>
      <c r="G23" s="12" t="inlineStr">
        <is>
          <t>Correspondance automatique</t>
        </is>
      </c>
      <c r="H23" s="12" t="n">
        <v>2</v>
      </c>
    </row>
    <row r="24">
      <c r="A24" s="12" t="inlineStr">
        <is>
          <t>Programme</t>
        </is>
      </c>
      <c r="B24" s="12" t="inlineStr">
        <is>
          <t>SPS</t>
        </is>
      </c>
      <c r="C24" s="12" t="inlineStr">
        <is>
          <t>AA1</t>
        </is>
      </c>
      <c r="D24" s="12" t="inlineStr">
        <is>
          <t>G-I-DDD04</t>
        </is>
      </c>
      <c r="E24" s="12" t="inlineStr">
        <is>
          <t>Poste fictif Delta</t>
        </is>
      </c>
      <c r="F24" s="12" t="inlineStr">
        <is>
          <t>G-I-DDD04</t>
        </is>
      </c>
      <c r="G24" s="12" t="inlineStr">
        <is>
          <t>Correspondance automatique</t>
        </is>
      </c>
      <c r="H24" s="12" t="n">
        <v>3</v>
      </c>
    </row>
    <row r="25">
      <c r="A25" s="12" t="inlineStr">
        <is>
          <t>Programme</t>
        </is>
      </c>
      <c r="B25" s="12" t="inlineStr">
        <is>
          <t>SPS</t>
        </is>
      </c>
      <c r="C25" s="12" t="inlineStr">
        <is>
          <t>AA3</t>
        </is>
      </c>
      <c r="D25" s="12" t="inlineStr">
        <is>
          <t>G-I-EEE05</t>
        </is>
      </c>
      <c r="E25" s="12" t="inlineStr">
        <is>
          <t>Poste fictif Epsilon</t>
        </is>
      </c>
      <c r="F25" s="12" t="inlineStr">
        <is>
          <t>G-I-EEE05</t>
        </is>
      </c>
      <c r="G25" s="12" t="inlineStr">
        <is>
          <t>Correspondance automatique</t>
        </is>
      </c>
      <c r="H25" s="12" t="n">
        <v>3</v>
      </c>
    </row>
    <row r="26">
      <c r="A26" s="12" t="inlineStr">
        <is>
          <t>Programme</t>
        </is>
      </c>
      <c r="B26" s="12" t="inlineStr">
        <is>
          <t>SPS</t>
        </is>
      </c>
      <c r="C26" s="12" t="inlineStr">
        <is>
          <t>AA4</t>
        </is>
      </c>
      <c r="D26" s="12" t="inlineStr">
        <is>
          <t>G-I-FFF06</t>
        </is>
      </c>
      <c r="E26" s="12" t="inlineStr">
        <is>
          <t>Poste fictif Zeta</t>
        </is>
      </c>
      <c r="F26" s="12" t="inlineStr">
        <is>
          <t>G-I-FFF06</t>
        </is>
      </c>
      <c r="G26" s="12" t="inlineStr">
        <is>
          <t>Correspondance automatique</t>
        </is>
      </c>
      <c r="H26" s="12" t="n">
        <v>3</v>
      </c>
    </row>
    <row r="27">
      <c r="A27" s="12" t="inlineStr">
        <is>
          <t>Programme</t>
        </is>
      </c>
      <c r="B27" s="12" t="inlineStr">
        <is>
          <t>SVI</t>
        </is>
      </c>
      <c r="C27" s="12" t="inlineStr">
        <is>
          <t>AA1</t>
        </is>
      </c>
      <c r="D27" s="12" t="inlineStr">
        <is>
          <t>G-I-BBC28</t>
        </is>
      </c>
      <c r="E27" s="12" t="inlineStr">
        <is>
          <t>Poste fictif Delta II</t>
        </is>
      </c>
      <c r="F27" s="12" t="inlineStr">
        <is>
          <t>G-I-BBC28</t>
        </is>
      </c>
      <c r="G27" s="12" t="inlineStr">
        <is>
          <t>Correspondance automatique</t>
        </is>
      </c>
      <c r="H27" s="12" t="n">
        <v>2</v>
      </c>
    </row>
    <row r="28">
      <c r="A28" s="12" t="inlineStr">
        <is>
          <t>Programme</t>
        </is>
      </c>
      <c r="B28" s="12" t="inlineStr">
        <is>
          <t>SVI</t>
        </is>
      </c>
      <c r="C28" s="12" t="inlineStr">
        <is>
          <t>AA3</t>
        </is>
      </c>
      <c r="D28" s="12" t="inlineStr">
        <is>
          <t>G-I-CCD29</t>
        </is>
      </c>
      <c r="E28" s="12" t="inlineStr">
        <is>
          <t>Poste fictif Epsilon II</t>
        </is>
      </c>
      <c r="F28" s="12" t="inlineStr">
        <is>
          <t>G-I-CCD29</t>
        </is>
      </c>
      <c r="G28" s="12" t="inlineStr">
        <is>
          <t>Correspondance automatique</t>
        </is>
      </c>
      <c r="H28" s="12" t="n">
        <v>2</v>
      </c>
    </row>
    <row r="29">
      <c r="A29" s="12" t="inlineStr">
        <is>
          <t>Programme</t>
        </is>
      </c>
      <c r="B29" s="12" t="inlineStr">
        <is>
          <t>SVI</t>
        </is>
      </c>
      <c r="C29" s="12" t="inlineStr">
        <is>
          <t>AA4</t>
        </is>
      </c>
      <c r="D29" s="12" t="inlineStr">
        <is>
          <t>G-I-DDE30</t>
        </is>
      </c>
      <c r="E29" s="12" t="inlineStr">
        <is>
          <t>Poste fictif Zeta II</t>
        </is>
      </c>
      <c r="F29" s="12" t="inlineStr">
        <is>
          <t>G-I-DDE30</t>
        </is>
      </c>
      <c r="G29" s="12" t="inlineStr">
        <is>
          <t>Correspondance automatique</t>
        </is>
      </c>
      <c r="H29" s="12" t="n">
        <v>3</v>
      </c>
    </row>
    <row r="30">
      <c r="A30" s="12" t="inlineStr">
        <is>
          <t>Programme</t>
        </is>
      </c>
      <c r="B30" s="12" t="inlineStr">
        <is>
          <t>SVI</t>
        </is>
      </c>
      <c r="C30" s="12" t="inlineStr">
        <is>
          <t>AA4</t>
        </is>
      </c>
      <c r="D30" s="12" t="inlineStr">
        <is>
          <t>G-I-JJK36</t>
        </is>
      </c>
      <c r="E30" s="12" t="inlineStr">
        <is>
          <t>Poste fictif Mu II</t>
        </is>
      </c>
      <c r="F30" s="12" t="inlineStr">
        <is>
          <t>G-I-JJK36</t>
        </is>
      </c>
      <c r="G30" s="12" t="inlineStr">
        <is>
          <t>Correspondance automatique</t>
        </is>
      </c>
      <c r="H30" s="12" t="n">
        <v>1</v>
      </c>
    </row>
    <row r="31">
      <c r="A31" s="12" t="inlineStr">
        <is>
          <t>Programme</t>
        </is>
      </c>
      <c r="B31" s="12" t="inlineStr">
        <is>
          <t>VDY</t>
        </is>
      </c>
      <c r="C31" s="12" t="inlineStr">
        <is>
          <t>AA1</t>
        </is>
      </c>
      <c r="D31" s="12" t="inlineStr">
        <is>
          <t>G-I-SSS19</t>
        </is>
      </c>
      <c r="E31" s="12" t="inlineStr">
        <is>
          <t>Poste fictif Tau</t>
        </is>
      </c>
      <c r="F31" s="12" t="inlineStr">
        <is>
          <t>G-I-SSS19</t>
        </is>
      </c>
      <c r="G31" s="12" t="inlineStr">
        <is>
          <t>Correspondance automatique</t>
        </is>
      </c>
      <c r="H31" s="12" t="n">
        <v>2</v>
      </c>
    </row>
    <row r="32">
      <c r="A32" s="12" t="inlineStr">
        <is>
          <t>Programme</t>
        </is>
      </c>
      <c r="B32" s="12" t="inlineStr">
        <is>
          <t>VDY</t>
        </is>
      </c>
      <c r="C32" s="12" t="inlineStr">
        <is>
          <t>AA3</t>
        </is>
      </c>
      <c r="D32" s="12" t="inlineStr">
        <is>
          <t>G-I-TTT20</t>
        </is>
      </c>
      <c r="E32" s="12" t="inlineStr">
        <is>
          <t>Poste fictif Upsilon</t>
        </is>
      </c>
      <c r="F32" s="12" t="inlineStr">
        <is>
          <t>G-I-TTT20</t>
        </is>
      </c>
      <c r="G32" s="12" t="inlineStr">
        <is>
          <t>Correspondance automatique</t>
        </is>
      </c>
      <c r="H32" s="12" t="n">
        <v>3</v>
      </c>
    </row>
    <row r="33">
      <c r="A33" s="12" t="inlineStr">
        <is>
          <t>Programme</t>
        </is>
      </c>
      <c r="B33" s="12" t="inlineStr">
        <is>
          <t>VDY</t>
        </is>
      </c>
      <c r="C33" s="12" t="inlineStr">
        <is>
          <t>AA4</t>
        </is>
      </c>
      <c r="D33" s="12" t="inlineStr">
        <is>
          <t>G-I-UUU21</t>
        </is>
      </c>
      <c r="E33" s="12" t="inlineStr">
        <is>
          <t>Poste fictif Phi</t>
        </is>
      </c>
      <c r="F33" s="12" t="inlineStr">
        <is>
          <t>G-I-UUU21</t>
        </is>
      </c>
      <c r="G33" s="12" t="inlineStr">
        <is>
          <t>Correspondance automatique</t>
        </is>
      </c>
      <c r="H33" s="12" t="n">
        <v>1</v>
      </c>
    </row>
    <row r="34">
      <c r="A34" s="12" t="inlineStr">
        <is>
          <t>Programme</t>
        </is>
      </c>
      <c r="B34" s="12" t="inlineStr">
        <is>
          <t>VRS</t>
        </is>
      </c>
      <c r="C34" s="12" t="inlineStr">
        <is>
          <t>AA1</t>
        </is>
      </c>
      <c r="D34" s="12" t="inlineStr">
        <is>
          <t>G-I-JJJ10</t>
        </is>
      </c>
      <c r="E34" s="12" t="inlineStr">
        <is>
          <t>Poste fictif Kappa</t>
        </is>
      </c>
      <c r="F34" s="12" t="inlineStr">
        <is>
          <t>G-I-JJJ10</t>
        </is>
      </c>
      <c r="G34" s="12" t="inlineStr">
        <is>
          <t>Correspondance automatique</t>
        </is>
      </c>
      <c r="H34" s="12" t="n">
        <v>3</v>
      </c>
    </row>
    <row r="35">
      <c r="A35" s="12" t="inlineStr">
        <is>
          <t>Programme</t>
        </is>
      </c>
      <c r="B35" s="12" t="inlineStr">
        <is>
          <t>VRS</t>
        </is>
      </c>
      <c r="C35" s="12" t="inlineStr">
        <is>
          <t>AA3</t>
        </is>
      </c>
      <c r="D35" s="12" t="inlineStr">
        <is>
          <t>G-I-FFG32</t>
        </is>
      </c>
      <c r="E35" s="12" t="inlineStr">
        <is>
          <t>Poste fictif Theta II</t>
        </is>
      </c>
      <c r="F35" s="12" t="inlineStr">
        <is>
          <t>G-I-FFG32</t>
        </is>
      </c>
      <c r="G35" s="12" t="inlineStr">
        <is>
          <t>Correspondance automatique</t>
        </is>
      </c>
      <c r="H35" s="12" t="n">
        <v>2</v>
      </c>
    </row>
    <row r="36">
      <c r="A36" s="12" t="inlineStr">
        <is>
          <t>Programme</t>
        </is>
      </c>
      <c r="B36" s="12" t="inlineStr">
        <is>
          <t>VRS</t>
        </is>
      </c>
      <c r="C36" s="12" t="inlineStr">
        <is>
          <t>AA3</t>
        </is>
      </c>
      <c r="D36" s="12" t="inlineStr">
        <is>
          <t>G-I-KKK11</t>
        </is>
      </c>
      <c r="E36" s="12" t="inlineStr">
        <is>
          <t>Poste fictif Lambda</t>
        </is>
      </c>
      <c r="F36" s="12" t="inlineStr">
        <is>
          <t>G-I-KKK11</t>
        </is>
      </c>
      <c r="G36" s="12" t="inlineStr">
        <is>
          <t>Correspondance automatique</t>
        </is>
      </c>
      <c r="H36" s="12" t="n">
        <v>3</v>
      </c>
    </row>
    <row r="37">
      <c r="A37" s="12" t="inlineStr">
        <is>
          <t>Programme</t>
        </is>
      </c>
      <c r="B37" s="12" t="inlineStr">
        <is>
          <t>VRS</t>
        </is>
      </c>
      <c r="C37" s="12" t="inlineStr">
        <is>
          <t>AA4</t>
        </is>
      </c>
      <c r="D37" s="12" t="inlineStr">
        <is>
          <t>G-I-LLL12</t>
        </is>
      </c>
      <c r="E37" s="12" t="inlineStr">
        <is>
          <t>Poste fictif Mu</t>
        </is>
      </c>
      <c r="F37" s="12" t="inlineStr">
        <is>
          <t>G-I-LLL12</t>
        </is>
      </c>
      <c r="G37" s="12" t="inlineStr">
        <is>
          <t>Correspondance automatique</t>
        </is>
      </c>
      <c r="H37" s="12" t="n">
        <v>3</v>
      </c>
    </row>
  </sheetData>
  <pageMargins left="0.75" right="0.75" top="1" bottom="1" header="0.5" footer="0.5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3DBDB"/>
    <outlinePr summaryBelow="1" summaryRight="1"/>
    <pageSetUpPr/>
  </sheetPr>
  <dimension ref="A1:Z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4" max="4"/>
    <col width="12" customWidth="1" min="5" max="5"/>
    <col width="16" customWidth="1" min="7" max="7"/>
    <col width="22" customWidth="1" min="8" max="8"/>
    <col width="18" customWidth="1" min="9" max="9"/>
    <col width="14" customWidth="1" min="11" max="11"/>
    <col width="14" customWidth="1" min="12" max="12"/>
    <col width="7" customWidth="1" min="13" max="13"/>
    <col width="16" customWidth="1" min="15" max="15"/>
    <col width="22" customWidth="1" min="16" max="16"/>
    <col width="14" customWidth="1" min="18" max="18"/>
    <col width="14" customWidth="1" min="19" max="19"/>
    <col width="30" customWidth="1" min="20" max="20"/>
    <col width="14" customWidth="1" min="22" max="22"/>
    <col width="26" customWidth="1" min="23" max="23"/>
    <col width="14" customWidth="1" min="24" max="24"/>
    <col width="12" customWidth="1" min="25" max="25"/>
    <col width="11" customWidth="1" min="26" max="26"/>
  </cols>
  <sheetData>
    <row r="1">
      <c r="A1" s="27" t="inlineStr">
        <is>
          <t>T_Ref_Sites</t>
        </is>
      </c>
      <c r="D1" s="27" t="inlineStr">
        <is>
          <t>T_Ref_Equipes</t>
        </is>
      </c>
      <c r="G1" s="27" t="inlineStr">
        <is>
          <t>T_Ref_Activites</t>
        </is>
      </c>
      <c r="K1" s="27" t="inlineStr">
        <is>
          <t>T_Ref_Operations</t>
        </is>
      </c>
      <c r="O1" s="27" t="inlineStr">
        <is>
          <t>T_Colonnes_PDM</t>
        </is>
      </c>
      <c r="R1" s="27" t="inlineStr">
        <is>
          <t>T_Correspondance</t>
        </is>
      </c>
      <c r="V1" s="27" t="inlineStr">
        <is>
          <t>T_Regles_Comparaison</t>
        </is>
      </c>
    </row>
    <row r="2">
      <c r="A2" s="42" t="inlineStr">
        <is>
          <t>Sites (Groupe gestionnaires). « À valider » : conservé et signalé, pas mis en avant.</t>
        </is>
      </c>
      <c r="D2" s="42" t="inlineStr">
        <is>
          <t>Équipes (Poste travail princ.).</t>
        </is>
      </c>
      <c r="G2" s="42" t="inlineStr">
        <is>
          <t>Activités GMAO connues. Mot-clé : règle de secours, désactivée par défaut (04).</t>
        </is>
      </c>
      <c r="K2" s="42" t="inlineStr">
        <is>
          <t>Opérations du programme : libellé et ordre dans la vue 01.</t>
        </is>
      </c>
      <c r="O2" s="42" t="inlineStr">
        <is>
          <t>Nom des colonnes du fichier PDM réel (à adapter, sans toucher aux requêtes).</t>
        </is>
      </c>
      <c r="R2" s="42" t="inlineStr">
        <is>
          <t>Exceptions seulement : par défaut Code Emprise = Code site.</t>
        </is>
      </c>
      <c r="V2" s="42" t="inlineStr">
        <is>
          <t>Future comparaison prévu / OT : NON appliquée tant que le métier ne l'a pas validée.</t>
        </is>
      </c>
    </row>
    <row r="4" ht="32" customHeight="1">
      <c r="A4" s="11" t="inlineStr">
        <is>
          <t>Site</t>
        </is>
      </c>
      <c r="B4" s="11" t="inlineStr">
        <is>
          <t>Statut</t>
        </is>
      </c>
      <c r="D4" s="11" t="inlineStr">
        <is>
          <t>Équipe</t>
        </is>
      </c>
      <c r="E4" s="11" t="inlineStr">
        <is>
          <t>Statut</t>
        </is>
      </c>
      <c r="G4" s="11" t="inlineStr">
        <is>
          <t>Activité</t>
        </is>
      </c>
      <c r="H4" s="11" t="inlineStr">
        <is>
          <t>Mot-clé dans Désignation (secours)</t>
        </is>
      </c>
      <c r="I4" s="11" t="inlineStr">
        <is>
          <t>Statut</t>
        </is>
      </c>
      <c r="K4" s="11" t="inlineStr">
        <is>
          <t>Opération PDM</t>
        </is>
      </c>
      <c r="L4" s="11" t="inlineStr">
        <is>
          <t>Libellé affiché</t>
        </is>
      </c>
      <c r="M4" s="11" t="inlineStr">
        <is>
          <t>Ordre</t>
        </is>
      </c>
      <c r="O4" s="11" t="inlineStr">
        <is>
          <t>Champ</t>
        </is>
      </c>
      <c r="P4" s="11" t="inlineStr">
        <is>
          <t>Colonne dans le fichier PDM</t>
        </is>
      </c>
      <c r="R4" s="11" t="inlineStr">
        <is>
          <t>Code poste PDM</t>
        </is>
      </c>
      <c r="S4" s="11" t="inlineStr">
        <is>
          <t>Code poste GMAO</t>
        </is>
      </c>
      <c r="T4" s="11" t="inlineStr">
        <is>
          <t>Commentaire</t>
        </is>
      </c>
      <c r="V4" s="11" t="inlineStr">
        <is>
          <t>Opération programme</t>
        </is>
      </c>
      <c r="W4" s="11" t="inlineStr">
        <is>
          <t>Règle OT proposée</t>
        </is>
      </c>
      <c r="X4" s="11" t="inlineStr">
        <is>
          <t>Activités requises</t>
        </is>
      </c>
      <c r="Y4" s="11" t="inlineStr">
        <is>
          <t>Activités exclues</t>
        </is>
      </c>
      <c r="Z4" s="11" t="inlineStr">
        <is>
          <t>Statut</t>
        </is>
      </c>
    </row>
    <row r="5">
      <c r="A5" s="12" t="inlineStr">
        <is>
          <t>SET</t>
        </is>
      </c>
      <c r="B5" s="12" t="inlineStr">
        <is>
          <t>Principal</t>
        </is>
      </c>
      <c r="D5" s="12" t="inlineStr">
        <is>
          <t>AA1</t>
        </is>
      </c>
      <c r="E5" s="12" t="inlineStr">
        <is>
          <t>Principal</t>
        </is>
      </c>
      <c r="G5" s="12" t="inlineStr">
        <is>
          <t>PIS</t>
        </is>
      </c>
      <c r="H5" s="12" t="inlineStr">
        <is>
          <t>PIS</t>
        </is>
      </c>
      <c r="I5" s="12" t="inlineStr">
        <is>
          <t>À valider</t>
        </is>
      </c>
      <c r="K5" s="12" t="inlineStr">
        <is>
          <t>PIS</t>
        </is>
      </c>
      <c r="L5" s="12" t="inlineStr">
        <is>
          <t>PIS</t>
        </is>
      </c>
      <c r="M5" s="12" t="n">
        <v>1</v>
      </c>
      <c r="O5" s="12" t="inlineStr">
        <is>
          <t>Site</t>
        </is>
      </c>
      <c r="P5" s="12" t="inlineStr">
        <is>
          <t>Site</t>
        </is>
      </c>
      <c r="R5" s="12" t="inlineStr">
        <is>
          <t>G-I-MMM13</t>
        </is>
      </c>
      <c r="S5" s="12" t="inlineStr">
        <is>
          <t>G-I-MMN13</t>
        </is>
      </c>
      <c r="T5" s="12" t="inlineStr">
        <is>
          <t>Exemple fictif : code différent dans la GMAO</t>
        </is>
      </c>
      <c r="V5" s="12" t="inlineStr">
        <is>
          <t>PIS</t>
        </is>
      </c>
      <c r="W5" s="12" t="inlineStr">
        <is>
          <t>OT contenant PIS</t>
        </is>
      </c>
      <c r="X5" s="12" t="inlineStr">
        <is>
          <t>PIS</t>
        </is>
      </c>
      <c r="Y5" s="12" t="n"/>
      <c r="Z5" s="12" t="inlineStr">
        <is>
          <t>À VALIDER</t>
        </is>
      </c>
    </row>
    <row r="6">
      <c r="A6" s="12" t="inlineStr">
        <is>
          <t>SPS</t>
        </is>
      </c>
      <c r="B6" s="12" t="inlineStr">
        <is>
          <t>Principal</t>
        </is>
      </c>
      <c r="D6" s="12" t="inlineStr">
        <is>
          <t>AA3</t>
        </is>
      </c>
      <c r="E6" s="12" t="inlineStr">
        <is>
          <t>Principal</t>
        </is>
      </c>
      <c r="G6" s="12" t="inlineStr">
        <is>
          <t>EC</t>
        </is>
      </c>
      <c r="H6" s="12" t="inlineStr">
        <is>
          <t>EC</t>
        </is>
      </c>
      <c r="I6" s="12" t="inlineStr">
        <is>
          <t>À valider</t>
        </is>
      </c>
      <c r="K6" s="12" t="inlineStr">
        <is>
          <t>EC Simple</t>
        </is>
      </c>
      <c r="L6" s="12" t="inlineStr">
        <is>
          <t>EC SIMPLE</t>
        </is>
      </c>
      <c r="M6" s="12" t="n">
        <v>2</v>
      </c>
      <c r="O6" s="12" t="inlineStr">
        <is>
          <t>Équipe</t>
        </is>
      </c>
      <c r="P6" s="12" t="inlineStr">
        <is>
          <t>Équipe</t>
        </is>
      </c>
      <c r="V6" s="12" t="inlineStr">
        <is>
          <t>EC SIMPLE</t>
        </is>
      </c>
      <c r="W6" s="12" t="inlineStr">
        <is>
          <t>OT contenant EC sans FILTRE</t>
        </is>
      </c>
      <c r="X6" s="12" t="inlineStr">
        <is>
          <t>EC</t>
        </is>
      </c>
      <c r="Y6" s="12" t="inlineStr">
        <is>
          <t>FILTRE</t>
        </is>
      </c>
      <c r="Z6" s="12" t="inlineStr">
        <is>
          <t>À VALIDER</t>
        </is>
      </c>
    </row>
    <row r="7">
      <c r="A7" s="12" t="inlineStr">
        <is>
          <t>RNA</t>
        </is>
      </c>
      <c r="B7" s="12" t="inlineStr">
        <is>
          <t>Principal</t>
        </is>
      </c>
      <c r="D7" s="12" t="inlineStr">
        <is>
          <t>AA4</t>
        </is>
      </c>
      <c r="E7" s="12" t="inlineStr">
        <is>
          <t>Principal</t>
        </is>
      </c>
      <c r="G7" s="12" t="inlineStr">
        <is>
          <t>PILOTAGE</t>
        </is>
      </c>
      <c r="H7" s="12" t="inlineStr">
        <is>
          <t>PIL</t>
        </is>
      </c>
      <c r="I7" s="12" t="inlineStr">
        <is>
          <t>À valider</t>
        </is>
      </c>
      <c r="K7" s="12" t="inlineStr">
        <is>
          <t>EC Filtre</t>
        </is>
      </c>
      <c r="L7" s="12" t="inlineStr">
        <is>
          <t>EC FILTRE</t>
        </is>
      </c>
      <c r="M7" s="12" t="n">
        <v>3</v>
      </c>
      <c r="O7" s="12" t="inlineStr">
        <is>
          <t>Code Emprise</t>
        </is>
      </c>
      <c r="P7" s="12" t="inlineStr">
        <is>
          <t>Code Emprise</t>
        </is>
      </c>
      <c r="V7" s="12" t="inlineStr">
        <is>
          <t>EC FILTRE</t>
        </is>
      </c>
      <c r="W7" s="12" t="inlineStr">
        <is>
          <t>OT contenant EC et FILTRE</t>
        </is>
      </c>
      <c r="X7" s="12" t="inlineStr">
        <is>
          <t>EC + FILTRE</t>
        </is>
      </c>
      <c r="Y7" s="12" t="n"/>
      <c r="Z7" s="12" t="inlineStr">
        <is>
          <t>À VALIDER</t>
        </is>
      </c>
    </row>
    <row r="8">
      <c r="A8" s="12" t="inlineStr">
        <is>
          <t>VRS</t>
        </is>
      </c>
      <c r="B8" s="12" t="inlineStr">
        <is>
          <t>Principal</t>
        </is>
      </c>
      <c r="D8" s="12" t="inlineStr">
        <is>
          <t>AA2</t>
        </is>
      </c>
      <c r="E8" s="12" t="inlineStr">
        <is>
          <t>À valider</t>
        </is>
      </c>
      <c r="G8" s="12" t="inlineStr">
        <is>
          <t>FILTRE</t>
        </is>
      </c>
      <c r="H8" s="12" t="inlineStr">
        <is>
          <t>FILT</t>
        </is>
      </c>
      <c r="I8" s="12" t="inlineStr">
        <is>
          <t>À valider</t>
        </is>
      </c>
      <c r="K8" s="12" t="inlineStr">
        <is>
          <t>Révision</t>
        </is>
      </c>
      <c r="L8" s="12" t="inlineStr">
        <is>
          <t>REVISION</t>
        </is>
      </c>
      <c r="M8" s="12" t="n">
        <v>4</v>
      </c>
      <c r="O8" s="12" t="inlineStr">
        <is>
          <t>Code Installation</t>
        </is>
      </c>
      <c r="P8" s="12" t="inlineStr">
        <is>
          <t>Code Installation</t>
        </is>
      </c>
      <c r="V8" s="12" t="inlineStr">
        <is>
          <t>REVISION</t>
        </is>
      </c>
      <c r="W8" s="12" t="inlineStr">
        <is>
          <t>OT contenant REV</t>
        </is>
      </c>
      <c r="X8" s="12" t="inlineStr">
        <is>
          <t>REV</t>
        </is>
      </c>
      <c r="Y8" s="12" t="n"/>
      <c r="Z8" s="12" t="inlineStr">
        <is>
          <t>À VALIDER</t>
        </is>
      </c>
    </row>
    <row r="9">
      <c r="A9" s="12" t="inlineStr">
        <is>
          <t>LRO</t>
        </is>
      </c>
      <c r="B9" s="12" t="inlineStr">
        <is>
          <t>Principal</t>
        </is>
      </c>
      <c r="G9" s="12" t="inlineStr">
        <is>
          <t>REV</t>
        </is>
      </c>
      <c r="H9" s="12" t="inlineStr">
        <is>
          <t>REV</t>
        </is>
      </c>
      <c r="I9" s="12" t="inlineStr">
        <is>
          <t>À valider</t>
        </is>
      </c>
      <c r="K9" s="12" t="inlineStr">
        <is>
          <t>Revision</t>
        </is>
      </c>
      <c r="L9" s="12" t="inlineStr">
        <is>
          <t>REVISION</t>
        </is>
      </c>
      <c r="M9" s="12" t="n">
        <v>4</v>
      </c>
      <c r="O9" s="12" t="inlineStr">
        <is>
          <t>Désignation</t>
        </is>
      </c>
      <c r="P9" s="12" t="inlineStr">
        <is>
          <t>Désignation</t>
        </is>
      </c>
    </row>
    <row r="10">
      <c r="A10" s="12" t="inlineStr">
        <is>
          <t>ALZ</t>
        </is>
      </c>
      <c r="B10" s="12" t="inlineStr">
        <is>
          <t>Principal</t>
        </is>
      </c>
      <c r="G10" s="12" t="inlineStr">
        <is>
          <t>SURV DEC</t>
        </is>
      </c>
      <c r="H10" s="12" t="inlineStr">
        <is>
          <t>SURV DEC</t>
        </is>
      </c>
      <c r="I10" s="12" t="inlineStr">
        <is>
          <t>À valider</t>
        </is>
      </c>
      <c r="O10" s="12" t="inlineStr">
        <is>
          <t>Typologie</t>
        </is>
      </c>
      <c r="P10" s="12" t="inlineStr">
        <is>
          <t>Typologie</t>
        </is>
      </c>
    </row>
    <row r="11">
      <c r="A11" s="12" t="inlineStr">
        <is>
          <t>VDY</t>
        </is>
      </c>
      <c r="B11" s="12" t="inlineStr">
        <is>
          <t>Principal</t>
        </is>
      </c>
      <c r="G11" s="12" t="inlineStr">
        <is>
          <t>INSPECTION TSF</t>
        </is>
      </c>
      <c r="H11" s="12" t="n"/>
      <c r="I11" s="12" t="inlineStr">
        <is>
          <t>Mot-clé à définir</t>
        </is>
      </c>
      <c r="O11" s="12" t="inlineStr">
        <is>
          <t>Année</t>
        </is>
      </c>
      <c r="P11" s="12" t="inlineStr">
        <is>
          <t>Année</t>
        </is>
      </c>
    </row>
    <row r="12">
      <c r="A12" s="12" t="inlineStr">
        <is>
          <t>DEI</t>
        </is>
      </c>
      <c r="B12" s="12" t="inlineStr">
        <is>
          <t>Principal</t>
        </is>
      </c>
      <c r="G12" s="12" t="inlineStr">
        <is>
          <t>INSPECTION TA</t>
        </is>
      </c>
      <c r="H12" s="12" t="n"/>
      <c r="I12" s="12" t="inlineStr">
        <is>
          <t>Mot-clé à définir</t>
        </is>
      </c>
      <c r="O12" s="12" t="inlineStr">
        <is>
          <t>Opération</t>
        </is>
      </c>
      <c r="P12" s="12" t="inlineStr">
        <is>
          <t>Opération</t>
        </is>
      </c>
    </row>
    <row r="13">
      <c r="A13" s="12" t="inlineStr">
        <is>
          <t>SHL</t>
        </is>
      </c>
      <c r="B13" s="12" t="inlineStr">
        <is>
          <t>Principal</t>
        </is>
      </c>
      <c r="G13" s="12" t="inlineStr">
        <is>
          <t>ENDO</t>
        </is>
      </c>
      <c r="H13" s="12" t="inlineStr">
        <is>
          <t>ENDO</t>
        </is>
      </c>
      <c r="I13" s="12" t="inlineStr">
        <is>
          <t>À valider</t>
        </is>
      </c>
    </row>
    <row r="14">
      <c r="A14" s="12" t="inlineStr">
        <is>
          <t>SVI</t>
        </is>
      </c>
      <c r="B14" s="12" t="inlineStr">
        <is>
          <t>Principal</t>
        </is>
      </c>
    </row>
    <row r="15">
      <c r="A15" s="12" t="inlineStr">
        <is>
          <t>1TL</t>
        </is>
      </c>
      <c r="B15" s="12" t="inlineStr">
        <is>
          <t>À valider</t>
        </is>
      </c>
    </row>
    <row r="16">
      <c r="A16" s="12" t="inlineStr">
        <is>
          <t>4TL</t>
        </is>
      </c>
      <c r="B16" s="12" t="inlineStr">
        <is>
          <t>À valider</t>
        </is>
      </c>
    </row>
  </sheetData>
  <pageMargins left="0.75" right="0.75" top="1" bottom="1" header="0.5" footer="0.5"/>
  <headerFooter>
    <oddHeader/>
    <oddFooter>&amp;L&amp;8 Prototype V0.4 – données 100 % fictives – la GMAO reste la source de référence&amp;R&amp;8 &amp;A – page &amp;P / &amp;N</oddFooter>
    <evenHeader/>
    <evenFooter/>
    <firstHeader/>
    <firstFooter/>
  </headerFooter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11.xml><?xml version="1.0" encoding="utf-8"?>
<worksheet xmlns="http://schemas.openxmlformats.org/spreadsheetml/2006/main">
  <sheetPr>
    <tabColor rgb="00D3DBDB"/>
    <outlinePr summaryBelow="1" summaryRight="1"/>
    <pageSetUpPr/>
  </sheetPr>
  <dimension ref="A1:A65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7" t="inlineStr">
        <is>
          <t>Code M des requêtes (déjà intégrées au classeur : Données › Requêtes et connexions). Copie de secours et de lecture.</t>
        </is>
      </c>
    </row>
    <row r="3">
      <c r="A3" s="27" t="inlineStr">
        <is>
          <t>Requête « PDM_Normalise »</t>
        </is>
      </c>
    </row>
    <row r="4">
      <c r="A4" s="43" t="inlineStr">
        <is>
          <t>// =====================================================================</t>
        </is>
      </c>
    </row>
    <row r="5">
      <c r="A5" s="43" t="inlineStr">
        <is>
          <t>// PDM_Normalise - programme préventif normalisé</t>
        </is>
      </c>
    </row>
    <row r="6">
      <c r="A6" s="43" t="inlineStr">
        <is>
          <t>// Une ligne par poste x année x opération. Source de 01_VISION_GLOBALE.</t>
        </is>
      </c>
    </row>
    <row r="7">
      <c r="A7" s="43" t="inlineStr">
        <is>
          <t>// Paramètres (04_PARAMETRES) : P_CheminPDM, P_FeuillePDM, P_LongueurCodePoste.</t>
        </is>
      </c>
    </row>
    <row r="8">
      <c r="A8" s="43" t="inlineStr">
        <is>
          <t>// Tables (94_REFERENTIELS) : T_Colonnes_PDM, T_Ref_Operations, T_Ref_Sites,</t>
        </is>
      </c>
    </row>
    <row r="9">
      <c r="A9" s="43" t="inlineStr">
        <is>
          <t>//   T_Ref_Equipes, T_Correspondance.</t>
        </is>
      </c>
    </row>
    <row r="10">
      <c r="A10" s="43" t="inlineStr">
        <is>
          <t>// Code poste = Code Emprise ; à défaut, 9 premiers caractères de Code Installation.</t>
        </is>
      </c>
    </row>
    <row r="11">
      <c r="A11" s="43" t="inlineStr">
        <is>
          <t>// =====================================================================</t>
        </is>
      </c>
    </row>
    <row r="12">
      <c r="A12" s="43" t="inlineStr">
        <is>
          <t>let</t>
        </is>
      </c>
    </row>
    <row r="13">
      <c r="A13" s="43" t="inlineStr">
        <is>
          <t xml:space="preserve">    // 1. Entrées du classeur et fichier PDM, lus dans une seule étape</t>
        </is>
      </c>
    </row>
    <row r="14">
      <c r="A14" s="43" t="inlineStr">
        <is>
          <t xml:space="preserve">    Entrees =</t>
        </is>
      </c>
    </row>
    <row r="15">
      <c r="A15" s="43" t="inlineStr">
        <is>
          <t xml:space="preserve">        let</t>
        </is>
      </c>
    </row>
    <row r="16">
      <c r="A16" s="43" t="inlineStr">
        <is>
          <t xml:space="preserve">            Lire = (nom as text) as any =&gt;</t>
        </is>
      </c>
    </row>
    <row r="17">
      <c r="A17" s="43" t="inlineStr">
        <is>
          <t xml:space="preserve">                let</t>
        </is>
      </c>
    </row>
    <row r="18">
      <c r="A18" s="43" t="inlineStr">
        <is>
          <t xml:space="preserve">                    Contenu = Excel.CurrentWorkbook(){[Name = nom]}[Content]</t>
        </is>
      </c>
    </row>
    <row r="19">
      <c r="A19" s="43" t="inlineStr">
        <is>
          <t xml:space="preserve">                in</t>
        </is>
      </c>
    </row>
    <row r="20">
      <c r="A20" s="43" t="inlineStr">
        <is>
          <t xml:space="preserve">                    if Table.RowCount(Contenu) = 0 then null else Contenu{0}[Column1],</t>
        </is>
      </c>
    </row>
    <row r="21">
      <c r="A21" s="43" t="inlineStr">
        <is>
          <t xml:space="preserve">            Nettoyer = (v as any) as text =&gt; if v = null then "" else Text.Trim(Text.From(v)),</t>
        </is>
      </c>
    </row>
    <row r="22">
      <c r="A22" s="43" t="inlineStr">
        <is>
          <t xml:space="preserve">            LireTable = (nom as text) as table =&gt; Table.Buffer(Excel.CurrentWorkbook(){[Name = nom]}[Content]),</t>
        </is>
      </c>
    </row>
    <row r="23">
      <c r="A23" s="43" t="inlineStr">
        <is>
          <t xml:space="preserve">            CheminLu = Nettoyer(Lire("P_CheminPDM")),</t>
        </is>
      </c>
    </row>
    <row r="24">
      <c r="A24" s="43" t="inlineStr">
        <is>
          <t xml:space="preserve">            LongueurLue = Lire("P_LongueurCodePoste")</t>
        </is>
      </c>
    </row>
    <row r="25">
      <c r="A25" s="43" t="inlineStr">
        <is>
          <t xml:space="preserve">        in</t>
        </is>
      </c>
    </row>
    <row r="26">
      <c r="A26" s="43" t="inlineStr">
        <is>
          <t xml:space="preserve">            [</t>
        </is>
      </c>
    </row>
    <row r="27">
      <c r="A27" s="43" t="inlineStr">
        <is>
          <t xml:space="preserve">                Chemin = CheminLu,</t>
        </is>
      </c>
    </row>
    <row r="28">
      <c r="A28" s="43" t="inlineStr">
        <is>
          <t xml:space="preserve">                Feuille = Nettoyer(Lire("P_FeuillePDM")),</t>
        </is>
      </c>
    </row>
    <row r="29">
      <c r="A29" s="43" t="inlineStr">
        <is>
          <t xml:space="preserve">                Longueur = if LongueurLue = null then 9 else Number.RoundDown(Number.From(LongueurLue)),</t>
        </is>
      </c>
    </row>
    <row r="30">
      <c r="A30" s="43" t="inlineStr">
        <is>
          <t xml:space="preserve">                Colonnes = LireTable("T_Colonnes_PDM"),</t>
        </is>
      </c>
    </row>
    <row r="31">
      <c r="A31" s="43" t="inlineStr">
        <is>
          <t xml:space="preserve">                Operations = LireTable("T_Ref_Operations"),</t>
        </is>
      </c>
    </row>
    <row r="32">
      <c r="A32" s="43" t="inlineStr">
        <is>
          <t xml:space="preserve">                Sites = LireTable("T_Ref_Sites"),</t>
        </is>
      </c>
    </row>
    <row r="33">
      <c r="A33" s="43" t="inlineStr">
        <is>
          <t xml:space="preserve">                Equipes = LireTable("T_Ref_Equipes"),</t>
        </is>
      </c>
    </row>
    <row r="34">
      <c r="A34" s="43" t="inlineStr">
        <is>
          <t xml:space="preserve">                Correspondances = LireTable("T_Correspondance"),</t>
        </is>
      </c>
    </row>
    <row r="35">
      <c r="A35" s="43" t="inlineStr">
        <is>
          <t xml:space="preserve">                Binaire =</t>
        </is>
      </c>
    </row>
    <row r="36">
      <c r="A36" s="43" t="inlineStr">
        <is>
          <t xml:space="preserve">                    if CheminLu = "" then</t>
        </is>
      </c>
    </row>
    <row r="37">
      <c r="A37" s="43" t="inlineStr">
        <is>
          <t xml:space="preserve">                        error Error.Record("Paramètre manquant", "04_PARAMETRES : le fichier programme (PDM) n'est pas renseigné.")</t>
        </is>
      </c>
    </row>
    <row r="38">
      <c r="A38" s="43" t="inlineStr">
        <is>
          <t xml:space="preserve">                    else</t>
        </is>
      </c>
    </row>
    <row r="39">
      <c r="A39" s="43" t="inlineStr">
        <is>
          <t xml:space="preserve">                        Binary.Buffer(File.Contents(CheminLu))</t>
        </is>
      </c>
    </row>
    <row r="40">
      <c r="A40" s="43" t="inlineStr">
        <is>
          <t xml:space="preserve">            ],</t>
        </is>
      </c>
    </row>
    <row r="41">
      <c r="A41" s="43" t="n"/>
    </row>
    <row r="42">
      <c r="A42" s="43" t="inlineStr">
        <is>
          <t xml:space="preserve">    // 2. Lecture : CSV (séparateur ;) ou classeur Excel (feuille P_FeuillePDM, sinon la première)</t>
        </is>
      </c>
    </row>
    <row r="43">
      <c r="A43" s="43" t="inlineStr">
        <is>
          <t xml:space="preserve">    CheminMinuscule = Text.Lower(Entrees[Chemin]),</t>
        </is>
      </c>
    </row>
    <row r="44">
      <c r="A44" s="43" t="inlineStr">
        <is>
          <t xml:space="preserve">    Brut =</t>
        </is>
      </c>
    </row>
    <row r="45">
      <c r="A45" s="43" t="inlineStr">
        <is>
          <t xml:space="preserve">        if Text.EndsWith(CheminMinuscule, ".csv") or Text.EndsWith(CheminMinuscule, ".txt") then</t>
        </is>
      </c>
    </row>
    <row r="46">
      <c r="A46" s="43" t="inlineStr">
        <is>
          <t xml:space="preserve">            Table.PromoteHeaders(</t>
        </is>
      </c>
    </row>
    <row r="47">
      <c r="A47" s="43" t="inlineStr">
        <is>
          <t xml:space="preserve">                Csv.Document(Entrees[Binaire], [Delimiter = ";", Encoding = 65001, QuoteStyle = QuoteStyle.Csv]),</t>
        </is>
      </c>
    </row>
    <row r="48">
      <c r="A48" s="43" t="inlineStr">
        <is>
          <t xml:space="preserve">                [PromoteAllScalars = true])</t>
        </is>
      </c>
    </row>
    <row r="49">
      <c r="A49" s="43" t="inlineStr">
        <is>
          <t xml:space="preserve">        else</t>
        </is>
      </c>
    </row>
    <row r="50">
      <c r="A50" s="43" t="inlineStr">
        <is>
          <t xml:space="preserve">            let</t>
        </is>
      </c>
    </row>
    <row r="51">
      <c r="A51" s="43" t="inlineStr">
        <is>
          <t xml:space="preserve">                Feuilles = Table.SelectRows(Excel.Workbook(Entrees[Binaire], null, true), each [Kind] = "Sheet"),</t>
        </is>
      </c>
    </row>
    <row r="52">
      <c r="A52" s="43" t="inlineStr">
        <is>
          <t xml:space="preserve">                Choix = if Entrees[Feuille] = "" then Feuilles else Table.SelectRows(Feuilles, each [Item] = Entrees[Feuille]),</t>
        </is>
      </c>
    </row>
    <row r="53">
      <c r="A53" s="43" t="inlineStr">
        <is>
          <t xml:space="preserve">                Donnees =</t>
        </is>
      </c>
    </row>
    <row r="54">
      <c r="A54" s="43" t="inlineStr">
        <is>
          <t xml:space="preserve">                    if Table.RowCount(Choix) = 0 then</t>
        </is>
      </c>
    </row>
    <row r="55">
      <c r="A55" s="43" t="inlineStr">
        <is>
          <t xml:space="preserve">                        error Error.Record("Feuille introuvable", "Aucune feuille « " &amp; Entrees[Feuille] &amp; " » dans le fichier PDM.")</t>
        </is>
      </c>
    </row>
    <row r="56">
      <c r="A56" s="43" t="inlineStr">
        <is>
          <t xml:space="preserve">                    else</t>
        </is>
      </c>
    </row>
    <row r="57">
      <c r="A57" s="43" t="inlineStr">
        <is>
          <t xml:space="preserve">                        Choix{0}[Data]</t>
        </is>
      </c>
    </row>
    <row r="58">
      <c r="A58" s="43" t="inlineStr">
        <is>
          <t xml:space="preserve">            in</t>
        </is>
      </c>
    </row>
    <row r="59">
      <c r="A59" s="43" t="inlineStr">
        <is>
          <t xml:space="preserve">                Table.PromoteHeaders(Donnees, [PromoteAllScalars = true]),</t>
        </is>
      </c>
    </row>
    <row r="60">
      <c r="A60" s="43" t="inlineStr">
        <is>
          <t xml:space="preserve">    EnTetes = Table.TransformColumnNames(Brut, each Text.Trim(Text.Replace(_, "#(FEFF)", ""))),</t>
        </is>
      </c>
    </row>
    <row r="61">
      <c r="A61" s="43" t="n"/>
    </row>
    <row r="62">
      <c r="A62" s="43" t="inlineStr">
        <is>
          <t xml:space="preserve">    // 3. Correspondance des colonnes (T_Colonnes_PDM : Champ -&gt; Colonne dans le fichier PDM)</t>
        </is>
      </c>
    </row>
    <row r="63">
      <c r="A63" s="43" t="inlineStr">
        <is>
          <t xml:space="preserve">    Champs = {"Site", "Équipe", "Code Emprise", "Code Installation", "Désignation", "Typologie", "Année", "Opération"},</t>
        </is>
      </c>
    </row>
    <row r="64">
      <c r="A64" s="43" t="inlineStr">
        <is>
          <t xml:space="preserve">    Paires = List.Select(</t>
        </is>
      </c>
    </row>
    <row r="65">
      <c r="A65" s="43" t="inlineStr">
        <is>
          <t xml:space="preserve">        List.Transform(Table.ToRecords(Entrees[Colonnes]),</t>
        </is>
      </c>
    </row>
    <row r="66">
      <c r="A66" s="43" t="inlineStr">
        <is>
          <t xml:space="preserve">            (r) =&gt; {if r[#"Colonne dans le fichier PDM"] = null then "" else Text.Trim(Text.From(r[#"Colonne dans le fichier PDM"])), r[Champ]}),</t>
        </is>
      </c>
    </row>
    <row r="67">
      <c r="A67" s="43" t="inlineStr">
        <is>
          <t xml:space="preserve">        each _{0} &lt;&gt; "" and List.Contains(Champs, _{1})),</t>
        </is>
      </c>
    </row>
    <row r="68">
      <c r="A68" s="43" t="inlineStr">
        <is>
          <t xml:space="preserve">    Presentes = Table.ColumnNames(EnTetes),</t>
        </is>
      </c>
    </row>
    <row r="69">
      <c r="A69" s="43" t="inlineStr">
        <is>
          <t xml:space="preserve">    ChampTrouve = (champ as text) as logical =&gt;</t>
        </is>
      </c>
    </row>
    <row r="70">
      <c r="A70" s="43" t="inlineStr">
        <is>
          <t xml:space="preserve">        List.AnyTrue(List.Transform(Paires, each _{1} = champ and List.Contains(Presentes, _{0}))),</t>
        </is>
      </c>
    </row>
    <row r="71">
      <c r="A71" s="43" t="inlineStr">
        <is>
          <t xml:space="preserve">    Manquants = List.Select({"Site", "Équipe", "Année", "Opération"}, each not ChampTrouve(_))</t>
        </is>
      </c>
    </row>
    <row r="72">
      <c r="A72" s="43" t="inlineStr">
        <is>
          <t xml:space="preserve">        &amp; (if ChampTrouve("Code Emprise") or ChampTrouve("Code Installation") then {} else {"Code Emprise ou Code Installation"}),</t>
        </is>
      </c>
    </row>
    <row r="73">
      <c r="A73" s="43" t="inlineStr">
        <is>
          <t xml:space="preserve">    Renomme =</t>
        </is>
      </c>
    </row>
    <row r="74">
      <c r="A74" s="43" t="inlineStr">
        <is>
          <t xml:space="preserve">        if List.IsEmpty(Manquants) then</t>
        </is>
      </c>
    </row>
    <row r="75">
      <c r="A75" s="43" t="inlineStr">
        <is>
          <t xml:space="preserve">            Table.SelectColumns(</t>
        </is>
      </c>
    </row>
    <row r="76">
      <c r="A76" s="43" t="inlineStr">
        <is>
          <t xml:space="preserve">                Table.RenameColumns(</t>
        </is>
      </c>
    </row>
    <row r="77">
      <c r="A77" s="43" t="inlineStr">
        <is>
          <t xml:space="preserve">                    Table.SelectColumns(EnTetes, List.Distinct(List.Transform(Paires, each _{0})), MissingField.Ignore),</t>
        </is>
      </c>
    </row>
    <row r="78">
      <c r="A78" s="43" t="inlineStr">
        <is>
          <t xml:space="preserve">                    List.Select(Paires, each List.Contains(Presentes, _{0}) and _{0} &lt;&gt; _{1}), MissingField.Ignore),</t>
        </is>
      </c>
    </row>
    <row r="79">
      <c r="A79" s="43" t="inlineStr">
        <is>
          <t xml:space="preserve">                Champs, MissingField.UseNull)</t>
        </is>
      </c>
    </row>
    <row r="80">
      <c r="A80" s="43" t="inlineStr">
        <is>
          <t xml:space="preserve">        else</t>
        </is>
      </c>
    </row>
    <row r="81">
      <c r="A81" s="43" t="inlineStr">
        <is>
          <t xml:space="preserve">            error Error.Record("Colonnes PDM introuvables",</t>
        </is>
      </c>
    </row>
    <row r="82">
      <c r="A82" s="43" t="inlineStr">
        <is>
          <t xml:space="preserve">                "Champ(s) sans colonne correspondante dans le fichier PDM : " &amp; Text.Combine(Manquants, ", ")</t>
        </is>
      </c>
    </row>
    <row r="83">
      <c r="A83" s="43" t="inlineStr">
        <is>
          <t xml:space="preserve">                    &amp; ". Corriger T_Colonnes_PDM ou le fichier (voir 05_NOTICE).", Manquants),</t>
        </is>
      </c>
    </row>
    <row r="84">
      <c r="A84" s="43" t="n"/>
    </row>
    <row r="85">
      <c r="A85" s="43" t="inlineStr">
        <is>
          <t xml:space="preserve">    // 4. Typage tolérant</t>
        </is>
      </c>
    </row>
    <row r="86">
      <c r="A86" s="43" t="inlineStr">
        <is>
          <t xml:space="preserve">    VersTexte = (v as any) as nullable text =&gt;</t>
        </is>
      </c>
    </row>
    <row r="87">
      <c r="A87" s="43" t="inlineStr">
        <is>
          <t xml:space="preserve">        if v = null then null else let t = Text.Trim(Text.From(v)) in if t = "" then null else t,</t>
        </is>
      </c>
    </row>
    <row r="88">
      <c r="A88" s="43" t="inlineStr">
        <is>
          <t xml:space="preserve">    VersAnnee = (v as any) as nullable number =&gt;</t>
        </is>
      </c>
    </row>
    <row r="89">
      <c r="A89" s="43" t="inlineStr">
        <is>
          <t xml:space="preserve">        if v = null then null</t>
        </is>
      </c>
    </row>
    <row r="90">
      <c r="A90" s="43" t="inlineStr">
        <is>
          <t xml:space="preserve">        else if v is number then Number.RoundDown(v)</t>
        </is>
      </c>
    </row>
    <row r="91">
      <c r="A91" s="43" t="inlineStr">
        <is>
          <t xml:space="preserve">        else if v is date or v is datetime then Date.Year(v)</t>
        </is>
      </c>
    </row>
    <row r="92">
      <c r="A92" s="43" t="inlineStr">
        <is>
          <t xml:space="preserve">        else let t = Text.Trim(Text.From(v)) in if t = "" then null else try Number.RoundDown(Number.FromText(t, "fr-FR")) otherwise null,</t>
        </is>
      </c>
    </row>
    <row r="93">
      <c r="A93" s="43" t="inlineStr">
        <is>
          <t xml:space="preserve">    Indexe = Table.AddIndexColumn(Renomme, "Ligne PDM", 2, 1),</t>
        </is>
      </c>
    </row>
    <row r="94">
      <c r="A94" s="43" t="inlineStr">
        <is>
          <t xml:space="preserve">    Types = Table.TransformColumns(Indexe,</t>
        </is>
      </c>
    </row>
    <row r="95">
      <c r="A95" s="43" t="inlineStr">
        <is>
          <t xml:space="preserve">        List.Transform(List.RemoveItems(Champs, {"Année"}), each {_, VersTexte, type nullable text})</t>
        </is>
      </c>
    </row>
    <row r="96">
      <c r="A96" s="43" t="inlineStr">
        <is>
          <t xml:space="preserve">            &amp; {{"Année", VersAnnee, Int64.Type}}),</t>
        </is>
      </c>
    </row>
    <row r="97">
      <c r="A97" s="43" t="n"/>
    </row>
    <row r="98">
      <c r="A98" s="43" t="inlineStr">
        <is>
          <t xml:space="preserve">    // 5. Lignes techniques vides (aucun champ renseigné) : ignorées et comptées</t>
        </is>
      </c>
    </row>
    <row r="99">
      <c r="A99" s="43" t="inlineStr">
        <is>
          <t xml:space="preserve">    Utiles = Table.SelectRows(Types, each List.NonNullCount(Record.ToList(Record.SelectFields(_, Champs))) &gt; 0),</t>
        </is>
      </c>
    </row>
    <row r="100">
      <c r="A100" s="43" t="inlineStr">
        <is>
          <t xml:space="preserve">    NbVides = Table.RowCount(Types) - Table.RowCount(Utiles),</t>
        </is>
      </c>
    </row>
    <row r="101">
      <c r="A101" s="43" t="n"/>
    </row>
    <row r="102">
      <c r="A102" s="43" t="inlineStr">
        <is>
          <t xml:space="preserve">    // 6. Code poste</t>
        </is>
      </c>
    </row>
    <row r="103">
      <c r="A103" s="43" t="inlineStr">
        <is>
          <t xml:space="preserve">    Longueur = Entrees[Longueur],</t>
        </is>
      </c>
    </row>
    <row r="104">
      <c r="A104" s="43" t="inlineStr">
        <is>
          <t xml:space="preserve">    AvecCode = Table.AddColumn(Utiles, "Code poste", each</t>
        </is>
      </c>
    </row>
    <row r="105">
      <c r="A105" s="43" t="inlineStr">
        <is>
          <t xml:space="preserve">        if [Code Emprise] &lt;&gt; null then [Code Emprise]</t>
        </is>
      </c>
    </row>
    <row r="106">
      <c r="A106" s="43" t="inlineStr">
        <is>
          <t xml:space="preserve">        else if [Code Installation] &lt;&gt; null and Text.Length([Code Installation]) &gt;= Longueur then Text.Start([Code Installation], Longueur)</t>
        </is>
      </c>
    </row>
    <row r="107">
      <c r="A107" s="43" t="inlineStr">
        <is>
          <t xml:space="preserve">        else null, type nullable text),</t>
        </is>
      </c>
    </row>
    <row r="108">
      <c r="A108" s="43" t="inlineStr">
        <is>
          <t xml:space="preserve">    AvecSource = Table.AddColumn(AvecCode, "Source code poste", each</t>
        </is>
      </c>
    </row>
    <row r="109">
      <c r="A109" s="43" t="inlineStr">
        <is>
          <t xml:space="preserve">        if [Code Emprise] &lt;&gt; null then "Code Emprise"</t>
        </is>
      </c>
    </row>
    <row r="110">
      <c r="A110" s="43" t="inlineStr">
        <is>
          <t xml:space="preserve">        else if [Code poste] &lt;&gt; null then "Code Installation (" &amp; Text.From(Longueur) &amp; " car.)" else null, type nullable text),</t>
        </is>
      </c>
    </row>
    <row r="111">
      <c r="A111" s="43" t="n"/>
    </row>
    <row r="112">
      <c r="A112" s="43" t="inlineStr">
        <is>
          <t xml:space="preserve">    // 7. Opération : libellé de la vue et ordre d'affichage (T_Ref_Operations)</t>
        </is>
      </c>
    </row>
    <row r="113">
      <c r="A113" s="43" t="inlineStr">
        <is>
          <t xml:space="preserve">    Cle = (t as nullable text) as nullable text =&gt; if t = null then null else Text.Upper(Text.Trim(t)),</t>
        </is>
      </c>
    </row>
    <row r="114">
      <c r="A114" s="43" t="inlineStr">
        <is>
          <t xml:space="preserve">    RefOp = List.Buffer(List.Transform(Table.ToRecords(Entrees[Operations]),</t>
        </is>
      </c>
    </row>
    <row r="115">
      <c r="A115" s="43" t="inlineStr">
        <is>
          <t xml:space="preserve">        (r) =&gt; {Cle(Text.From(r[#"Opération PDM"])), Text.From(r[#"Libellé affiché"]), r[Ordre]})),</t>
        </is>
      </c>
    </row>
    <row r="116">
      <c r="A116" s="43" t="inlineStr">
        <is>
          <t xml:space="preserve">    TrouverOp = (op as nullable text) as nullable list =&gt;</t>
        </is>
      </c>
    </row>
    <row r="117">
      <c r="A117" s="43" t="inlineStr">
        <is>
          <t xml:space="preserve">        let c = Cle(op), l = List.Select(RefOp, each _{0} = c) in if c = null or List.IsEmpty(l) then null else l{0},</t>
        </is>
      </c>
    </row>
    <row r="118">
      <c r="A118" s="43" t="inlineStr">
        <is>
          <t xml:space="preserve">    AvecOp = Table.AddColumn(AvecSource, "_Op", each TrouverOp([Opération])),</t>
        </is>
      </c>
    </row>
    <row r="119">
      <c r="A119" s="43" t="inlineStr">
        <is>
          <t xml:space="preserve">    AvecLibelle = Table.AddColumn(AvecOp, "Opération affichée", each</t>
        </is>
      </c>
    </row>
    <row r="120">
      <c r="A120" s="43" t="inlineStr">
        <is>
          <t xml:space="preserve">        if [_Op] &lt;&gt; null then [_Op]{1} else if [Opération] = null then null else Text.Upper([Opération]), type nullable text),</t>
        </is>
      </c>
    </row>
    <row r="121">
      <c r="A121" s="43" t="inlineStr">
        <is>
          <t xml:space="preserve">    AvecOrdre = Table.AddColumn(AvecLibelle, "Ordre opération", each if [_Op] &lt;&gt; null then [_Op]{2} else 99, Int64.Type),</t>
        </is>
      </c>
    </row>
    <row r="122">
      <c r="A122" s="43" t="n"/>
    </row>
    <row r="123">
      <c r="A123" s="43" t="inlineStr">
        <is>
          <t xml:space="preserve">    // 8. Code poste côté GMAO : identique, sauf exception déclarée dans T_Correspondance</t>
        </is>
      </c>
    </row>
    <row r="124">
      <c r="A124" s="43" t="inlineStr">
        <is>
          <t xml:space="preserve">    Exceptions = List.Buffer(List.Select(List.Transform(Table.ToRecords(Entrees[Correspondances]),</t>
        </is>
      </c>
    </row>
    <row r="125">
      <c r="A125" s="43" t="inlineStr">
        <is>
          <t xml:space="preserve">        (r) =&gt; {VersTexte(r[#"Code poste PDM"]), VersTexte(r[#"Code poste GMAO"])}), each _{0} &lt;&gt; null and _{1} &lt;&gt; null)),</t>
        </is>
      </c>
    </row>
    <row r="126">
      <c r="A126" s="43" t="inlineStr">
        <is>
          <t xml:space="preserve">    AvecGmao = Table.AddColumn(AvecOrdre, "Code poste GMAO", each</t>
        </is>
      </c>
    </row>
    <row r="127">
      <c r="A127" s="43" t="inlineStr">
        <is>
          <t xml:space="preserve">        let e = List.Select(Exceptions, (x) =&gt; x{0} = [Code poste]) in if List.IsEmpty(e) then [Code poste] else e{0}{1},</t>
        </is>
      </c>
    </row>
    <row r="128">
      <c r="A128" s="43" t="inlineStr">
        <is>
          <t xml:space="preserve">        type nullable text),</t>
        </is>
      </c>
    </row>
    <row r="129">
      <c r="A129" s="43" t="inlineStr">
        <is>
          <t xml:space="preserve">    AvecTypeRappro = Table.AddColumn(AvecGmao, "Correspondance déclarée", each</t>
        </is>
      </c>
    </row>
    <row r="130">
      <c r="A130" s="43" t="inlineStr">
        <is>
          <t xml:space="preserve">        List.AnyTrue(List.Transform(Exceptions, (x) =&gt; x{0} = [Code poste])), type logical),</t>
        </is>
      </c>
    </row>
    <row r="131">
      <c r="A131" s="43" t="n"/>
    </row>
    <row r="132">
      <c r="A132" s="43" t="inlineStr">
        <is>
          <t xml:space="preserve">    // 9. Contrôles</t>
        </is>
      </c>
    </row>
    <row r="133">
      <c r="A133" s="43" t="inlineStr">
        <is>
          <t xml:space="preserve">    StatutDe = (t as table, colonne as text, v as nullable text) as nullable text =&gt;</t>
        </is>
      </c>
    </row>
    <row r="134">
      <c r="A134" s="43" t="inlineStr">
        <is>
          <t xml:space="preserve">        let l = Table.SelectRows(t, each Text.From(Record.Field(_, colonne)) = v) in</t>
        </is>
      </c>
    </row>
    <row r="135">
      <c r="A135" s="43" t="inlineStr">
        <is>
          <t xml:space="preserve">            if v = null then null else if Table.RowCount(l) = 0 then "inconnu" else Text.From(l{0}[Statut]),</t>
        </is>
      </c>
    </row>
    <row r="136">
      <c r="A136" s="43" t="inlineStr">
        <is>
          <t xml:space="preserve">    Cles = Table.AddColumn(AvecTypeRappro, "_Cle", each</t>
        </is>
      </c>
    </row>
    <row r="137">
      <c r="A137" s="43" t="inlineStr">
        <is>
          <t xml:space="preserve">        if [Code poste] = null or [Année] = null or [Opération affichée] = null then "#L" &amp; Text.From([Ligne PDM])</t>
        </is>
      </c>
    </row>
    <row r="138">
      <c r="A138" s="43" t="inlineStr">
        <is>
          <t xml:space="preserve">        else [Code poste] &amp; "|" &amp; Text.From([Année]) &amp; "|" &amp; [Opération affichée], type text),</t>
        </is>
      </c>
    </row>
    <row r="139">
      <c r="A139" s="43" t="inlineStr">
        <is>
          <t xml:space="preserve">    Occurrences = Table.Group(Cles, {"_Cle"}, {{"_Nb", each Table.RowCount(_), Int64.Type}}),</t>
        </is>
      </c>
    </row>
    <row r="140">
      <c r="A140" s="43" t="inlineStr">
        <is>
          <t xml:space="preserve">    AvecNb = Table.Join(Cles, "_Cle", Table.RenameColumns(Occurrences, {{"_Cle", "_Cle2"}}), "_Cle2"),</t>
        </is>
      </c>
    </row>
    <row r="141">
      <c r="A141" s="43" t="inlineStr">
        <is>
          <t xml:space="preserve">    AvecControle = Table.AddColumn(AvecNb, "Contrôle qualité", (r) =&gt;</t>
        </is>
      </c>
    </row>
    <row r="142">
      <c r="A142" s="43" t="inlineStr">
        <is>
          <t xml:space="preserve">        let</t>
        </is>
      </c>
    </row>
    <row r="143">
      <c r="A143" s="43" t="inlineStr">
        <is>
          <t xml:space="preserve">            StatutSite = StatutDe(Entrees[Sites], "Site", r[Site]),</t>
        </is>
      </c>
    </row>
    <row r="144">
      <c r="A144" s="43" t="inlineStr">
        <is>
          <t xml:space="preserve">            StatutEquipe = StatutDe(Entrees[Equipes], "Équipe", r[Équipe]),</t>
        </is>
      </c>
    </row>
    <row r="145">
      <c r="A145" s="43" t="inlineStr">
        <is>
          <t xml:space="preserve">            Liste = List.RemoveNulls({</t>
        </is>
      </c>
    </row>
    <row r="146">
      <c r="A146" s="43" t="inlineStr">
        <is>
          <t xml:space="preserve">                if r[Code poste] = null then "PDM : code poste impossible à déterminer" else null,</t>
        </is>
      </c>
    </row>
    <row r="147">
      <c r="A147" s="43" t="inlineStr">
        <is>
          <t xml:space="preserve">                if r[Code Emprise] = null and r[Code poste] &lt;&gt; null then "PDM : Code Emprise vide (code repris du Code Installation)" else null,</t>
        </is>
      </c>
    </row>
    <row r="148">
      <c r="A148" s="43" t="inlineStr">
        <is>
          <t xml:space="preserve">                if r[Année] = null then "PDM : année vide ou invalide" else null,</t>
        </is>
      </c>
    </row>
    <row r="149">
      <c r="A149" s="43" t="inlineStr">
        <is>
          <t xml:space="preserve">                if r[Opération] = null then "PDM : opération vide"</t>
        </is>
      </c>
    </row>
    <row r="150">
      <c r="A150" s="43" t="inlineStr">
        <is>
          <t xml:space="preserve">                    else if r[_Op] = null then "PDM : opération inconnue (à valider)" else null,</t>
        </is>
      </c>
    </row>
    <row r="151">
      <c r="A151" s="43" t="inlineStr">
        <is>
          <t xml:space="preserve">                if r[_Nb] &gt; 1 and r[Code poste] &lt;&gt; null then "PDM : opération en double" else null,</t>
        </is>
      </c>
    </row>
    <row r="152">
      <c r="A152" s="43" t="inlineStr">
        <is>
          <t xml:space="preserve">                if StatutSite = "inconnu" then "PDM : site inconnu" else if StatutSite = "À valider" then "PDM : site à valider" else null,</t>
        </is>
      </c>
    </row>
    <row r="153">
      <c r="A153" s="43" t="inlineStr">
        <is>
          <t xml:space="preserve">                if StatutEquipe = "inconnu" then "PDM : équipe inconnue" else if StatutEquipe = "À valider" then "PDM : équipe à valider" else null</t>
        </is>
      </c>
    </row>
    <row r="154">
      <c r="A154" s="43" t="inlineStr">
        <is>
          <t xml:space="preserve">            })</t>
        </is>
      </c>
    </row>
    <row r="155">
      <c r="A155" s="43" t="inlineStr">
        <is>
          <t xml:space="preserve">        in</t>
        </is>
      </c>
    </row>
    <row r="156">
      <c r="A156" s="43" t="inlineStr">
        <is>
          <t xml:space="preserve">            if List.IsEmpty(Liste) then null else Text.Combine(Liste, " ; "), type nullable text),</t>
        </is>
      </c>
    </row>
    <row r="157">
      <c r="A157" s="43" t="inlineStr">
        <is>
          <t xml:space="preserve">    Maintenant = DateTime.LocalNow(),</t>
        </is>
      </c>
    </row>
    <row r="158">
      <c r="A158" s="43" t="inlineStr">
        <is>
          <t xml:space="preserve">    AvecTrace = Table.AddColumn(Table.AddColumn(Table.AddColumn(AvecControle,</t>
        </is>
      </c>
    </row>
    <row r="159">
      <c r="A159" s="43" t="inlineStr">
        <is>
          <t xml:space="preserve">        "Lignes vides ignorées", each NbVides, Int64.Type),</t>
        </is>
      </c>
    </row>
    <row r="160">
      <c r="A160" s="43" t="inlineStr">
        <is>
          <t xml:space="preserve">        "Fichier source", each Entrees[Chemin], type text),</t>
        </is>
      </c>
    </row>
    <row r="161">
      <c r="A161" s="43" t="inlineStr">
        <is>
          <t xml:space="preserve">        "Importé le", each Maintenant, type datetime),</t>
        </is>
      </c>
    </row>
    <row r="162">
      <c r="A162" s="43" t="inlineStr">
        <is>
          <t xml:space="preserve">    Resultat = Table.Sort(</t>
        </is>
      </c>
    </row>
    <row r="163">
      <c r="A163" s="43" t="inlineStr">
        <is>
          <t xml:space="preserve">        Table.SelectColumns(AvecTrace, {"Site", "Équipe", "Code poste", "Désignation", "Typologie", "Année",</t>
        </is>
      </c>
    </row>
    <row r="164">
      <c r="A164" s="43" t="inlineStr">
        <is>
          <t xml:space="preserve">            "Opération affichée", "Ordre opération", "Opération", "Code Emprise", "Code Installation", "Source code poste",</t>
        </is>
      </c>
    </row>
    <row r="165">
      <c r="A165" s="43" t="inlineStr">
        <is>
          <t xml:space="preserve">            "Code poste GMAO", "Correspondance déclarée", "Contrôle qualité", "Ligne PDM", "Lignes vides ignorées",</t>
        </is>
      </c>
    </row>
    <row r="166">
      <c r="A166" s="43" t="inlineStr">
        <is>
          <t xml:space="preserve">            "Fichier source", "Importé le"}),</t>
        </is>
      </c>
    </row>
    <row r="167">
      <c r="A167" s="43" t="inlineStr">
        <is>
          <t xml:space="preserve">        {{"Ligne PDM", Order.Ascending}})</t>
        </is>
      </c>
    </row>
    <row r="168">
      <c r="A168" s="43" t="inlineStr">
        <is>
          <t>in</t>
        </is>
      </c>
    </row>
    <row r="169">
      <c r="A169" s="43" t="inlineStr">
        <is>
          <t xml:space="preserve">    Resultat</t>
        </is>
      </c>
    </row>
    <row r="172">
      <c r="A172" s="27" t="inlineStr">
        <is>
          <t>Requête « Vision_Globale »</t>
        </is>
      </c>
    </row>
    <row r="173">
      <c r="A173" s="43" t="inlineStr">
        <is>
          <t>// =====================================================================</t>
        </is>
      </c>
    </row>
    <row r="174">
      <c r="A174" s="43" t="inlineStr">
        <is>
          <t>// Vision_Globale - UNE LIGNE = UN POSTE, une colonne par année du programme.</t>
        </is>
      </c>
    </row>
    <row r="175">
      <c r="A175" s="43" t="inlineStr">
        <is>
          <t>// Dans une cellule, les opérations de l'année sont réunies : « PIS + EC SIMPLE ».</t>
        </is>
      </c>
    </row>
    <row r="176">
      <c r="A176" s="43" t="inlineStr">
        <is>
          <t>// Source : requête PDM_Normalise uniquement (les OT ne construisent pas le planning).</t>
        </is>
      </c>
    </row>
    <row r="177">
      <c r="A177" s="43" t="inlineStr">
        <is>
          <t>// Chargement : tableau T_Vision dans 01_VISION_GLOBALE.</t>
        </is>
      </c>
    </row>
    <row r="178">
      <c r="A178" s="43" t="inlineStr">
        <is>
          <t>// =====================================================================</t>
        </is>
      </c>
    </row>
    <row r="179">
      <c r="A179" s="43" t="inlineStr">
        <is>
          <t>let</t>
        </is>
      </c>
    </row>
    <row r="180">
      <c r="A180" s="43" t="inlineStr">
        <is>
          <t xml:space="preserve">    Programme = PDM_Normalise,</t>
        </is>
      </c>
    </row>
    <row r="181">
      <c r="A181" s="43" t="inlineStr">
        <is>
          <t xml:space="preserve">    Base = Table.SelectRows(Programme, each [Code poste] &lt;&gt; null and [Année] &lt;&gt; null and [Opération affichée] &lt;&gt; null),</t>
        </is>
      </c>
    </row>
    <row r="182">
      <c r="A182" s="43" t="inlineStr">
        <is>
          <t xml:space="preserve">    Annees = List.Sort(List.Distinct(Base[Année])),</t>
        </is>
      </c>
    </row>
    <row r="183">
      <c r="A183" s="43" t="inlineStr">
        <is>
          <t xml:space="preserve">    NomsAnnees = List.Transform(Annees, Text.From),</t>
        </is>
      </c>
    </row>
    <row r="184">
      <c r="A184" s="43" t="inlineStr">
        <is>
          <t xml:space="preserve">    PremierRenseigne = (l as list) as any =&gt; let v = List.RemoveNulls(l) in if List.IsEmpty(v) then null else v{0},</t>
        </is>
      </c>
    </row>
    <row r="185">
      <c r="A185" s="43" t="inlineStr">
        <is>
          <t xml:space="preserve">    Postes = Table.Group(Base, {"Site", "Équipe", "Code poste"}, {</t>
        </is>
      </c>
    </row>
    <row r="186">
      <c r="A186" s="43" t="inlineStr">
        <is>
          <t xml:space="preserve">        {"Désignation du poste", each PremierRenseigne([Désignation]), type nullable text},</t>
        </is>
      </c>
    </row>
    <row r="187">
      <c r="A187" s="43" t="inlineStr">
        <is>
          <t xml:space="preserve">        {"Typologie", each PremierRenseigne([Typologie]), type nullable text},</t>
        </is>
      </c>
    </row>
    <row r="188">
      <c r="A188" s="43" t="inlineStr">
        <is>
          <t xml:space="preserve">        {"_Lignes", each _, type table}}),</t>
        </is>
      </c>
    </row>
    <row r="189">
      <c r="A189" s="43" t="inlineStr">
        <is>
          <t xml:space="preserve">    // Opérations d'une année : sans doublon, dans l'ordre du référentiel (PIS, EC SIMPLE, EC FILTRE, REVISION…)</t>
        </is>
      </c>
    </row>
    <row r="190">
      <c r="A190" s="43" t="inlineStr">
        <is>
          <t xml:space="preserve">    Cellule = (lignes as table, annee as number) as nullable text =&gt;</t>
        </is>
      </c>
    </row>
    <row r="191">
      <c r="A191" s="43" t="inlineStr">
        <is>
          <t xml:space="preserve">        let</t>
        </is>
      </c>
    </row>
    <row r="192">
      <c r="A192" s="43" t="inlineStr">
        <is>
          <t xml:space="preserve">            Ops = Table.Distinct(Table.SelectColumns(Table.SelectRows(lignes, each [Année] = annee),</t>
        </is>
      </c>
    </row>
    <row r="193">
      <c r="A193" s="43" t="inlineStr">
        <is>
          <t xml:space="preserve">                {"Opération affichée", "Ordre opération"})),</t>
        </is>
      </c>
    </row>
    <row r="194">
      <c r="A194" s="43" t="inlineStr">
        <is>
          <t xml:space="preserve">            Triees = Table.Sort(Ops, {{"Ordre opération", Order.Ascending}, {"Opération affichée", Order.Ascending}})</t>
        </is>
      </c>
    </row>
    <row r="195">
      <c r="A195" s="43" t="inlineStr">
        <is>
          <t xml:space="preserve">        in</t>
        </is>
      </c>
    </row>
    <row r="196">
      <c r="A196" s="43" t="inlineStr">
        <is>
          <t xml:space="preserve">            if Table.RowCount(Triees) = 0 then null else Text.Combine(Triees[Opération affichée], " + "),</t>
        </is>
      </c>
    </row>
    <row r="197">
      <c r="A197" s="43" t="inlineStr">
        <is>
          <t xml:space="preserve">    AvecAnnees = Table.AddColumn(Postes, "_Annees", (p) =&gt;</t>
        </is>
      </c>
    </row>
    <row r="198">
      <c r="A198" s="43" t="inlineStr">
        <is>
          <t xml:space="preserve">        Record.FromList(List.Transform(Annees, (a) =&gt; Cellule(p[_Lignes], a)), NomsAnnees)),</t>
        </is>
      </c>
    </row>
    <row r="199">
      <c r="A199" s="43" t="inlineStr">
        <is>
          <t xml:space="preserve">    Developpe = Table.ExpandRecordColumn(Table.RemoveColumns(AvecAnnees, {"_Lignes"}), "_Annees", NomsAnnees),</t>
        </is>
      </c>
    </row>
    <row r="200">
      <c r="A200" s="43" t="inlineStr">
        <is>
          <t xml:space="preserve">    Types = Table.TransformColumnTypes(Developpe, List.Transform(NomsAnnees, each {_, type text})),</t>
        </is>
      </c>
    </row>
    <row r="201">
      <c r="A201" s="43" t="inlineStr">
        <is>
          <t xml:space="preserve">    Resultat = Table.Sort(Types, {{"Site", Order.Ascending}, {"Équipe", Order.Ascending}, {"Code poste", Order.Ascending}})</t>
        </is>
      </c>
    </row>
    <row r="202">
      <c r="A202" s="43" t="inlineStr">
        <is>
          <t>in</t>
        </is>
      </c>
    </row>
    <row r="203">
      <c r="A203" s="43" t="inlineStr">
        <is>
          <t xml:space="preserve">    Resultat</t>
        </is>
      </c>
    </row>
    <row r="206">
      <c r="A206" s="27" t="inlineStr">
        <is>
          <t>Requête « GMAO_Lignes »</t>
        </is>
      </c>
    </row>
    <row r="207">
      <c r="A207" s="43" t="inlineStr">
        <is>
          <t>// =====================================================================</t>
        </is>
      </c>
    </row>
    <row r="208">
      <c r="A208" s="43" t="inlineStr">
        <is>
          <t>// GMAO_Lignes - lecture et contrôle de l'export GMAO (requête de préparation,</t>
        </is>
      </c>
    </row>
    <row r="209">
      <c r="A209" s="43" t="inlineStr">
        <is>
          <t>// non chargée). Une ligne par ligne utile de l'export, tous types de travail.</t>
        </is>
      </c>
    </row>
    <row r="210">
      <c r="A210" s="43" t="inlineStr">
        <is>
          <t>// Paramètres (04_PARAMETRES) : P_CheminGMAO, P_FeuilleGMAO, P_LongueurCodePoste,</t>
        </is>
      </c>
    </row>
    <row r="211">
      <c r="A211" s="43" t="inlineStr">
        <is>
          <t>//   P_ActiviteSecours (Oui / Non).</t>
        </is>
      </c>
    </row>
    <row r="212">
      <c r="A212" s="43" t="inlineStr">
        <is>
          <t>// Tables (94_REFERENTIELS) : T_Ref_Activites, T_Ref_Sites, T_Ref_Equipes.</t>
        </is>
      </c>
    </row>
    <row r="213">
      <c r="A213" s="43" t="inlineStr">
        <is>
          <t>// Règles : Site = Groupe gestionnaires ; Équipe = Poste travail princ. ;</t>
        </is>
      </c>
    </row>
    <row r="214">
      <c r="A214" s="43" t="inlineStr">
        <is>
          <t>//   Code poste = Code site, à défaut 9 premiers caractères du Poste technique ;</t>
        </is>
      </c>
    </row>
    <row r="215">
      <c r="A215" s="43" t="inlineStr">
        <is>
          <t>//   Année planifiée = année de la Date début planifiée.</t>
        </is>
      </c>
    </row>
    <row r="216">
      <c r="A216" s="43" t="inlineStr">
        <is>
          <t>// =====================================================================</t>
        </is>
      </c>
    </row>
    <row r="217">
      <c r="A217" s="43" t="inlineStr">
        <is>
          <t>let</t>
        </is>
      </c>
    </row>
    <row r="218">
      <c r="A218" s="43" t="inlineStr">
        <is>
          <t xml:space="preserve">    // 1. Entrées du classeur et fichier GMAO, lus dans une seule étape</t>
        </is>
      </c>
    </row>
    <row r="219">
      <c r="A219" s="43" t="inlineStr">
        <is>
          <t xml:space="preserve">    Entrees =</t>
        </is>
      </c>
    </row>
    <row r="220">
      <c r="A220" s="43" t="inlineStr">
        <is>
          <t xml:space="preserve">        let</t>
        </is>
      </c>
    </row>
    <row r="221">
      <c r="A221" s="43" t="inlineStr">
        <is>
          <t xml:space="preserve">            Lire = (nom as text) as any =&gt;</t>
        </is>
      </c>
    </row>
    <row r="222">
      <c r="A222" s="43" t="inlineStr">
        <is>
          <t xml:space="preserve">                let</t>
        </is>
      </c>
    </row>
    <row r="223">
      <c r="A223" s="43" t="inlineStr">
        <is>
          <t xml:space="preserve">                    Contenu = Excel.CurrentWorkbook(){[Name = nom]}[Content]</t>
        </is>
      </c>
    </row>
    <row r="224">
      <c r="A224" s="43" t="inlineStr">
        <is>
          <t xml:space="preserve">                in</t>
        </is>
      </c>
    </row>
    <row r="225">
      <c r="A225" s="43" t="inlineStr">
        <is>
          <t xml:space="preserve">                    if Table.RowCount(Contenu) = 0 then null else Contenu{0}[Column1],</t>
        </is>
      </c>
    </row>
    <row r="226">
      <c r="A226" s="43" t="inlineStr">
        <is>
          <t xml:space="preserve">            Nettoyer = (v as any) as text =&gt; if v = null then "" else Text.Trim(Text.From(v)),</t>
        </is>
      </c>
    </row>
    <row r="227">
      <c r="A227" s="43" t="inlineStr">
        <is>
          <t xml:space="preserve">            LireTable = (nom as text) as table =&gt; Table.Buffer(Excel.CurrentWorkbook(){[Name = nom]}[Content]),</t>
        </is>
      </c>
    </row>
    <row r="228">
      <c r="A228" s="43" t="inlineStr">
        <is>
          <t xml:space="preserve">            CheminLu = Nettoyer(Lire("P_CheminGMAO")),</t>
        </is>
      </c>
    </row>
    <row r="229">
      <c r="A229" s="43" t="inlineStr">
        <is>
          <t xml:space="preserve">            LongueurLue = Lire("P_LongueurCodePoste")</t>
        </is>
      </c>
    </row>
    <row r="230">
      <c r="A230" s="43" t="inlineStr">
        <is>
          <t xml:space="preserve">        in</t>
        </is>
      </c>
    </row>
    <row r="231">
      <c r="A231" s="43" t="inlineStr">
        <is>
          <t xml:space="preserve">            [</t>
        </is>
      </c>
    </row>
    <row r="232">
      <c r="A232" s="43" t="inlineStr">
        <is>
          <t xml:space="preserve">                Chemin = CheminLu,</t>
        </is>
      </c>
    </row>
    <row r="233">
      <c r="A233" s="43" t="inlineStr">
        <is>
          <t xml:space="preserve">                Feuille = Nettoyer(Lire("P_FeuilleGMAO")),</t>
        </is>
      </c>
    </row>
    <row r="234">
      <c r="A234" s="43" t="inlineStr">
        <is>
          <t xml:space="preserve">                Longueur = if LongueurLue = null then 9 else Number.RoundDown(Number.From(LongueurLue)),</t>
        </is>
      </c>
    </row>
    <row r="235">
      <c r="A235" s="43" t="inlineStr">
        <is>
          <t xml:space="preserve">                Secours = Text.Upper(Nettoyer(Lire("P_ActiviteSecours"))) = "OUI",</t>
        </is>
      </c>
    </row>
    <row r="236">
      <c r="A236" s="43" t="inlineStr">
        <is>
          <t xml:space="preserve">                Activites = LireTable("T_Ref_Activites"),</t>
        </is>
      </c>
    </row>
    <row r="237">
      <c r="A237" s="43" t="inlineStr">
        <is>
          <t xml:space="preserve">                Sites = LireTable("T_Ref_Sites"),</t>
        </is>
      </c>
    </row>
    <row r="238">
      <c r="A238" s="43" t="inlineStr">
        <is>
          <t xml:space="preserve">                Equipes = LireTable("T_Ref_Equipes"),</t>
        </is>
      </c>
    </row>
    <row r="239">
      <c r="A239" s="43" t="inlineStr">
        <is>
          <t xml:space="preserve">                Binaire =</t>
        </is>
      </c>
    </row>
    <row r="240">
      <c r="A240" s="43" t="inlineStr">
        <is>
          <t xml:space="preserve">                    if CheminLu = "" then</t>
        </is>
      </c>
    </row>
    <row r="241">
      <c r="A241" s="43" t="inlineStr">
        <is>
          <t xml:space="preserve">                        error Error.Record("Paramètre manquant", "04_PARAMETRES : le fichier GMAO n'est pas renseigné.")</t>
        </is>
      </c>
    </row>
    <row r="242">
      <c r="A242" s="43" t="inlineStr">
        <is>
          <t xml:space="preserve">                    else</t>
        </is>
      </c>
    </row>
    <row r="243">
      <c r="A243" s="43" t="inlineStr">
        <is>
          <t xml:space="preserve">                        Binary.Buffer(File.Contents(CheminLu))</t>
        </is>
      </c>
    </row>
    <row r="244">
      <c r="A244" s="43" t="inlineStr">
        <is>
          <t xml:space="preserve">            ],</t>
        </is>
      </c>
    </row>
    <row r="245">
      <c r="A245" s="43" t="n"/>
    </row>
    <row r="246">
      <c r="A246" s="43" t="inlineStr">
        <is>
          <t xml:space="preserve">    // 2. Lecture : CSV (séparateur ;) ou classeur Excel (feuille P_FeuilleGMAO, sinon la première)</t>
        </is>
      </c>
    </row>
    <row r="247">
      <c r="A247" s="43" t="inlineStr">
        <is>
          <t xml:space="preserve">    CheminMinuscule = Text.Lower(Entrees[Chemin]),</t>
        </is>
      </c>
    </row>
    <row r="248">
      <c r="A248" s="43" t="inlineStr">
        <is>
          <t xml:space="preserve">    Brut =</t>
        </is>
      </c>
    </row>
    <row r="249">
      <c r="A249" s="43" t="inlineStr">
        <is>
          <t xml:space="preserve">        if Text.EndsWith(CheminMinuscule, ".csv") or Text.EndsWith(CheminMinuscule, ".txt") then</t>
        </is>
      </c>
    </row>
    <row r="250">
      <c r="A250" s="43" t="inlineStr">
        <is>
          <t xml:space="preserve">            Table.PromoteHeaders(</t>
        </is>
      </c>
    </row>
    <row r="251">
      <c r="A251" s="43" t="inlineStr">
        <is>
          <t xml:space="preserve">                Csv.Document(Entrees[Binaire], [Delimiter = ";", Encoding = 65001, QuoteStyle = QuoteStyle.Csv]),</t>
        </is>
      </c>
    </row>
    <row r="252">
      <c r="A252" s="43" t="inlineStr">
        <is>
          <t xml:space="preserve">                [PromoteAllScalars = true])</t>
        </is>
      </c>
    </row>
    <row r="253">
      <c r="A253" s="43" t="inlineStr">
        <is>
          <t xml:space="preserve">        else</t>
        </is>
      </c>
    </row>
    <row r="254">
      <c r="A254" s="43" t="inlineStr">
        <is>
          <t xml:space="preserve">            let</t>
        </is>
      </c>
    </row>
    <row r="255">
      <c r="A255" s="43" t="inlineStr">
        <is>
          <t xml:space="preserve">                Feuilles = Table.SelectRows(Excel.Workbook(Entrees[Binaire], null, true), each [Kind] = "Sheet"),</t>
        </is>
      </c>
    </row>
    <row r="256">
      <c r="A256" s="43" t="inlineStr">
        <is>
          <t xml:space="preserve">                Choix = if Entrees[Feuille] = "" then Feuilles else Table.SelectRows(Feuilles, each [Item] = Entrees[Feuille]),</t>
        </is>
      </c>
    </row>
    <row r="257">
      <c r="A257" s="43" t="inlineStr">
        <is>
          <t xml:space="preserve">                Donnees =</t>
        </is>
      </c>
    </row>
    <row r="258">
      <c r="A258" s="43" t="inlineStr">
        <is>
          <t xml:space="preserve">                    if Table.RowCount(Choix) = 0 then</t>
        </is>
      </c>
    </row>
    <row r="259">
      <c r="A259" s="43" t="inlineStr">
        <is>
          <t xml:space="preserve">                        error Error.Record("Feuille introuvable", "Aucune feuille « " &amp; Entrees[Feuille] &amp; " » dans l'export GMAO.")</t>
        </is>
      </c>
    </row>
    <row r="260">
      <c r="A260" s="43" t="inlineStr">
        <is>
          <t xml:space="preserve">                    else</t>
        </is>
      </c>
    </row>
    <row r="261">
      <c r="A261" s="43" t="inlineStr">
        <is>
          <t xml:space="preserve">                        Choix{0}[Data]</t>
        </is>
      </c>
    </row>
    <row r="262">
      <c r="A262" s="43" t="inlineStr">
        <is>
          <t xml:space="preserve">            in</t>
        </is>
      </c>
    </row>
    <row r="263">
      <c r="A263" s="43" t="inlineStr">
        <is>
          <t xml:space="preserve">                Table.PromoteHeaders(Donnees, [PromoteAllScalars = true]),</t>
        </is>
      </c>
    </row>
    <row r="264">
      <c r="A264" s="43" t="inlineStr">
        <is>
          <t xml:space="preserve">    // « Typologie » est exporté avec un espace final : les espaces de début et de fin sont retirés</t>
        </is>
      </c>
    </row>
    <row r="265">
      <c r="A265" s="43" t="inlineStr">
        <is>
          <t xml:space="preserve">    EnTetes = Table.TransformColumnNames(Brut, each Text.Trim(Text.Replace(_, "#(FEFF)", ""))),</t>
        </is>
      </c>
    </row>
    <row r="266">
      <c r="A266" s="43" t="n"/>
    </row>
    <row r="267">
      <c r="A267" s="43" t="inlineStr">
        <is>
          <t xml:space="preserve">    // 3. Structure : colonnes obligatoires (sinon erreur explicite) et 24 colonnes attendues</t>
        </is>
      </c>
    </row>
    <row r="268">
      <c r="A268" s="43" t="inlineStr">
        <is>
          <t xml:space="preserve">    Obligatoires = {"Ordre", "Type de travail", "Désignation", "Poste travail princ.", "Groupe gestionnaires",</t>
        </is>
      </c>
    </row>
    <row r="269">
      <c r="A269" s="43" t="inlineStr">
        <is>
          <t xml:space="preserve">        "Date début planifiée", "Code site", "Poste technique", "Activité"},</t>
        </is>
      </c>
    </row>
    <row r="270">
      <c r="A270" s="43" t="inlineStr">
        <is>
          <t xml:space="preserve">    Attendues = {"Créé le", "Ordre", "Ordre supérieur", "Type d'ordre", "Type de travail", "Avis", "Désignation",</t>
        </is>
      </c>
    </row>
    <row r="271">
      <c r="A271" s="43" t="inlineStr">
        <is>
          <t xml:space="preserve">        "Statut utilisateur", "Statut système", "Saisi par", "Total coûts réels", "Poste travail princ.",</t>
        </is>
      </c>
    </row>
    <row r="272">
      <c r="A272" s="43" t="inlineStr">
        <is>
          <t xml:space="preserve">        "Groupe gestionnaires", "Secteur exploitation", "Date début planifiée", "Code site", "Poste technique",</t>
        </is>
      </c>
    </row>
    <row r="273">
      <c r="A273" s="43" t="inlineStr">
        <is>
          <t xml:space="preserve">        "Désign.poste techn.", "Équipement", "Groupe de gamme principale", "Compteur de groupe de gamme principale",</t>
        </is>
      </c>
    </row>
    <row r="274">
      <c r="A274" s="43" t="inlineStr">
        <is>
          <t xml:space="preserve">        "Date modif. fiche ordre", "Typologie", "Activité"},</t>
        </is>
      </c>
    </row>
    <row r="275">
      <c r="A275" s="43" t="inlineStr">
        <is>
          <t xml:space="preserve">    Presentes = Table.ColumnNames(EnTetes),</t>
        </is>
      </c>
    </row>
    <row r="276">
      <c r="A276" s="43" t="inlineStr">
        <is>
          <t xml:space="preserve">    Manquantes = List.Difference(Obligatoires, Presentes),</t>
        </is>
      </c>
    </row>
    <row r="277">
      <c r="A277" s="43" t="inlineStr">
        <is>
          <t xml:space="preserve">    Absentes = List.Difference(Attendues, Presentes),</t>
        </is>
      </c>
    </row>
    <row r="278">
      <c r="A278" s="43" t="inlineStr">
        <is>
          <t xml:space="preserve">    Structure =</t>
        </is>
      </c>
    </row>
    <row r="279">
      <c r="A279" s="43" t="inlineStr">
        <is>
          <t xml:space="preserve">        if List.IsEmpty(Manquantes) then</t>
        </is>
      </c>
    </row>
    <row r="280">
      <c r="A280" s="43" t="inlineStr">
        <is>
          <t xml:space="preserve">            Table.SelectColumns(EnTetes, Attendues, MissingField.UseNull)</t>
        </is>
      </c>
    </row>
    <row r="281">
      <c r="A281" s="43" t="inlineStr">
        <is>
          <t xml:space="preserve">        else</t>
        </is>
      </c>
    </row>
    <row r="282">
      <c r="A282" s="43" t="inlineStr">
        <is>
          <t xml:space="preserve">            error Error.Record("Colonnes GMAO obligatoires absentes",</t>
        </is>
      </c>
    </row>
    <row r="283">
      <c r="A283" s="43" t="inlineStr">
        <is>
          <t xml:space="preserve">                "Colonne(s) introuvable(s) dans l'export : " &amp; Text.Combine(Manquantes, ", ")</t>
        </is>
      </c>
    </row>
    <row r="284">
      <c r="A284" s="43" t="inlineStr">
        <is>
          <t xml:space="preserve">                    &amp; ". Vérifier l'export ou le nom des colonnes (voir 05_NOTICE).", Manquantes),</t>
        </is>
      </c>
    </row>
    <row r="285">
      <c r="A285" s="43" t="inlineStr">
        <is>
          <t xml:space="preserve">    Indexe = Table.AddIndexColumn(Structure, "Ligne export", 2, 1),</t>
        </is>
      </c>
    </row>
    <row r="286">
      <c r="A286" s="43" t="n"/>
    </row>
    <row r="287">
      <c r="A287" s="43" t="inlineStr">
        <is>
          <t xml:space="preserve">    // 4. Typage tolérant : une valeur illisible devient vide et elle est signalée</t>
        </is>
      </c>
    </row>
    <row r="288">
      <c r="A288" s="43" t="inlineStr">
        <is>
          <t xml:space="preserve">    VersTexte = (v as any) as nullable text =&gt;</t>
        </is>
      </c>
    </row>
    <row r="289">
      <c r="A289" s="43" t="inlineStr">
        <is>
          <t xml:space="preserve">        if v = null then null else let t = Text.Trim(Text.From(v)) in if t = "" then null else t,</t>
        </is>
      </c>
    </row>
    <row r="290">
      <c r="A290" s="43" t="inlineStr">
        <is>
          <t xml:space="preserve">    VersDate = (v as any) as nullable date =&gt;</t>
        </is>
      </c>
    </row>
    <row r="291">
      <c r="A291" s="43" t="inlineStr">
        <is>
          <t xml:space="preserve">        if v = null then null</t>
        </is>
      </c>
    </row>
    <row r="292">
      <c r="A292" s="43" t="inlineStr">
        <is>
          <t xml:space="preserve">        else if v is date then v</t>
        </is>
      </c>
    </row>
    <row r="293">
      <c r="A293" s="43" t="inlineStr">
        <is>
          <t xml:space="preserve">        else if v is datetime then Date.From(v)</t>
        </is>
      </c>
    </row>
    <row r="294">
      <c r="A294" s="43" t="inlineStr">
        <is>
          <t xml:space="preserve">        else if v is datetimezone then Date.From(v)</t>
        </is>
      </c>
    </row>
    <row r="295">
      <c r="A295" s="43" t="inlineStr">
        <is>
          <t xml:space="preserve">        else if v is number then (try Date.From(v) otherwise null)</t>
        </is>
      </c>
    </row>
    <row r="296">
      <c r="A296" s="43" t="inlineStr">
        <is>
          <t xml:space="preserve">        else</t>
        </is>
      </c>
    </row>
    <row r="297">
      <c r="A297" s="43" t="inlineStr">
        <is>
          <t xml:space="preserve">            let t = Text.Trim(Text.From(v)) in</t>
        </is>
      </c>
    </row>
    <row r="298">
      <c r="A298" s="43" t="inlineStr">
        <is>
          <t xml:space="preserve">                if t = "" then null</t>
        </is>
      </c>
    </row>
    <row r="299">
      <c r="A299" s="43" t="inlineStr">
        <is>
          <t xml:space="preserve">                else try Date.FromText(t, "fr-FR") otherwise try Date.From(DateTime.FromText(t, "fr-FR")) otherwise null,</t>
        </is>
      </c>
    </row>
    <row r="300">
      <c r="A300" s="43" t="inlineStr">
        <is>
          <t xml:space="preserve">    VersNombre = (v as any) as nullable number =&gt;</t>
        </is>
      </c>
    </row>
    <row r="301">
      <c r="A301" s="43" t="inlineStr">
        <is>
          <t xml:space="preserve">        if v = null then null</t>
        </is>
      </c>
    </row>
    <row r="302">
      <c r="A302" s="43" t="inlineStr">
        <is>
          <t xml:space="preserve">        else if v is number then v</t>
        </is>
      </c>
    </row>
    <row r="303">
      <c r="A303" s="43" t="inlineStr">
        <is>
          <t xml:space="preserve">        else</t>
        </is>
      </c>
    </row>
    <row r="304">
      <c r="A304" s="43" t="inlineStr">
        <is>
          <t xml:space="preserve">            let t = Text.Remove(Text.Trim(Text.From(v)), {" ", "#(00A0)", "#(202F)"}) in</t>
        </is>
      </c>
    </row>
    <row r="305">
      <c r="A305" s="43" t="inlineStr">
        <is>
          <t xml:space="preserve">                if t = "" then null else try Number.FromText(t, "fr-FR") otherwise null,</t>
        </is>
      </c>
    </row>
    <row r="306">
      <c r="A306" s="43" t="inlineStr">
        <is>
          <t xml:space="preserve">    AvecDateBrute = Table.AddColumn(Indexe, "_DateBrute", each VersTexte([#"Date début planifiée"]), type nullable text),</t>
        </is>
      </c>
    </row>
    <row r="307">
      <c r="A307" s="43" t="inlineStr">
        <is>
          <t xml:space="preserve">    ColonnesDates = {"Créé le", "Date début planifiée", "Date modif. fiche ordre"},</t>
        </is>
      </c>
    </row>
    <row r="308">
      <c r="A308" s="43" t="inlineStr">
        <is>
          <t xml:space="preserve">    ColonnesNombres = {"Total coûts réels"},</t>
        </is>
      </c>
    </row>
    <row r="309">
      <c r="A309" s="43" t="inlineStr">
        <is>
          <t xml:space="preserve">    Types = Table.TransformColumns(AvecDateBrute,</t>
        </is>
      </c>
    </row>
    <row r="310">
      <c r="A310" s="43" t="inlineStr">
        <is>
          <t xml:space="preserve">        List.Transform(List.Difference(Attendues, ColonnesDates &amp; ColonnesNombres), each {_, VersTexte, type nullable text})</t>
        </is>
      </c>
    </row>
    <row r="311">
      <c r="A311" s="43" t="inlineStr">
        <is>
          <t xml:space="preserve">            &amp; List.Transform(ColonnesDates, each {_, VersDate, type nullable date})</t>
        </is>
      </c>
    </row>
    <row r="312">
      <c r="A312" s="43" t="inlineStr">
        <is>
          <t xml:space="preserve">            &amp; List.Transform(ColonnesNombres, each {_, VersNombre, type nullable number})),</t>
        </is>
      </c>
    </row>
    <row r="313">
      <c r="A313" s="43" t="n"/>
    </row>
    <row r="314">
      <c r="A314" s="43" t="inlineStr">
        <is>
          <t xml:space="preserve">    // 5. Lignes techniques vides (aucun champ structurant renseigné) : ignorées et comptées</t>
        </is>
      </c>
    </row>
    <row r="315">
      <c r="A315" s="43" t="inlineStr">
        <is>
          <t xml:space="preserve">    Structurants = {"Ordre", "Poste technique", "Code site", "Date début planifiée", "Désignation",</t>
        </is>
      </c>
    </row>
    <row r="316">
      <c r="A316" s="43" t="inlineStr">
        <is>
          <t xml:space="preserve">        "Groupe gestionnaires", "Poste travail princ."},</t>
        </is>
      </c>
    </row>
    <row r="317">
      <c r="A317" s="43" t="inlineStr">
        <is>
          <t xml:space="preserve">    Utiles = Table.SelectRows(Types, each</t>
        </is>
      </c>
    </row>
    <row r="318">
      <c r="A318" s="43" t="inlineStr">
        <is>
          <t xml:space="preserve">        List.NonNullCount(Record.ToList(Record.SelectFields(_, Structurants))) &gt; 0 or [_DateBrute] &lt;&gt; null),</t>
        </is>
      </c>
    </row>
    <row r="319">
      <c r="A319" s="43" t="inlineStr">
        <is>
          <t xml:space="preserve">    NbVides = Table.RowCount(Types) - Table.RowCount(Utiles),</t>
        </is>
      </c>
    </row>
    <row r="320">
      <c r="A320" s="43" t="n"/>
    </row>
    <row r="321">
      <c r="A321" s="43" t="inlineStr">
        <is>
          <t xml:space="preserve">    // 6. Site, Équipe, Code poste (Code site prioritaire), Année planifiée</t>
        </is>
      </c>
    </row>
    <row r="322">
      <c r="A322" s="43" t="inlineStr">
        <is>
          <t xml:space="preserve">    Longueur = Entrees[Longueur],</t>
        </is>
      </c>
    </row>
    <row r="323">
      <c r="A323" s="43" t="inlineStr">
        <is>
          <t xml:space="preserve">    AvecCles = Table.AddColumn(Table.AddColumn(Table.AddColumn(Utiles,</t>
        </is>
      </c>
    </row>
    <row r="324">
      <c r="A324" s="43" t="inlineStr">
        <is>
          <t xml:space="preserve">        "Site", each [Groupe gestionnaires], type nullable text),</t>
        </is>
      </c>
    </row>
    <row r="325">
      <c r="A325" s="43" t="inlineStr">
        <is>
          <t xml:space="preserve">        "Équipe", each [#"Poste travail princ."], type nullable text),</t>
        </is>
      </c>
    </row>
    <row r="326">
      <c r="A326" s="43" t="inlineStr">
        <is>
          <t xml:space="preserve">        "Code poste", each</t>
        </is>
      </c>
    </row>
    <row r="327">
      <c r="A327" s="43" t="inlineStr">
        <is>
          <t xml:space="preserve">            if [Code site] &lt;&gt; null then [Code site]</t>
        </is>
      </c>
    </row>
    <row r="328">
      <c r="A328" s="43" t="inlineStr">
        <is>
          <t xml:space="preserve">            else if [Poste technique] &lt;&gt; null and Text.Length([Poste technique]) &gt;= Longueur then Text.Start([Poste technique], Longueur)</t>
        </is>
      </c>
    </row>
    <row r="329">
      <c r="A329" s="43" t="inlineStr">
        <is>
          <t xml:space="preserve">            else null, type nullable text),</t>
        </is>
      </c>
    </row>
    <row r="330">
      <c r="A330" s="43" t="inlineStr">
        <is>
          <t xml:space="preserve">    AvecSource = Table.AddColumn(AvecCles, "Source code poste", each</t>
        </is>
      </c>
    </row>
    <row r="331">
      <c r="A331" s="43" t="inlineStr">
        <is>
          <t xml:space="preserve">        if [Code site] &lt;&gt; null then "Code site"</t>
        </is>
      </c>
    </row>
    <row r="332">
      <c r="A332" s="43" t="inlineStr">
        <is>
          <t xml:space="preserve">        else if [Code poste] &lt;&gt; null then "Poste technique (" &amp; Text.From(Longueur) &amp; " car.)" else null, type nullable text),</t>
        </is>
      </c>
    </row>
    <row r="333">
      <c r="A333" s="43" t="inlineStr">
        <is>
          <t xml:space="preserve">    AvecAnnee = Table.AddColumn(AvecSource, "Année planifiée", each</t>
        </is>
      </c>
    </row>
    <row r="334">
      <c r="A334" s="43" t="inlineStr">
        <is>
          <t xml:space="preserve">        if [#"Date début planifiée"] = null then null else Date.Year([#"Date début planifiée"]), Int64.Type),</t>
        </is>
      </c>
    </row>
    <row r="335">
      <c r="A335" s="43" t="n"/>
    </row>
    <row r="336">
      <c r="A336" s="43" t="inlineStr">
        <is>
          <t xml:space="preserve">    // 7. Activité : découpée sur « + », espaces et casse normalisés ; activité inconnue conservée</t>
        </is>
      </c>
    </row>
    <row r="337">
      <c r="A337" s="43" t="inlineStr">
        <is>
          <t xml:space="preserve">    Normaliser = (t as text) as text =&gt; Text.Combine(List.Select(Text.Split(Text.Upper(Text.Trim(t)), " "), each _ &lt;&gt; ""), " "),</t>
        </is>
      </c>
    </row>
    <row r="338">
      <c r="A338" s="43" t="inlineStr">
        <is>
          <t xml:space="preserve">    RefActivites = List.Buffer(List.Transform(List.Select(Table.ToRecords(Entrees[Activites]), each [Activité] &lt;&gt; null), (r) =&gt; [</t>
        </is>
      </c>
    </row>
    <row r="339">
      <c r="A339" s="43" t="inlineStr">
        <is>
          <t xml:space="preserve">        Code = Normaliser(Text.From(r[Activité])),</t>
        </is>
      </c>
    </row>
    <row r="340">
      <c r="A340" s="43" t="inlineStr">
        <is>
          <t xml:space="preserve">        MotCle = if r[#"Mot-clé dans Désignation (secours)"] = null then null</t>
        </is>
      </c>
    </row>
    <row r="341">
      <c r="A341" s="43" t="inlineStr">
        <is>
          <t xml:space="preserve">            else Normaliser(Text.From(r[#"Mot-clé dans Désignation (secours)"]))])),</t>
        </is>
      </c>
    </row>
    <row r="342">
      <c r="A342" s="43" t="inlineStr">
        <is>
          <t xml:space="preserve">    CodesConnus = List.Buffer(List.Transform(RefActivites, each [Code])),</t>
        </is>
      </c>
    </row>
    <row r="343">
      <c r="A343" s="43" t="inlineStr">
        <is>
          <t xml:space="preserve">    // Secours désactivable (P_ActiviteSecours) : reconnaissance de mots-clés dans la Désignation</t>
        </is>
      </c>
    </row>
    <row r="344">
      <c r="A344" s="43" t="inlineStr">
        <is>
          <t xml:space="preserve">    Reconstruire = (designation as nullable text) as nullable text =&gt;</t>
        </is>
      </c>
    </row>
    <row r="345">
      <c r="A345" s="43" t="inlineStr">
        <is>
          <t xml:space="preserve">        let</t>
        </is>
      </c>
    </row>
    <row r="346">
      <c r="A346" s="43" t="inlineStr">
        <is>
          <t xml:space="preserve">            Mots = " " &amp; Text.Combine(List.Select(Text.SplitAny(Text.Upper(if designation = null then "" else designation),</t>
        </is>
      </c>
    </row>
    <row r="347">
      <c r="A347" s="43" t="inlineStr">
        <is>
          <t xml:space="preserve">                " +-/,;:()[]."), each _ &lt;&gt; ""), " ") &amp; " ",</t>
        </is>
      </c>
    </row>
    <row r="348">
      <c r="A348" s="43" t="inlineStr">
        <is>
          <t xml:space="preserve">            Trouvees = List.Select(RefActivites, each [MotCle] &lt;&gt; null and Text.Contains(Mots, " " &amp; [MotCle]))</t>
        </is>
      </c>
    </row>
    <row r="349">
      <c r="A349" s="43" t="inlineStr">
        <is>
          <t xml:space="preserve">        in</t>
        </is>
      </c>
    </row>
    <row r="350">
      <c r="A350" s="43" t="inlineStr">
        <is>
          <t xml:space="preserve">            if List.IsEmpty(Trouvees) then null else Text.Combine(List.Transform(Trouvees, each [Code]), "+"),</t>
        </is>
      </c>
    </row>
    <row r="351">
      <c r="A351" s="43" t="inlineStr">
        <is>
          <t xml:space="preserve">    AvecReconstruite = Table.AddColumn(AvecAnnee, "Activité reconstruite (secours)", each</t>
        </is>
      </c>
    </row>
    <row r="352">
      <c r="A352" s="43" t="inlineStr">
        <is>
          <t xml:space="preserve">        if Entrees[Secours] and [Activité] = null and [Désignation] &lt;&gt; null then Reconstruire([Désignation]) else null,</t>
        </is>
      </c>
    </row>
    <row r="353">
      <c r="A353" s="43" t="inlineStr">
        <is>
          <t xml:space="preserve">        type nullable text),</t>
        </is>
      </c>
    </row>
    <row r="354">
      <c r="A354" s="43" t="inlineStr">
        <is>
          <t xml:space="preserve">    AvecActivites = Table.AddColumn(AvecReconstruite, "_Activites", each</t>
        </is>
      </c>
    </row>
    <row r="355">
      <c r="A355" s="43" t="inlineStr">
        <is>
          <t xml:space="preserve">        let</t>
        </is>
      </c>
    </row>
    <row r="356">
      <c r="A356" s="43" t="inlineStr">
        <is>
          <t xml:space="preserve">            Texte = if [Activité] &lt;&gt; null then [Activité] else [#"Activité reconstruite (secours)"],</t>
        </is>
      </c>
    </row>
    <row r="357">
      <c r="A357" s="43" t="inlineStr">
        <is>
          <t xml:space="preserve">            Segments = if Texte = null then {} else List.Transform(Text.Split(Texte, "+"), Normaliser)</t>
        </is>
      </c>
    </row>
    <row r="358">
      <c r="A358" s="43" t="inlineStr">
        <is>
          <t xml:space="preserve">        in</t>
        </is>
      </c>
    </row>
    <row r="359">
      <c r="A359" s="43" t="inlineStr">
        <is>
          <t xml:space="preserve">            [Segments = Segments, Atomiques = List.Distinct(List.Select(Segments, each _ &lt;&gt; ""))]),</t>
        </is>
      </c>
    </row>
    <row r="360">
      <c r="A360" s="43" t="n"/>
    </row>
    <row r="361">
      <c r="A361" s="43" t="inlineStr">
        <is>
          <t xml:space="preserve">    // 8. Doublons d'OT dans l'export</t>
        </is>
      </c>
    </row>
    <row r="362">
      <c r="A362" s="43" t="inlineStr">
        <is>
          <t xml:space="preserve">    AvecPre = Table.AddColumn(AvecActivites, "Est préventif", each</t>
        </is>
      </c>
    </row>
    <row r="363">
      <c r="A363" s="43" t="inlineStr">
        <is>
          <t xml:space="preserve">        [Type de travail] &lt;&gt; null and Text.Upper([Type de travail]) = "PRE", type logical),</t>
        </is>
      </c>
    </row>
    <row r="364">
      <c r="A364" s="43" t="inlineStr">
        <is>
          <t xml:space="preserve">    NbParOrdre = Table.Group(Table.SelectRows(AvecPre, each [Ordre] &lt;&gt; null), {"Ordre"},</t>
        </is>
      </c>
    </row>
    <row r="365">
      <c r="A365" s="43" t="inlineStr">
        <is>
          <t xml:space="preserve">        {{"Nb lignes de l'OT", each Table.RowCount(_), Int64.Type}}),</t>
        </is>
      </c>
    </row>
    <row r="366">
      <c r="A366" s="43" t="inlineStr">
        <is>
          <t xml:space="preserve">    AvecNb = Table.Join(AvecPre, "Ordre", Table.RenameColumns(NbParOrdre, {{"Ordre", "_Ordre2"}}), "_Ordre2", JoinKind.LeftOuter),</t>
        </is>
      </c>
    </row>
    <row r="367">
      <c r="A367" s="43" t="n"/>
    </row>
    <row r="368">
      <c r="A368" s="43" t="inlineStr">
        <is>
          <t xml:space="preserve">    // 9. Contrôles par ligne (aucune ligne n'est supprimée)</t>
        </is>
      </c>
    </row>
    <row r="369">
      <c r="A369" s="43" t="inlineStr">
        <is>
          <t xml:space="preserve">    StatutDe = (t as table, colonne as text, v as nullable text) as nullable text =&gt;</t>
        </is>
      </c>
    </row>
    <row r="370">
      <c r="A370" s="43" t="inlineStr">
        <is>
          <t xml:space="preserve">        let l = Table.SelectRows(t, each Text.From(Record.Field(_, colonne)) = v) in</t>
        </is>
      </c>
    </row>
    <row r="371">
      <c r="A371" s="43" t="inlineStr">
        <is>
          <t xml:space="preserve">            if v = null then null else if Table.RowCount(l) = 0 then "inconnu" else Text.From(l{0}[Statut]),</t>
        </is>
      </c>
    </row>
    <row r="372">
      <c r="A372" s="43" t="inlineStr">
        <is>
          <t xml:space="preserve">    AvecControles = Table.AddColumn(AvecNb, "Contrôles", (r) =&gt;</t>
        </is>
      </c>
    </row>
    <row r="373">
      <c r="A373" s="43" t="inlineStr">
        <is>
          <t xml:space="preserve">        let</t>
        </is>
      </c>
    </row>
    <row r="374">
      <c r="A374" s="43" t="inlineStr">
        <is>
          <t xml:space="preserve">            Pt = r[Poste technique],</t>
        </is>
      </c>
    </row>
    <row r="375">
      <c r="A375" s="43" t="inlineStr">
        <is>
          <t xml:space="preserve">            Cs = r[Code site],</t>
        </is>
      </c>
    </row>
    <row r="376">
      <c r="A376" s="43" t="inlineStr">
        <is>
          <t xml:space="preserve">            A = r[_Activites],</t>
        </is>
      </c>
    </row>
    <row r="377">
      <c r="A377" s="43" t="inlineStr">
        <is>
          <t xml:space="preserve">            StatutSite = StatutDe(Entrees[Sites], "Site", r[Site]),</t>
        </is>
      </c>
    </row>
    <row r="378">
      <c r="A378" s="43" t="inlineStr">
        <is>
          <t xml:space="preserve">            StatutEquipe = StatutDe(Entrees[Equipes], "Équipe", r[Équipe])</t>
        </is>
      </c>
    </row>
    <row r="379">
      <c r="A379" s="43" t="inlineStr">
        <is>
          <t xml:space="preserve">        in</t>
        </is>
      </c>
    </row>
    <row r="380">
      <c r="A380" s="43" t="inlineStr">
        <is>
          <t xml:space="preserve">            List.RemoveNulls({</t>
        </is>
      </c>
    </row>
    <row r="381">
      <c r="A381" s="43" t="inlineStr">
        <is>
          <t xml:space="preserve">                if r[Ordre] = null then "Ordre vide" else null,</t>
        </is>
      </c>
    </row>
    <row r="382">
      <c r="A382" s="43" t="inlineStr">
        <is>
          <t xml:space="preserve">                if r[#"Nb lignes de l'OT"] &lt;&gt; null and r[#"Nb lignes de l'OT"] &gt; 1 then "Doublon OT éventuel" else null,</t>
        </is>
      </c>
    </row>
    <row r="383">
      <c r="A383" s="43" t="inlineStr">
        <is>
          <t xml:space="preserve">                if r[Code poste] = null then "Code poste impossible à déterminer" else null,</t>
        </is>
      </c>
    </row>
    <row r="384">
      <c r="A384" s="43" t="inlineStr">
        <is>
          <t xml:space="preserve">                if Cs = null and r[Code poste] &lt;&gt; null then "Code site vide : code poste repris du Poste technique" else null,</t>
        </is>
      </c>
    </row>
    <row r="385">
      <c r="A385" s="43" t="inlineStr">
        <is>
          <t xml:space="preserve">                if Pt = null then "Poste technique vide" else null,</t>
        </is>
      </c>
    </row>
    <row r="386">
      <c r="A386" s="43" t="inlineStr">
        <is>
          <t xml:space="preserve">                if Cs &lt;&gt; null and Pt &lt;&gt; null and Text.Start(Pt, Longueur) &lt;&gt; Cs then "Code site ≠ GAUCHE(Poste technique;9)" else null,</t>
        </is>
      </c>
    </row>
    <row r="387">
      <c r="A387" s="43" t="inlineStr">
        <is>
          <t xml:space="preserve">                if r[_DateBrute] = null then "Date début planifiée vide" else null,</t>
        </is>
      </c>
    </row>
    <row r="388">
      <c r="A388" s="43" t="inlineStr">
        <is>
          <t xml:space="preserve">                if r[_DateBrute] &lt;&gt; null and r[#"Date début planifiée"] = null then "Date début planifiée invalide" else null,</t>
        </is>
      </c>
    </row>
    <row r="389">
      <c r="A389" s="43" t="inlineStr">
        <is>
          <t xml:space="preserve">                if r[Activité] = null and r[Désignation] &lt;&gt; null then "Activité source vide alors que Désignation est renseignée" else null,</t>
        </is>
      </c>
    </row>
    <row r="390">
      <c r="A390" s="43" t="inlineStr">
        <is>
          <t xml:space="preserve">                if r[Activité] = null and r[Désignation] = null then "Activité vide" else null,</t>
        </is>
      </c>
    </row>
    <row r="391">
      <c r="A391" s="43" t="inlineStr">
        <is>
          <t xml:space="preserve">                if r[#"Activité reconstruite (secours)"] &lt;&gt; null then "Activité reconstruite depuis la Désignation (secours)" else null,</t>
        </is>
      </c>
    </row>
    <row r="392">
      <c r="A392" s="43" t="inlineStr">
        <is>
          <t xml:space="preserve">                if List.Contains(A[Segments], "") and r[Activité] &lt;&gt; null then "Activité mal formée" else null,</t>
        </is>
      </c>
    </row>
    <row r="393">
      <c r="A393" s="43" t="inlineStr">
        <is>
          <t xml:space="preserve">                if List.AnyTrue(List.Transform(A[Atomiques], each not List.Contains(CodesConnus, _))) then "Activité inconnue (à valider)" else null,</t>
        </is>
      </c>
    </row>
    <row r="394">
      <c r="A394" s="43" t="inlineStr">
        <is>
          <t xml:space="preserve">                if StatutSite = "inconnu" then "Site inconnu" else if StatutSite = "À valider" then "Site à valider" else null,</t>
        </is>
      </c>
    </row>
    <row r="395">
      <c r="A395" s="43" t="inlineStr">
        <is>
          <t xml:space="preserve">                if r[Site] = null then "Site vide" else null,</t>
        </is>
      </c>
    </row>
    <row r="396">
      <c r="A396" s="43" t="inlineStr">
        <is>
          <t xml:space="preserve">                if StatutEquipe = "inconnu" then "Équipe inconnue" else if StatutEquipe = "À valider" then "Équipe à valider" else null,</t>
        </is>
      </c>
    </row>
    <row r="397">
      <c r="A397" s="43" t="inlineStr">
        <is>
          <t xml:space="preserve">                if r[Équipe] = null then "Équipe vide" else null,</t>
        </is>
      </c>
    </row>
    <row r="398">
      <c r="A398" s="43" t="inlineStr">
        <is>
          <t xml:space="preserve">                if not r[Est préventif] then "Type de travail différent de PRE (exclu de la couverture)" else null</t>
        </is>
      </c>
    </row>
    <row r="399">
      <c r="A399" s="43" t="inlineStr">
        <is>
          <t xml:space="preserve">            }), type list),</t>
        </is>
      </c>
    </row>
    <row r="400">
      <c r="A400" s="43" t="inlineStr">
        <is>
          <t xml:space="preserve">    Maintenant = DateTime.LocalNow(),</t>
        </is>
      </c>
    </row>
    <row r="401">
      <c r="A401" s="43" t="inlineStr">
        <is>
          <t xml:space="preserve">    Resultat = Table.Sort(</t>
        </is>
      </c>
    </row>
    <row r="402">
      <c r="A402" s="43" t="inlineStr">
        <is>
          <t xml:space="preserve">        Table.AddColumn(Table.AddColumn(Table.AddColumn(Table.AddColumn(</t>
        </is>
      </c>
    </row>
    <row r="403">
      <c r="A403" s="43" t="inlineStr">
        <is>
          <t xml:space="preserve">            Table.RemoveColumns(AvecControles, {"_DateBrute", "_Ordre2"}),</t>
        </is>
      </c>
    </row>
    <row r="404">
      <c r="A404" s="43" t="inlineStr">
        <is>
          <t xml:space="preserve">            "Lignes vides ignorées", each NbVides, Int64.Type),</t>
        </is>
      </c>
    </row>
    <row r="405">
      <c r="A405" s="43" t="inlineStr">
        <is>
          <t xml:space="preserve">            "Colonnes absentes", each if List.IsEmpty(Absentes) then null else Text.Combine(Absentes, ", "), type nullable text),</t>
        </is>
      </c>
    </row>
    <row r="406">
      <c r="A406" s="43" t="inlineStr">
        <is>
          <t xml:space="preserve">            "Fichier source", each Entrees[Chemin], type text),</t>
        </is>
      </c>
    </row>
    <row r="407">
      <c r="A407" s="43" t="inlineStr">
        <is>
          <t xml:space="preserve">            "Importé le", each Maintenant, type datetime),</t>
        </is>
      </c>
    </row>
    <row r="408">
      <c r="A408" s="43" t="inlineStr">
        <is>
          <t xml:space="preserve">        {{"Ligne export", Order.Ascending}})</t>
        </is>
      </c>
    </row>
    <row r="409">
      <c r="A409" s="43" t="inlineStr">
        <is>
          <t>in</t>
        </is>
      </c>
    </row>
    <row r="410">
      <c r="A410" s="43" t="inlineStr">
        <is>
          <t xml:space="preserve">    Resultat</t>
        </is>
      </c>
    </row>
    <row r="413">
      <c r="A413" s="27" t="inlineStr">
        <is>
          <t>Requête « OT_Detail »</t>
        </is>
      </c>
    </row>
    <row r="414">
      <c r="A414" s="43" t="inlineStr">
        <is>
          <t>// =====================================================================</t>
        </is>
      </c>
    </row>
    <row r="415">
      <c r="A415" s="43" t="inlineStr">
        <is>
          <t>// OT_Detail - OT PRÉVENTIFS normalisés : une ligne par couple Ordre x Activité atomique.</t>
        </is>
      </c>
    </row>
    <row r="416">
      <c r="A416" s="43" t="inlineStr">
        <is>
          <t>// Seuls les OT avec Type de travail = PRE et un numéro d'Ordre sont retenus.</t>
        </is>
      </c>
    </row>
    <row r="417">
      <c r="A417" s="43" t="inlineStr">
        <is>
          <t>// Source du tableau croisé 02_COUVERTURE_OT (double-clic = détail des OT).</t>
        </is>
      </c>
    </row>
    <row r="418">
      <c r="A418" s="43" t="inlineStr">
        <is>
          <t>// Chargement : tableau T_OT_Detail dans 03_DETAIL_OT.</t>
        </is>
      </c>
    </row>
    <row r="419">
      <c r="A419" s="43" t="inlineStr">
        <is>
          <t>// =====================================================================</t>
        </is>
      </c>
    </row>
    <row r="420">
      <c r="A420" s="43" t="inlineStr">
        <is>
          <t>let</t>
        </is>
      </c>
    </row>
    <row r="421">
      <c r="A421" s="43" t="inlineStr">
        <is>
          <t xml:space="preserve">    Lignes = Table.SelectRows(GMAO_Lignes, each [Est préventif] and [Ordre] &lt;&gt; null),</t>
        </is>
      </c>
    </row>
    <row r="422">
      <c r="A422" s="43" t="inlineStr">
        <is>
          <t xml:space="preserve">    // Une ligne par activité atomique ; un OT sans activité garde une ligne (activité vide, signalée)</t>
        </is>
      </c>
    </row>
    <row r="423">
      <c r="A423" s="43" t="inlineStr">
        <is>
          <t xml:space="preserve">    AvecAtomiques = Table.AddColumn(Lignes, "Activité atomique", each</t>
        </is>
      </c>
    </row>
    <row r="424">
      <c r="A424" s="43" t="inlineStr">
        <is>
          <t xml:space="preserve">        let a = [_Activites][Atomiques] in if List.IsEmpty(a) then {null} else a),</t>
        </is>
      </c>
    </row>
    <row r="425">
      <c r="A425" s="43" t="inlineStr">
        <is>
          <t xml:space="preserve">    Eclate = Table.ExpandListColumn(AvecAtomiques, "Activité atomique"),</t>
        </is>
      </c>
    </row>
    <row r="426">
      <c r="A426" s="43" t="inlineStr">
        <is>
          <t xml:space="preserve">    AvecSeq = Table.AddIndexColumn(Table.Sort(Eclate, {{"Ligne export", Order.Ascending}}), "_Seq", 1, 1),</t>
        </is>
      </c>
    </row>
    <row r="427">
      <c r="A427" s="43" t="inlineStr">
        <is>
          <t xml:space="preserve">    // Doublon technique : un même couple Ordre + Activité n'est gardé qu'une fois</t>
        </is>
      </c>
    </row>
    <row r="428">
      <c r="A428" s="43" t="inlineStr">
        <is>
          <t xml:space="preserve">    AvecCle = Table.AddColumn(AvecSeq, "_Cle", each</t>
        </is>
      </c>
    </row>
    <row r="429">
      <c r="A429" s="43" t="inlineStr">
        <is>
          <t xml:space="preserve">        [Ordre] &amp; "|" &amp; (if [Activité atomique] = null then "#VIDE" else [Activité atomique]), type text),</t>
        </is>
      </c>
    </row>
    <row r="430">
      <c r="A430" s="43" t="inlineStr">
        <is>
          <t xml:space="preserve">    Couples = Table.Group(AvecCle, {"_Cle"}, {</t>
        </is>
      </c>
    </row>
    <row r="431">
      <c r="A431" s="43" t="inlineStr">
        <is>
          <t xml:space="preserve">        {"_Nb", each Table.RowCount(_), Int64.Type},</t>
        </is>
      </c>
    </row>
    <row r="432">
      <c r="A432" s="43" t="inlineStr">
        <is>
          <t xml:space="preserve">        {"_Lignes", each Text.Combine(List.Transform(List.Sort(List.Distinct([Ligne export])), Text.From), ", "), type text}}),</t>
        </is>
      </c>
    </row>
    <row r="433">
      <c r="A433" s="43" t="inlineStr">
        <is>
          <t xml:space="preserve">    AvecNb = Table.Join(AvecCle, "_Cle", Table.RenameColumns(Couples, {{"_Cle", "_Cle2"}}), "_Cle2"),</t>
        </is>
      </c>
    </row>
    <row r="434">
      <c r="A434" s="43" t="inlineStr">
        <is>
          <t xml:space="preserve">    SansDoublon = Table.Distinct(Table.Buffer(Table.Sort(AvecNb, {{"_Seq", Order.Ascending}})), {"_Cle"}),</t>
        </is>
      </c>
    </row>
    <row r="435">
      <c r="A435" s="43" t="inlineStr">
        <is>
          <t xml:space="preserve">    AvecRegroupees = Table.AddColumn(SansDoublon, "Lignes export regroupées", each</t>
        </is>
      </c>
    </row>
    <row r="436">
      <c r="A436" s="43" t="inlineStr">
        <is>
          <t xml:space="preserve">        if [_Nb] &gt; 1 then [_Lignes] else null, type nullable text),</t>
        </is>
      </c>
    </row>
    <row r="437">
      <c r="A437" s="43" t="inlineStr">
        <is>
          <t xml:space="preserve">    // Compte OT = 1 sur une seule ligne par Ordre : la somme donne un nombre d'OT distincts</t>
        </is>
      </c>
    </row>
    <row r="438">
      <c r="A438" s="43" t="inlineStr">
        <is>
          <t xml:space="preserve">    PremieresLignes = Table.Group(AvecRegroupees, {"Ordre"}, {{"_Premiere", each List.Min([_Seq]), Int64.Type}}),</t>
        </is>
      </c>
    </row>
    <row r="439">
      <c r="A439" s="43" t="inlineStr">
        <is>
          <t xml:space="preserve">    AvecPremiere = Table.Join(AvecRegroupees, "Ordre", Table.RenameColumns(PremieresLignes, {{"Ordre", "_Ordre3"}}), "_Ordre3"),</t>
        </is>
      </c>
    </row>
    <row r="440">
      <c r="A440" s="43" t="inlineStr">
        <is>
          <t xml:space="preserve">    AvecCompte = Table.AddColumn(AvecPremiere, "Compte OT", each if [_Seq] = [_Premiere] then 1 else 0, Int64.Type),</t>
        </is>
      </c>
    </row>
    <row r="441">
      <c r="A441" s="43" t="inlineStr">
        <is>
          <t xml:space="preserve">    // Désignation du poste : celle du programme (code poste GMAO), sinon celle de l'export</t>
        </is>
      </c>
    </row>
    <row r="442">
      <c r="A442" s="43" t="inlineStr">
        <is>
          <t xml:space="preserve">    Programme = try Table.Buffer(Table.SelectRows(PDM_Normalise, each [Code poste GMAO] &lt;&gt; null and [Désignation] &lt;&gt; null))</t>
        </is>
      </c>
    </row>
    <row r="443">
      <c r="A443" s="43" t="inlineStr">
        <is>
          <t xml:space="preserve">        otherwise #table({"Code poste GMAO", "Désignation", "Ligne PDM"}, {}),</t>
        </is>
      </c>
    </row>
    <row r="444">
      <c r="A444" s="43" t="inlineStr">
        <is>
          <t xml:space="preserve">    DesignationsPdm = Table.Buffer(Table.Group(Table.Sort(Programme, {{"Ligne PDM", Order.Ascending}}), {"Code poste GMAO"},</t>
        </is>
      </c>
    </row>
    <row r="445">
      <c r="A445" s="43" t="inlineStr">
        <is>
          <t xml:space="preserve">        {{"_DesPdm", each List.First([Désignation]), type nullable text}})),</t>
        </is>
      </c>
    </row>
    <row r="446">
      <c r="A446" s="43" t="inlineStr">
        <is>
          <t xml:space="preserve">    DesignationsGmao = Table.Buffer(Table.Group(</t>
        </is>
      </c>
    </row>
    <row r="447">
      <c r="A447" s="43" t="inlineStr">
        <is>
          <t xml:space="preserve">        Table.Sort(Table.SelectRows(AvecCompte, each [Code poste] &lt;&gt; null and [#"Désign.poste techn."] &lt;&gt; null), {{"Ligne export", Order.Ascending}}),</t>
        </is>
      </c>
    </row>
    <row r="448">
      <c r="A448" s="43" t="inlineStr">
        <is>
          <t xml:space="preserve">        {"Code poste"}, {{"_DesGmao", each List.First([#"Désign.poste techn."]), type nullable text}})),</t>
        </is>
      </c>
    </row>
    <row r="449">
      <c r="A449" s="43" t="inlineStr">
        <is>
          <t xml:space="preserve">    AvecDesPdm = Table.NestedJoin(AvecCompte, {"Code poste"}, DesignationsPdm, {"Code poste GMAO"}, "_P", JoinKind.LeftOuter),</t>
        </is>
      </c>
    </row>
    <row r="450">
      <c r="A450" s="43" t="inlineStr">
        <is>
          <t xml:space="preserve">    AvecDesGmao = Table.NestedJoin(AvecDesPdm, {"Code poste"}, DesignationsGmao, {"Code poste"}, "_G", JoinKind.LeftOuter),</t>
        </is>
      </c>
    </row>
    <row r="451">
      <c r="A451" s="43" t="inlineStr">
        <is>
          <t xml:space="preserve">    AvecDesignation = Table.AddColumn(AvecDesGmao, "Désignation du poste", each</t>
        </is>
      </c>
    </row>
    <row r="452">
      <c r="A452" s="43" t="inlineStr">
        <is>
          <t xml:space="preserve">        if not Table.IsEmpty([_P]) then [_P]{0}[_DesPdm] else if not Table.IsEmpty([_G]) then [_G]{0}[_DesGmao] else null,</t>
        </is>
      </c>
    </row>
    <row r="453">
      <c r="A453" s="43" t="inlineStr">
        <is>
          <t xml:space="preserve">        type nullable text),</t>
        </is>
      </c>
    </row>
    <row r="454">
      <c r="A454" s="43" t="inlineStr">
        <is>
          <t xml:space="preserve">    // Contrôle qualité de la ligne</t>
        </is>
      </c>
    </row>
    <row r="455">
      <c r="A455" s="43" t="inlineStr">
        <is>
          <t xml:space="preserve">    AvecControle = Table.AddColumn(AvecDesignation, "Contrôle qualité", each</t>
        </is>
      </c>
    </row>
    <row r="456">
      <c r="A456" s="43" t="inlineStr">
        <is>
          <t xml:space="preserve">        let l = [Contrôles] &amp; (if [_Nb] &gt; 1 then {"Couple Ordre + Activité en double"} else {})</t>
        </is>
      </c>
    </row>
    <row r="457">
      <c r="A457" s="43" t="inlineStr">
        <is>
          <t xml:space="preserve">        in if List.IsEmpty(l) then null else Text.Combine(l, " ; "), type nullable text),</t>
        </is>
      </c>
    </row>
    <row r="458">
      <c r="A458" s="43" t="inlineStr">
        <is>
          <t xml:space="preserve">    Renomme = Table.RenameColumns(Table.Sort(AvecControle, {{"_Seq", Order.Ascending}}), {{"Activité", "Activité source"}}),</t>
        </is>
      </c>
    </row>
    <row r="459">
      <c r="A459" s="43" t="inlineStr">
        <is>
          <t xml:space="preserve">    Resultat = Table.SelectColumns(Renomme, {</t>
        </is>
      </c>
    </row>
    <row r="460">
      <c r="A460" s="43" t="inlineStr">
        <is>
          <t xml:space="preserve">        "Ordre", "Ordre supérieur", "Site", "Équipe", "Code poste", "Code site", "Poste technique",</t>
        </is>
      </c>
    </row>
    <row r="461">
      <c r="A461" s="43" t="inlineStr">
        <is>
          <t xml:space="preserve">        "Désign.poste techn.", "Désignation", "Date début planifiée", "Année planifiée", "Activité source",</t>
        </is>
      </c>
    </row>
    <row r="462">
      <c r="A462" s="43" t="inlineStr">
        <is>
          <t xml:space="preserve">        "Activité atomique", "Typologie", "Statut utilisateur", "Statut système", "Équipement", "Créé le",</t>
        </is>
      </c>
    </row>
    <row r="463">
      <c r="A463" s="43" t="inlineStr">
        <is>
          <t xml:space="preserve">        "Date modif. fiche ordre", "Désignation du poste", "Groupe gestionnaires", "Poste travail princ.",</t>
        </is>
      </c>
    </row>
    <row r="464">
      <c r="A464" s="43" t="inlineStr">
        <is>
          <t xml:space="preserve">        "Type d'ordre", "Type de travail", "Avis", "Saisi par", "Total coûts réels", "Secteur exploitation",</t>
        </is>
      </c>
    </row>
    <row r="465">
      <c r="A465" s="43" t="inlineStr">
        <is>
          <t xml:space="preserve">        "Groupe de gamme principale", "Compteur de groupe de gamme principale", "Source code poste",</t>
        </is>
      </c>
    </row>
    <row r="466">
      <c r="A466" s="43" t="inlineStr">
        <is>
          <t xml:space="preserve">        "Activité reconstruite (secours)", "Compte OT", "Contrôle qualité", "Ligne export",</t>
        </is>
      </c>
    </row>
    <row r="467">
      <c r="A467" s="43" t="inlineStr">
        <is>
          <t xml:space="preserve">        "Lignes export regroupées", "Fichier source", "Importé le"}),</t>
        </is>
      </c>
    </row>
    <row r="468">
      <c r="A468" s="43" t="inlineStr">
        <is>
          <t xml:space="preserve">    Types = Table.TransformColumnTypes(Resultat, {{"Activité atomique", type text}, {"Ligne export", Int64.Type}})</t>
        </is>
      </c>
    </row>
    <row r="469">
      <c r="A469" s="43" t="inlineStr">
        <is>
          <t>in</t>
        </is>
      </c>
    </row>
    <row r="470">
      <c r="A470" s="43" t="inlineStr">
        <is>
          <t xml:space="preserve">    Types</t>
        </is>
      </c>
    </row>
    <row r="473">
      <c r="A473" s="27" t="inlineStr">
        <is>
          <t>Requête « Rapprochement »</t>
        </is>
      </c>
    </row>
    <row r="474">
      <c r="A474" s="43" t="inlineStr">
        <is>
          <t>// =====================================================================</t>
        </is>
      </c>
    </row>
    <row r="475">
      <c r="A475" s="43" t="inlineStr">
        <is>
          <t>// Rapprochement - correspondance des postes entre programme (PDM) et GMAO.</t>
        </is>
      </c>
    </row>
    <row r="476">
      <c r="A476" s="43" t="inlineStr">
        <is>
          <t>// Règle : PDM[Code Emprise] = GMAO[Code site] (code poste), sauf exception</t>
        </is>
      </c>
    </row>
    <row r="477">
      <c r="A477" s="43" t="inlineStr">
        <is>
          <t>//   déclarée dans T_Correspondance. Aucun diagnostic prévu / réalisé ici.</t>
        </is>
      </c>
    </row>
    <row r="478">
      <c r="A478" s="43" t="inlineStr">
        <is>
          <t>// Statuts : Correspondance automatique | Correspondance manuelle | Non rapproché</t>
        </is>
      </c>
    </row>
    <row r="479">
      <c r="A479" s="43" t="inlineStr">
        <is>
          <t>//   | OT sans poste au programme.</t>
        </is>
      </c>
    </row>
    <row r="480">
      <c r="A480" s="43" t="inlineStr">
        <is>
          <t>// Chargement : tableau T_Rapprochement (onglet technique masqué).</t>
        </is>
      </c>
    </row>
    <row r="481">
      <c r="A481" s="43" t="inlineStr">
        <is>
          <t>// =====================================================================</t>
        </is>
      </c>
    </row>
    <row r="482">
      <c r="A482" s="43" t="inlineStr">
        <is>
          <t>let</t>
        </is>
      </c>
    </row>
    <row r="483">
      <c r="A483" s="43" t="inlineStr">
        <is>
          <t xml:space="preserve">    Programme = Table.SelectRows(PDM_Normalise, each [Code poste] &lt;&gt; null),</t>
        </is>
      </c>
    </row>
    <row r="484">
      <c r="A484" s="43" t="inlineStr">
        <is>
          <t xml:space="preserve">    PostesPdm = Table.Group(Programme, {"Code poste"}, {</t>
        </is>
      </c>
    </row>
    <row r="485">
      <c r="A485" s="43" t="inlineStr">
        <is>
          <t xml:space="preserve">        {"Site", each List.First(List.RemoveNulls([Site])), type nullable text},</t>
        </is>
      </c>
    </row>
    <row r="486">
      <c r="A486" s="43" t="inlineStr">
        <is>
          <t xml:space="preserve">        {"Équipe", each List.First(List.RemoveNulls([Équipe])), type nullable text},</t>
        </is>
      </c>
    </row>
    <row r="487">
      <c r="A487" s="43" t="inlineStr">
        <is>
          <t xml:space="preserve">        {"Désignation", each List.First(List.RemoveNulls([Désignation])), type nullable text},</t>
        </is>
      </c>
    </row>
    <row r="488">
      <c r="A488" s="43" t="inlineStr">
        <is>
          <t xml:space="preserve">        {"Code poste GMAO", each List.First([Code poste GMAO]), type nullable text},</t>
        </is>
      </c>
    </row>
    <row r="489">
      <c r="A489" s="43" t="inlineStr">
        <is>
          <t xml:space="preserve">        {"Déclarée", each List.AnyTrue([Correspondance déclarée]), type logical}}),</t>
        </is>
      </c>
    </row>
    <row r="490">
      <c r="A490" s="43" t="inlineStr">
        <is>
          <t xml:space="preserve">    Ot = Table.SelectRows(GMAO_Lignes, each [Est préventif] and [Ordre] &lt;&gt; null and [Code poste] &lt;&gt; null),</t>
        </is>
      </c>
    </row>
    <row r="491">
      <c r="A491" s="43" t="inlineStr">
        <is>
          <t xml:space="preserve">    PostesGmao = Table.Buffer(Table.Group(Ot, {"Code poste"}, {</t>
        </is>
      </c>
    </row>
    <row r="492">
      <c r="A492" s="43" t="inlineStr">
        <is>
          <t xml:space="preserve">        {"Nb OT préventifs (GMAO)", each List.Count(List.Distinct([Ordre])), Int64.Type},</t>
        </is>
      </c>
    </row>
    <row r="493">
      <c r="A493" s="43" t="inlineStr">
        <is>
          <t xml:space="preserve">        {"_Site", each List.First(List.RemoveNulls([Site])), type nullable text},</t>
        </is>
      </c>
    </row>
    <row r="494">
      <c r="A494" s="43" t="inlineStr">
        <is>
          <t xml:space="preserve">        {"_Equipe", each List.First(List.RemoveNulls([Équipe])), type nullable text},</t>
        </is>
      </c>
    </row>
    <row r="495">
      <c r="A495" s="43" t="inlineStr">
        <is>
          <t xml:space="preserve">        {"_Designation", each List.First(List.RemoveNulls([#"Désign.poste techn."])), type nullable text}})),</t>
        </is>
      </c>
    </row>
    <row r="496">
      <c r="A496" s="43" t="inlineStr">
        <is>
          <t xml:space="preserve">    CotePdm = Table.AddColumn(</t>
        </is>
      </c>
    </row>
    <row r="497">
      <c r="A497" s="43" t="inlineStr">
        <is>
          <t xml:space="preserve">        Table.NestedJoin(PostesPdm, {"Code poste GMAO"}, PostesGmao, {"Code poste"}, "_G", JoinKind.LeftOuter),</t>
        </is>
      </c>
    </row>
    <row r="498">
      <c r="A498" s="43" t="inlineStr">
        <is>
          <t xml:space="preserve">        "Statut rapprochement", each</t>
        </is>
      </c>
    </row>
    <row r="499">
      <c r="A499" s="43" t="inlineStr">
        <is>
          <t xml:space="preserve">            if Table.IsEmpty([_G]) then "Non rapproché"</t>
        </is>
      </c>
    </row>
    <row r="500">
      <c r="A500" s="43" t="inlineStr">
        <is>
          <t xml:space="preserve">            else if [Déclarée] then "Correspondance manuelle" else "Correspondance automatique", type text),</t>
        </is>
      </c>
    </row>
    <row r="501">
      <c r="A501" s="43" t="inlineStr">
        <is>
          <t xml:space="preserve">    CotePdmFinal = Table.AddColumn(Table.AddColumn(CotePdm,</t>
        </is>
      </c>
    </row>
    <row r="502">
      <c r="A502" s="43" t="inlineStr">
        <is>
          <t xml:space="preserve">        "Nb OT préventifs (GMAO)", each if Table.IsEmpty([_G]) then 0 else [_G]{0}[#"Nb OT préventifs (GMAO)"], Int64.Type),</t>
        </is>
      </c>
    </row>
    <row r="503">
      <c r="A503" s="43" t="inlineStr">
        <is>
          <t xml:space="preserve">        "Origine", each "Programme", type text),</t>
        </is>
      </c>
    </row>
    <row r="504">
      <c r="A504" s="43" t="inlineStr">
        <is>
          <t xml:space="preserve">    CodesUtilises = List.Buffer(List.RemoveNulls(PostesPdm[Code poste GMAO])),</t>
        </is>
      </c>
    </row>
    <row r="505">
      <c r="A505" s="43" t="inlineStr">
        <is>
          <t xml:space="preserve">    CoteGmao = Table.FromRecords(List.Transform(</t>
        </is>
      </c>
    </row>
    <row r="506">
      <c r="A506" s="43" t="inlineStr">
        <is>
          <t xml:space="preserve">        Table.ToRecords(Table.SelectRows(PostesGmao, each not List.Contains(CodesUtilises, [Code poste]))),</t>
        </is>
      </c>
    </row>
    <row r="507">
      <c r="A507" s="43" t="inlineStr">
        <is>
          <t xml:space="preserve">        (r) =&gt; [Code poste = null, Site = r[_Site], Équipe = r[_Equipe], Désignation = r[_Designation],</t>
        </is>
      </c>
    </row>
    <row r="508">
      <c r="A508" s="43" t="inlineStr">
        <is>
          <t xml:space="preserve">            #"Code poste GMAO" = r[Code poste], Déclarée = false, Statut rapprochement = "OT sans poste au programme",</t>
        </is>
      </c>
    </row>
    <row r="509">
      <c r="A509" s="43" t="inlineStr">
        <is>
          <t xml:space="preserve">            #"Nb OT préventifs (GMAO)" = r[#"Nb OT préventifs (GMAO)"], Origine = "GMAO"]),</t>
        </is>
      </c>
    </row>
    <row r="510">
      <c r="A510" s="43" t="inlineStr">
        <is>
          <t xml:space="preserve">        type table [Code poste = nullable text, Site = nullable text, Équipe = nullable text, Désignation = nullable text,</t>
        </is>
      </c>
    </row>
    <row r="511">
      <c r="A511" s="43" t="inlineStr">
        <is>
          <t xml:space="preserve">            #"Code poste GMAO" = nullable text, Déclarée = logical, Statut rapprochement = text,</t>
        </is>
      </c>
    </row>
    <row r="512">
      <c r="A512" s="43" t="inlineStr">
        <is>
          <t xml:space="preserve">            #"Nb OT préventifs (GMAO)" = Int64.Type, Origine = text]),</t>
        </is>
      </c>
    </row>
    <row r="513">
      <c r="A513" s="43" t="inlineStr">
        <is>
          <t xml:space="preserve">    Colonnes = {"Origine", "Site", "Équipe", "Code poste", "Désignation", "Code poste GMAO", "Statut rapprochement",</t>
        </is>
      </c>
    </row>
    <row r="514">
      <c r="A514" s="43" t="inlineStr">
        <is>
          <t xml:space="preserve">        "Nb OT préventifs (GMAO)"},</t>
        </is>
      </c>
    </row>
    <row r="515">
      <c r="A515" s="43" t="inlineStr">
        <is>
          <t xml:space="preserve">    Resultat = Table.Sort(</t>
        </is>
      </c>
    </row>
    <row r="516">
      <c r="A516" s="43" t="inlineStr">
        <is>
          <t xml:space="preserve">        Table.Combine({Table.SelectColumns(CotePdmFinal, Colonnes), Table.SelectColumns(CoteGmao, Colonnes)}),</t>
        </is>
      </c>
    </row>
    <row r="517">
      <c r="A517" s="43" t="inlineStr">
        <is>
          <t xml:space="preserve">        {{"Origine", Order.Descending}, {"Site", Order.Ascending}, {"Équipe", Order.Ascending},</t>
        </is>
      </c>
    </row>
    <row r="518">
      <c r="A518" s="43" t="inlineStr">
        <is>
          <t xml:space="preserve">            {"Code poste", Order.Ascending}, {"Code poste GMAO", Order.Ascending}})</t>
        </is>
      </c>
    </row>
    <row r="519">
      <c r="A519" s="43" t="inlineStr">
        <is>
          <t>in</t>
        </is>
      </c>
    </row>
    <row r="520">
      <c r="A520" s="43" t="inlineStr">
        <is>
          <t xml:space="preserve">    Resultat</t>
        </is>
      </c>
    </row>
    <row r="523">
      <c r="A523" s="27" t="inlineStr">
        <is>
          <t>Requête « Controles »</t>
        </is>
      </c>
    </row>
    <row r="524">
      <c r="A524" s="43" t="inlineStr">
        <is>
          <t>// =====================================================================</t>
        </is>
      </c>
    </row>
    <row r="525">
      <c r="A525" s="43" t="inlineStr">
        <is>
          <t>// Controles - une ligne par contrôle qualité (statut OK / À VÉRIFIER / INFO).</t>
        </is>
      </c>
    </row>
    <row r="526">
      <c r="A526" s="43" t="inlineStr">
        <is>
          <t>// Lu par 04_PARAMETRES (« Contrôles à vérifier : X »). Le détail ligne par</t>
        </is>
      </c>
    </row>
    <row r="527">
      <c r="A527" s="43" t="inlineStr">
        <is>
          <t>// ligne est dans la requête Anomalies.</t>
        </is>
      </c>
    </row>
    <row r="528">
      <c r="A528" s="43" t="inlineStr">
        <is>
          <t>// Chargement : tableau T_Controles (onglet technique masqué 90_CONTROLES).</t>
        </is>
      </c>
    </row>
    <row r="529">
      <c r="A529" s="43" t="inlineStr">
        <is>
          <t>// =====================================================================</t>
        </is>
      </c>
    </row>
    <row r="530">
      <c r="A530" s="43" t="inlineStr">
        <is>
          <t>let</t>
        </is>
      </c>
    </row>
    <row r="531">
      <c r="A531" s="43" t="inlineStr">
        <is>
          <t xml:space="preserve">    Maintenant = DateTime.LocalNow(),</t>
        </is>
      </c>
    </row>
    <row r="532">
      <c r="A532" s="43" t="inlineStr">
        <is>
          <t xml:space="preserve">    Vide = #table({"Contrôles", "Ligne export", "Ordre"}, {}),</t>
        </is>
      </c>
    </row>
    <row r="533">
      <c r="A533" s="43" t="inlineStr">
        <is>
          <t xml:space="preserve">    // Table.Buffer force l'évaluation : une source illisible devient une ligne de contrôle</t>
        </is>
      </c>
    </row>
    <row r="534">
      <c r="A534" s="43" t="inlineStr">
        <is>
          <t xml:space="preserve">    Gmao = try Table.Buffer(GMAO_Lignes) otherwise null,</t>
        </is>
      </c>
    </row>
    <row r="535">
      <c r="A535" s="43" t="inlineStr">
        <is>
          <t xml:space="preserve">    Pdm = try Table.Buffer(PDM_Normalise) otherwise null,</t>
        </is>
      </c>
    </row>
    <row r="536">
      <c r="A536" s="43" t="inlineStr">
        <is>
          <t xml:space="preserve">    Rappro = try Table.Buffer(Rapprochement) otherwise null,</t>
        </is>
      </c>
    </row>
    <row r="537">
      <c r="A537" s="43" t="inlineStr">
        <is>
          <t xml:space="preserve">    Ot = try Table.Buffer(OT_Detail) otherwise null,</t>
        </is>
      </c>
    </row>
    <row r="538">
      <c r="A538" s="43" t="inlineStr">
        <is>
          <t xml:space="preserve">    Exemples = (valeurs as list) as text =&gt; Text.Combine(List.FirstN(List.Distinct(List.RemoveNulls(valeurs)), 10), ", "),</t>
        </is>
      </c>
    </row>
    <row r="539">
      <c r="A539" s="43" t="inlineStr">
        <is>
          <t xml:space="preserve">    Ligne = (source as text, controle as text, niveau as text, nombre as number, exemples as text) as record =&gt; [</t>
        </is>
      </c>
    </row>
    <row r="540">
      <c r="A540" s="43" t="inlineStr">
        <is>
          <t xml:space="preserve">        Source = source, #"Contrôle" = controle, Niveau = niveau, Nombre = nombre, Exemples = exemples,</t>
        </is>
      </c>
    </row>
    <row r="541">
      <c r="A541" s="43" t="inlineStr">
        <is>
          <t xml:space="preserve">        Statut = if niveau = "Info" then "INFO" else if nombre = 0 then "OK" else "À VÉRIFIER"],</t>
        </is>
      </c>
    </row>
    <row r="542">
      <c r="A542" s="43" t="inlineStr">
        <is>
          <t xml:space="preserve">    // Contrôles portés ligne par ligne (liste « Contrôles » de GMAO_Lignes, texte « Contrôle qualité » du PDM)</t>
        </is>
      </c>
    </row>
    <row r="543">
      <c r="A543" s="43" t="inlineStr">
        <is>
          <t xml:space="preserve">    ParLigneGmao = (libelle as text, niveau as text) as record =&gt;</t>
        </is>
      </c>
    </row>
    <row r="544">
      <c r="A544" s="43" t="inlineStr">
        <is>
          <t xml:space="preserve">        let</t>
        </is>
      </c>
    </row>
    <row r="545">
      <c r="A545" s="43" t="inlineStr">
        <is>
          <t xml:space="preserve">            T = Table.SelectRows(Gmao, each List.Contains([Contrôles], libelle)),</t>
        </is>
      </c>
    </row>
    <row r="546">
      <c r="A546" s="43" t="inlineStr">
        <is>
          <t xml:space="preserve">            Ex = List.Transform(Table.ToRecords(T), each if [Ordre] &lt;&gt; null then [Ordre] else "ligne " &amp; Text.From([Ligne export]))</t>
        </is>
      </c>
    </row>
    <row r="547">
      <c r="A547" s="43" t="inlineStr">
        <is>
          <t xml:space="preserve">        in</t>
        </is>
      </c>
    </row>
    <row r="548">
      <c r="A548" s="43" t="inlineStr">
        <is>
          <t xml:space="preserve">            Ligne("GMAO", libelle, niveau, Table.RowCount(T), Exemples(Ex)),</t>
        </is>
      </c>
    </row>
    <row r="549">
      <c r="A549" s="43" t="inlineStr">
        <is>
          <t xml:space="preserve">    ParLignePdm = (libelle as text) as record =&gt; ParLignePdmNiveau(libelle, "À vérifier"),</t>
        </is>
      </c>
    </row>
    <row r="550">
      <c r="A550" s="43" t="inlineStr">
        <is>
          <t xml:space="preserve">    ParLignePdmNiveau = (libelle as text, niveau as text) as record =&gt;</t>
        </is>
      </c>
    </row>
    <row r="551">
      <c r="A551" s="43" t="inlineStr">
        <is>
          <t xml:space="preserve">        let</t>
        </is>
      </c>
    </row>
    <row r="552">
      <c r="A552" s="43" t="inlineStr">
        <is>
          <t xml:space="preserve">            T = Table.SelectRows(Pdm, each [Contrôle qualité] &lt;&gt; null and List.Contains(Text.Split([Contrôle qualité], " ; "), libelle)),</t>
        </is>
      </c>
    </row>
    <row r="553">
      <c r="A553" s="43" t="inlineStr">
        <is>
          <t xml:space="preserve">            Ex = List.Transform(Table.ToRecords(T), each if [Code poste] &lt;&gt; null then [Code poste] &amp; " " &amp; Text.From([Année])</t>
        </is>
      </c>
    </row>
    <row r="554">
      <c r="A554" s="43" t="inlineStr">
        <is>
          <t xml:space="preserve">                else "ligne " &amp; Text.From([Ligne PDM]))</t>
        </is>
      </c>
    </row>
    <row r="555">
      <c r="A555" s="43" t="inlineStr">
        <is>
          <t xml:space="preserve">        in</t>
        </is>
      </c>
    </row>
    <row r="556">
      <c r="A556" s="43" t="inlineStr">
        <is>
          <t xml:space="preserve">            Ligne("PDM", libelle, niveau, Table.RowCount(T), Exemples(Ex)),</t>
        </is>
      </c>
    </row>
    <row r="557">
      <c r="A557" s="43" t="inlineStr">
        <is>
          <t xml:space="preserve">    LignesGmao =</t>
        </is>
      </c>
    </row>
    <row r="558">
      <c r="A558" s="43" t="inlineStr">
        <is>
          <t xml:space="preserve">        if Gmao = null then {Ligne("GMAO", "Export GMAO illisible : vérifier le fichier et 04_PARAMETRES", "À vérifier", 1, "")}</t>
        </is>
      </c>
    </row>
    <row r="559">
      <c r="A559" s="43" t="inlineStr">
        <is>
          <t xml:space="preserve">        else</t>
        </is>
      </c>
    </row>
    <row r="560">
      <c r="A560" s="43" t="inlineStr">
        <is>
          <t xml:space="preserve">            {</t>
        </is>
      </c>
    </row>
    <row r="561">
      <c r="A561" s="43" t="inlineStr">
        <is>
          <t xml:space="preserve">                Ligne("GMAO", "Lignes lues dans l'export (hors lignes vides)", "Info", Table.RowCount(Gmao), ""),</t>
        </is>
      </c>
    </row>
    <row r="562">
      <c r="A562" s="43" t="inlineStr">
        <is>
          <t xml:space="preserve">                Ligne("GMAO", "Lignes techniques vides ignorées", "Info",</t>
        </is>
      </c>
    </row>
    <row r="563">
      <c r="A563" s="43" t="inlineStr">
        <is>
          <t xml:space="preserve">                    if Table.IsEmpty(Gmao) then 0 else Gmao{0}[Lignes vides ignorées], ""),</t>
        </is>
      </c>
    </row>
    <row r="564">
      <c r="A564" s="43" t="inlineStr">
        <is>
          <t xml:space="preserve">                Ligne("GMAO", "OT préventifs retenus (PRE, Ordre renseigné)", "Info",</t>
        </is>
      </c>
    </row>
    <row r="565">
      <c r="A565" s="43" t="inlineStr">
        <is>
          <t xml:space="preserve">                    if Ot = null then 0 else List.Count(List.Distinct(Ot[Ordre])), ""),</t>
        </is>
      </c>
    </row>
    <row r="566">
      <c r="A566" s="43" t="inlineStr">
        <is>
          <t xml:space="preserve">                Ligne("GMAO", "Colonnes absentes de l'export", "À vérifier",</t>
        </is>
      </c>
    </row>
    <row r="567">
      <c r="A567" s="43" t="inlineStr">
        <is>
          <t xml:space="preserve">                    if Table.IsEmpty(Gmao) or Gmao{0}[Colonnes absentes] = null then 0 else 1,</t>
        </is>
      </c>
    </row>
    <row r="568">
      <c r="A568" s="43" t="inlineStr">
        <is>
          <t xml:space="preserve">                    if Table.IsEmpty(Gmao) or Gmao{0}[Colonnes absentes] = null then "" else Gmao{0}[Colonnes absentes])</t>
        </is>
      </c>
    </row>
    <row r="569">
      <c r="A569" s="43" t="inlineStr">
        <is>
          <t xml:space="preserve">            }</t>
        </is>
      </c>
    </row>
    <row r="570">
      <c r="A570" s="43" t="inlineStr">
        <is>
          <t xml:space="preserve">            &amp; List.Transform({</t>
        </is>
      </c>
    </row>
    <row r="571">
      <c r="A571" s="43" t="inlineStr">
        <is>
          <t xml:space="preserve">                {"Ordre vide", "À vérifier"},</t>
        </is>
      </c>
    </row>
    <row r="572">
      <c r="A572" s="43" t="inlineStr">
        <is>
          <t xml:space="preserve">                {"Doublon OT éventuel", "À vérifier"},</t>
        </is>
      </c>
    </row>
    <row r="573">
      <c r="A573" s="43" t="inlineStr">
        <is>
          <t xml:space="preserve">                {"Code poste impossible à déterminer", "À vérifier"},</t>
        </is>
      </c>
    </row>
    <row r="574">
      <c r="A574" s="43" t="inlineStr">
        <is>
          <t xml:space="preserve">                {"Code site vide : code poste repris du Poste technique", "Info"},</t>
        </is>
      </c>
    </row>
    <row r="575">
      <c r="A575" s="43" t="inlineStr">
        <is>
          <t xml:space="preserve">                {"Poste technique vide", "À vérifier"},</t>
        </is>
      </c>
    </row>
    <row r="576">
      <c r="A576" s="43" t="inlineStr">
        <is>
          <t xml:space="preserve">                {"Code site ≠ GAUCHE(Poste technique;9)", "À vérifier"},</t>
        </is>
      </c>
    </row>
    <row r="577">
      <c r="A577" s="43" t="inlineStr">
        <is>
          <t xml:space="preserve">                {"Date début planifiée vide", "À vérifier"},</t>
        </is>
      </c>
    </row>
    <row r="578">
      <c r="A578" s="43" t="inlineStr">
        <is>
          <t xml:space="preserve">                {"Date début planifiée invalide", "À vérifier"},</t>
        </is>
      </c>
    </row>
    <row r="579">
      <c r="A579" s="43" t="inlineStr">
        <is>
          <t xml:space="preserve">                {"Activité vide", "À vérifier"},</t>
        </is>
      </c>
    </row>
    <row r="580">
      <c r="A580" s="43" t="inlineStr">
        <is>
          <t xml:space="preserve">                {"Activité source vide alors que Désignation est renseignée", "À vérifier"},</t>
        </is>
      </c>
    </row>
    <row r="581">
      <c r="A581" s="43" t="inlineStr">
        <is>
          <t xml:space="preserve">                {"Activité reconstruite depuis la Désignation (secours)", "Info"},</t>
        </is>
      </c>
    </row>
    <row r="582">
      <c r="A582" s="43" t="inlineStr">
        <is>
          <t xml:space="preserve">                {"Activité mal formée", "À vérifier"},</t>
        </is>
      </c>
    </row>
    <row r="583">
      <c r="A583" s="43" t="inlineStr">
        <is>
          <t xml:space="preserve">                {"Activité inconnue (à valider)", "À vérifier"},</t>
        </is>
      </c>
    </row>
    <row r="584">
      <c r="A584" s="43" t="inlineStr">
        <is>
          <t xml:space="preserve">                {"Site inconnu", "À vérifier"},</t>
        </is>
      </c>
    </row>
    <row r="585">
      <c r="A585" s="43" t="inlineStr">
        <is>
          <t xml:space="preserve">                {"Site à valider", "À vérifier"},</t>
        </is>
      </c>
    </row>
    <row r="586">
      <c r="A586" s="43" t="inlineStr">
        <is>
          <t xml:space="preserve">                {"Site vide", "À vérifier"},</t>
        </is>
      </c>
    </row>
    <row r="587">
      <c r="A587" s="43" t="inlineStr">
        <is>
          <t xml:space="preserve">                {"Équipe inconnue", "À vérifier"},</t>
        </is>
      </c>
    </row>
    <row r="588">
      <c r="A588" s="43" t="inlineStr">
        <is>
          <t xml:space="preserve">                {"Équipe à valider", "À vérifier"},</t>
        </is>
      </c>
    </row>
    <row r="589">
      <c r="A589" s="43" t="inlineStr">
        <is>
          <t xml:space="preserve">                {"Équipe vide", "À vérifier"},</t>
        </is>
      </c>
    </row>
    <row r="590">
      <c r="A590" s="43" t="inlineStr">
        <is>
          <t xml:space="preserve">                {"Type de travail différent de PRE (exclu de la couverture)", "À vérifier"}</t>
        </is>
      </c>
    </row>
    <row r="591">
      <c r="A591" s="43" t="inlineStr">
        <is>
          <t xml:space="preserve">            }, each ParLigneGmao(_{0}, _{1}))</t>
        </is>
      </c>
    </row>
    <row r="592">
      <c r="A592" s="43" t="inlineStr">
        <is>
          <t xml:space="preserve">            &amp; {</t>
        </is>
      </c>
    </row>
    <row r="593">
      <c r="A593" s="43" t="inlineStr">
        <is>
          <t xml:space="preserve">                let</t>
        </is>
      </c>
    </row>
    <row r="594">
      <c r="A594" s="43" t="inlineStr">
        <is>
          <t xml:space="preserve">                    T = if Ot = null then Vide else Table.SelectRows(Ot, each [Contrôle qualité] &lt;&gt; null</t>
        </is>
      </c>
    </row>
    <row r="595">
      <c r="A595" s="43" t="inlineStr">
        <is>
          <t xml:space="preserve">                        and List.Contains(Text.Split([Contrôle qualité], " ; "), "Couple Ordre + Activité en double"))</t>
        </is>
      </c>
    </row>
    <row r="596">
      <c r="A596" s="43" t="inlineStr">
        <is>
          <t xml:space="preserve">                in</t>
        </is>
      </c>
    </row>
    <row r="597">
      <c r="A597" s="43" t="inlineStr">
        <is>
          <t xml:space="preserve">                    Ligne("GMAO", "Couple Ordre + Activité en double (compté une fois)", "Info", Table.RowCount(T), Exemples(T[Ordre]))</t>
        </is>
      </c>
    </row>
    <row r="598">
      <c r="A598" s="43" t="inlineStr">
        <is>
          <t xml:space="preserve">            },</t>
        </is>
      </c>
    </row>
    <row r="599">
      <c r="A599" s="43" t="inlineStr">
        <is>
          <t xml:space="preserve">    LignesPdm =</t>
        </is>
      </c>
    </row>
    <row r="600">
      <c r="A600" s="43" t="inlineStr">
        <is>
          <t xml:space="preserve">        if Pdm = null then {Ligne("PDM", "Fichier programme illisible : vérifier le fichier et 04_PARAMETRES", "À vérifier", 1, "")}</t>
        </is>
      </c>
    </row>
    <row r="601">
      <c r="A601" s="43" t="inlineStr">
        <is>
          <t xml:space="preserve">        else</t>
        </is>
      </c>
    </row>
    <row r="602">
      <c r="A602" s="43" t="inlineStr">
        <is>
          <t xml:space="preserve">            {</t>
        </is>
      </c>
    </row>
    <row r="603">
      <c r="A603" s="43" t="inlineStr">
        <is>
          <t xml:space="preserve">                Ligne("PDM", "Lignes du programme lues", "Info", Table.RowCount(Pdm), ""),</t>
        </is>
      </c>
    </row>
    <row r="604">
      <c r="A604" s="43" t="inlineStr">
        <is>
          <t xml:space="preserve">                Ligne("PDM", "Postes du programme", "Info", List.Count(List.Distinct(List.RemoveNulls(Pdm[Code poste]))), "")</t>
        </is>
      </c>
    </row>
    <row r="605">
      <c r="A605" s="43" t="inlineStr">
        <is>
          <t xml:space="preserve">            }</t>
        </is>
      </c>
    </row>
    <row r="606">
      <c r="A606" s="43" t="inlineStr">
        <is>
          <t xml:space="preserve">            &amp; {ParLignePdmNiveau("PDM : Code Emprise vide (code repris du Code Installation)", "Info")}</t>
        </is>
      </c>
    </row>
    <row r="607">
      <c r="A607" s="43" t="inlineStr">
        <is>
          <t xml:space="preserve">            &amp; List.Transform({"PDM : code poste impossible à déterminer", "PDM : année vide ou invalide",</t>
        </is>
      </c>
    </row>
    <row r="608">
      <c r="A608" s="43" t="inlineStr">
        <is>
          <t xml:space="preserve">                "PDM : opération vide", "PDM : opération inconnue (à valider)", "PDM : opération en double",</t>
        </is>
      </c>
    </row>
    <row r="609">
      <c r="A609" s="43" t="inlineStr">
        <is>
          <t xml:space="preserve">                "PDM : site inconnu", "PDM : site à valider", "PDM : équipe inconnue", "PDM : équipe à valider"}, ParLignePdm),</t>
        </is>
      </c>
    </row>
    <row r="610">
      <c r="A610" s="43" t="inlineStr">
        <is>
          <t xml:space="preserve">    LignesRappro =</t>
        </is>
      </c>
    </row>
    <row r="611">
      <c r="A611" s="43" t="inlineStr">
        <is>
          <t xml:space="preserve">        if Rappro = null then {}</t>
        </is>
      </c>
    </row>
    <row r="612">
      <c r="A612" s="43" t="inlineStr">
        <is>
          <t xml:space="preserve">        else</t>
        </is>
      </c>
    </row>
    <row r="613">
      <c r="A613" s="43" t="inlineStr">
        <is>
          <t xml:space="preserve">            let</t>
        </is>
      </c>
    </row>
    <row r="614">
      <c r="A614" s="43" t="inlineStr">
        <is>
          <t xml:space="preserve">                Statut = (s as text) as table =&gt; Table.SelectRows(Rappro, each [Statut rapprochement] = s)</t>
        </is>
      </c>
    </row>
    <row r="615">
      <c r="A615" s="43" t="inlineStr">
        <is>
          <t xml:space="preserve">            in</t>
        </is>
      </c>
    </row>
    <row r="616">
      <c r="A616" s="43" t="inlineStr">
        <is>
          <t xml:space="preserve">                {</t>
        </is>
      </c>
    </row>
    <row r="617">
      <c r="A617" s="43" t="inlineStr">
        <is>
          <t xml:space="preserve">                    Ligne("Rapprochement", "Postes : correspondance automatique", "Info",</t>
        </is>
      </c>
    </row>
    <row r="618">
      <c r="A618" s="43" t="inlineStr">
        <is>
          <t xml:space="preserve">                        Table.RowCount(Statut("Correspondance automatique")), ""),</t>
        </is>
      </c>
    </row>
    <row r="619">
      <c r="A619" s="43" t="inlineStr">
        <is>
          <t xml:space="preserve">                    Ligne("Rapprochement", "Postes : correspondance manuelle (T_Correspondance)", "Info",</t>
        </is>
      </c>
    </row>
    <row r="620">
      <c r="A620" s="43" t="inlineStr">
        <is>
          <t xml:space="preserve">                        Table.RowCount(Statut("Correspondance manuelle")), Exemples(Statut("Correspondance manuelle")[Code poste])),</t>
        </is>
      </c>
    </row>
    <row r="621">
      <c r="A621" s="43" t="inlineStr">
        <is>
          <t xml:space="preserve">                    Ligne("Rapprochement", "Rapprochement PDM/GMAO impossible : poste sans OT préventif", "À vérifier",</t>
        </is>
      </c>
    </row>
    <row r="622">
      <c r="A622" s="43" t="inlineStr">
        <is>
          <t xml:space="preserve">                        Table.RowCount(Statut("Non rapproché")), Exemples(Statut("Non rapproché")[Code poste])),</t>
        </is>
      </c>
    </row>
    <row r="623">
      <c r="A623" s="43" t="inlineStr">
        <is>
          <t xml:space="preserve">                    Ligne("Rapprochement", "Rapprochement PDM/GMAO impossible : OT sans poste au programme", "À vérifier",</t>
        </is>
      </c>
    </row>
    <row r="624">
      <c r="A624" s="43" t="inlineStr">
        <is>
          <t xml:space="preserve">                        Table.RowCount(Statut("OT sans poste au programme")), Exemples(Statut("OT sans poste au programme")[Code poste GMAO]))</t>
        </is>
      </c>
    </row>
    <row r="625">
      <c r="A625" s="43" t="inlineStr">
        <is>
          <t xml:space="preserve">                },</t>
        </is>
      </c>
    </row>
    <row r="626">
      <c r="A626" s="43" t="inlineStr">
        <is>
          <t xml:space="preserve">    Liste = LignesPdm &amp; LignesGmao &amp; LignesRappro,</t>
        </is>
      </c>
    </row>
    <row r="627">
      <c r="A627" s="43" t="inlineStr">
        <is>
          <t xml:space="preserve">    Resultat = Table.AddColumn(</t>
        </is>
      </c>
    </row>
    <row r="628">
      <c r="A628" s="43" t="inlineStr">
        <is>
          <t xml:space="preserve">        Table.AddIndexColumn(Table.FromRecords(Liste,</t>
        </is>
      </c>
    </row>
    <row r="629">
      <c r="A629" s="43" t="inlineStr">
        <is>
          <t xml:space="preserve">            type table [Source = text, #"Contrôle" = text, Niveau = text, Nombre = Int64.Type, Exemples = text, Statut = text]),</t>
        </is>
      </c>
    </row>
    <row r="630">
      <c r="A630" s="43" t="inlineStr">
        <is>
          <t xml:space="preserve">            "N°", 1, 1),</t>
        </is>
      </c>
    </row>
    <row r="631">
      <c r="A631" s="43" t="inlineStr">
        <is>
          <t xml:space="preserve">        "Actualisé le", each Maintenant, type datetime),</t>
        </is>
      </c>
    </row>
    <row r="632">
      <c r="A632" s="43" t="inlineStr">
        <is>
          <t xml:space="preserve">    Ordonne = Table.SelectColumns(Resultat, {"N°", "Source", "Contrôle", "Niveau", "Nombre", "Statut", "Exemples", "Actualisé le"})</t>
        </is>
      </c>
    </row>
    <row r="633">
      <c r="A633" s="43" t="inlineStr">
        <is>
          <t>in</t>
        </is>
      </c>
    </row>
    <row r="634">
      <c r="A634" s="43" t="inlineStr">
        <is>
          <t xml:space="preserve">    Ordonne</t>
        </is>
      </c>
    </row>
    <row r="637">
      <c r="A637" s="27" t="inlineStr">
        <is>
          <t>Requête « Anomalies »</t>
        </is>
      </c>
    </row>
    <row r="638">
      <c r="A638" s="43" t="inlineStr">
        <is>
          <t>// =====================================================================</t>
        </is>
      </c>
    </row>
    <row r="639">
      <c r="A639" s="43" t="inlineStr">
        <is>
          <t>// Anomalies - détail des contrôles : une ligne par ligne source et par contrôle.</t>
        </is>
      </c>
    </row>
    <row r="640">
      <c r="A640" s="43" t="inlineStr">
        <is>
          <t>// Chargement : tableau T_Anomalies (onglet technique masqué 91_ANOMALIES).</t>
        </is>
      </c>
    </row>
    <row r="641">
      <c r="A641" s="43" t="inlineStr">
        <is>
          <t>// =====================================================================</t>
        </is>
      </c>
    </row>
    <row r="642">
      <c r="A642" s="43" t="inlineStr">
        <is>
          <t>let</t>
        </is>
      </c>
    </row>
    <row r="643">
      <c r="A643" s="43" t="inlineStr">
        <is>
          <t xml:space="preserve">    Gmao = try Table.Buffer(GMAO_Lignes) otherwise null,</t>
        </is>
      </c>
    </row>
    <row r="644">
      <c r="A644" s="43" t="inlineStr">
        <is>
          <t xml:space="preserve">    Pdm = try Table.Buffer(PDM_Normalise) otherwise null,</t>
        </is>
      </c>
    </row>
    <row r="645">
      <c r="A645" s="43" t="inlineStr">
        <is>
          <t xml:space="preserve">    Type = type table [Source = text, Ligne = Int64.Type, Ordre = nullable text, #"Code poste" = nullable text,</t>
        </is>
      </c>
    </row>
    <row r="646">
      <c r="A646" s="43" t="inlineStr">
        <is>
          <t xml:space="preserve">        Site = nullable text, #"Équipe" = nullable text, #"Contrôle" = text, Détail = nullable text],</t>
        </is>
      </c>
    </row>
    <row r="647">
      <c r="A647" s="43" t="inlineStr">
        <is>
          <t xml:space="preserve">    DeGmao = if Gmao = null then {} else List.Combine(List.Transform(</t>
        </is>
      </c>
    </row>
    <row r="648">
      <c r="A648" s="43" t="inlineStr">
        <is>
          <t xml:space="preserve">        Table.ToRecords(Table.SelectRows(Gmao, each not List.IsEmpty([Contrôles]))),</t>
        </is>
      </c>
    </row>
    <row r="649">
      <c r="A649" s="43" t="inlineStr">
        <is>
          <t xml:space="preserve">        (r) =&gt; List.Transform(r[Contrôles], (c) =&gt; [Source = "GMAO", Ligne = r[Ligne export], Ordre = r[Ordre],</t>
        </is>
      </c>
    </row>
    <row r="650">
      <c r="A650" s="43" t="inlineStr">
        <is>
          <t xml:space="preserve">            #"Code poste" = r[Code poste], Site = r[Site], #"Équipe" = r[Équipe], #"Contrôle" = c,</t>
        </is>
      </c>
    </row>
    <row r="651">
      <c r="A651" s="43" t="inlineStr">
        <is>
          <t xml:space="preserve">            Détail = r[Désignation]]))),</t>
        </is>
      </c>
    </row>
    <row r="652">
      <c r="A652" s="43" t="inlineStr">
        <is>
          <t xml:space="preserve">    DePdm = if Pdm = null then {} else List.Combine(List.Transform(</t>
        </is>
      </c>
    </row>
    <row r="653">
      <c r="A653" s="43" t="inlineStr">
        <is>
          <t xml:space="preserve">        Table.ToRecords(Table.SelectRows(Pdm, each [Contrôle qualité] &lt;&gt; null)),</t>
        </is>
      </c>
    </row>
    <row r="654">
      <c r="A654" s="43" t="inlineStr">
        <is>
          <t xml:space="preserve">        (r) =&gt; List.Transform(Text.Split(r[Contrôle qualité], " ; "), (c) =&gt; [Source = "PDM", Ligne = r[Ligne PDM],</t>
        </is>
      </c>
    </row>
    <row r="655">
      <c r="A655" s="43" t="inlineStr">
        <is>
          <t xml:space="preserve">            Ordre = null, #"Code poste" = r[Code poste], Site = r[Site], #"Équipe" = r[Équipe], #"Contrôle" = c,</t>
        </is>
      </c>
    </row>
    <row r="656">
      <c r="A656" s="43" t="inlineStr">
        <is>
          <t xml:space="preserve">            Détail = Text.From(r[Année]) &amp; " " &amp; (if r[Opération] = null then "" else r[Opération])]))),</t>
        </is>
      </c>
    </row>
    <row r="657">
      <c r="A657" s="43" t="inlineStr">
        <is>
          <t xml:space="preserve">    Resultat = Table.FromRecords(DePdm &amp; DeGmao, Type)</t>
        </is>
      </c>
    </row>
    <row r="658">
      <c r="A658" s="43" t="inlineStr">
        <is>
          <t>in</t>
        </is>
      </c>
    </row>
    <row r="659">
      <c r="A659" s="43" t="inlineStr">
        <is>
          <t xml:space="preserve">    Resultat</t>
        </is>
      </c>
    </row>
  </sheetData>
  <pageMargins left="0.75" right="0.75" top="1" bottom="1" header="0.5" footer="0.5"/>
</worksheet>
</file>

<file path=customXml/_rels/item1.xml.rels><?xml version='1.0' encoding='UTF-8' standalone='yes'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1F2C3D-5E6F-4A7B-8C9D-0E1F2A3B4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Prototype V0.4</dc:creator>
  <dc:title xmlns:dc="http://purl.org/dc/elements/1.1/">Prototype maintenance préventive V0.4</dc:title>
  <dcterms:created xmlns:dcterms="http://purl.org/dc/terms/" xmlns:xsi="http://www.w3.org/2001/XMLSchema-instance" xsi:type="dcterms:W3CDTF">2026-10-14T13:48:58Z</dcterms:created>
  <dcterms:modified xmlns:dcterms="http://purl.org/dc/terms/" xmlns:xsi="http://www.w3.org/2001/XMLSchema-instance" xsi:type="dcterms:W3CDTF">2026-10-14T13:48:58Z</dcterms:modified>
</cp:coreProperties>
</file>