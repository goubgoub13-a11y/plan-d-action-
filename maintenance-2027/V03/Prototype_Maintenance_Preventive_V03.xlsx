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LAN_PREVENTIF" sheetId="1" state="visible" r:id="rId1"/>
    <sheet xmlns:r="http://schemas.openxmlformats.org/officeDocument/2006/relationships" name="02_COUVERTURE_OT" sheetId="2" state="visible" r:id="rId2"/>
    <sheet xmlns:r="http://schemas.openxmlformats.org/officeDocument/2006/relationships" name="03_DETAIL_PROGRAMME" sheetId="3" state="visible" r:id="rId3"/>
    <sheet xmlns:r="http://schemas.openxmlformats.org/officeDocument/2006/relationships" name="04_DETAIL_OT" sheetId="4" state="visible" r:id="rId4"/>
    <sheet xmlns:r="http://schemas.openxmlformats.org/officeDocument/2006/relationships" name="05_REFERENTIEL" sheetId="5" state="visible" r:id="rId5"/>
    <sheet xmlns:r="http://schemas.openxmlformats.org/officeDocument/2006/relationships" name="06_AVIS_UTILISATEURS" sheetId="6" state="visible" r:id="rId6"/>
    <sheet xmlns:r="http://schemas.openxmlformats.org/officeDocument/2006/relationships" name="07_POINTS_A_VALIDER" sheetId="7" state="visible" r:id="rId7"/>
    <sheet xmlns:r="http://schemas.openxmlformats.org/officeDocument/2006/relationships" name="08_PARAMETRES" sheetId="8" state="visible" r:id="rId8"/>
    <sheet xmlns:r="http://schemas.openxmlformats.org/officeDocument/2006/relationships" name="09_NOTICE" sheetId="9" state="visible" r:id="rId9"/>
    <sheet xmlns:r="http://schemas.openxmlformats.org/officeDocument/2006/relationships" name="10_CODE_M" sheetId="10" state="visible" r:id="rId10"/>
  </sheets>
  <definedNames>
    <definedName name="P_Annee">'08_PARAMETRES'!$C$6</definedName>
    <definedName name="P_DossierClasseur">'08_PARAMETRES'!$C$7</definedName>
    <definedName name="P_NomFichierSource">'08_PARAMETRES'!$C$8</definedName>
    <definedName name="P_CheminComplet">'08_PARAMETRES'!$C$9</definedName>
    <definedName name="P_CheminSource">'08_PARAMETRES'!$C$10</definedName>
    <definedName name="P_FeuilleSource">'08_PARAMETRES'!$C$11</definedName>
    <definedName name="P_LongueurCodePoste">'08_PARAMETRES'!$C$12</definedName>
    <definedName name="P_SeparateurCodePoste">'08_PARAMETRES'!$C$13</definedName>
    <definedName name="P_DateProgramme">'08_PARAMETRES'!$C$16</definedName>
    <definedName name="_xlnm.Print_Titles" localSheetId="0">'01_PLAN_PREVENTIF'!$7:$7</definedName>
    <definedName name="_xlnm.Print_Area" localSheetId="0">'01_PLAN_PREVENTIF'!$A$1:$P$111</definedName>
    <definedName name="_xlnm._FilterDatabase" localSheetId="1" hidden="1">'02_COUVERTURE_OT'!$A$8:$K$98</definedName>
    <definedName name="_xlnm.Print_Titles" localSheetId="1">'02_COUVERTURE_OT'!$8:$8</definedName>
    <definedName name="_xlnm.Print_Area" localSheetId="1">'02_COUVERTURE_OT'!$A$1:$K$98</definedName>
    <definedName name="_xlnm.Print_Titles" localSheetId="2">'03_DETAIL_PROGRAMME'!$1:$1</definedName>
    <definedName name="_xlnm.Print_Area" localSheetId="2">'03_DETAIL_PROGRAMME'!$A$1:$G$123</definedName>
    <definedName name="_xlnm._FilterDatabase" localSheetId="3" hidden="1">'04_DETAIL_OT'!$A$1:$AJ$181</definedName>
    <definedName name="_xlnm.Print_Titles" localSheetId="3">'04_DETAIL_OT'!$1:$1</definedName>
    <definedName name="_xlnm.Print_Area" localSheetId="3">'04_DETAIL_OT'!$A$1:$AJ$181</definedName>
    <definedName name="_xlnm.Print_Titles" localSheetId="4">'05_REFERENTIEL'!$8:$8</definedName>
    <definedName name="_xlnm.Print_Area" localSheetId="4">'05_REFERENTIEL'!$A$1:$V$38</definedName>
    <definedName name="_xlnm.Print_Titles" localSheetId="5">'06_AVIS_UTILISATEURS'!$17:$17</definedName>
    <definedName name="_xlnm.Print_Area" localSheetId="5">'06_AVIS_UTILISATEURS'!$A$1:$H$48</definedName>
    <definedName name="_xlnm.Print_Titles" localSheetId="6">'07_POINTS_A_VALIDER'!$7:$7</definedName>
    <definedName name="_xlnm.Print_Area" localSheetId="6">'07_POINTS_A_VALIDER'!$A$1:$G$20</definedName>
    <definedName name="_xlnm.Print_Area" localSheetId="7">'08_PARAMETRES'!$A$1:$G$37</definedName>
    <definedName name="_xlnm.Print_Area" localSheetId="8">'09_NOTICE'!$A$1:$C$49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yyyy-mm-dd h:mm:ss"/>
    <numFmt numFmtId="166" formatCode="dd/mm/yyyy"/>
    <numFmt numFmtId="167" formatCode="yyyy-mm-dd"/>
    <numFmt numFmtId="168" formatCode="[=1]&quot;●&quot;;[&gt;1]&quot;●×&quot;0;&quot;&quot;"/>
  </numFmts>
  <fonts count="25">
    <font>
      <name val="Century Gothic"/>
      <family val="2"/>
      <sz val="10"/>
    </font>
    <font>
      <name val="Century Gothic"/>
      <b val="1"/>
      <color rgb="00FFFFFF"/>
      <sz val="16"/>
    </font>
    <font>
      <name val="Century Gothic"/>
      <color rgb="00FFFFFF"/>
      <sz val="9"/>
    </font>
    <font>
      <name val="Century Gothic"/>
      <b val="1"/>
      <color rgb="00FFC600"/>
      <sz val="9"/>
    </font>
    <font>
      <name val="Century Gothic"/>
      <b val="1"/>
      <color rgb="00214B4D"/>
      <sz val="11"/>
    </font>
    <font>
      <name val="Century Gothic"/>
      <b val="1"/>
      <color rgb="00214B4D"/>
      <sz val="9.5"/>
    </font>
    <font>
      <name val="Century Gothic"/>
      <b val="1"/>
      <color rgb="002B2B2B"/>
      <sz val="10"/>
    </font>
    <font>
      <name val="Century Gothic"/>
      <i val="1"/>
      <color rgb="005F6B6B"/>
      <sz val="8"/>
    </font>
    <font>
      <name val="Century Gothic"/>
      <color rgb="005F6B6B"/>
      <sz val="10"/>
    </font>
    <font>
      <name val="Century Gothic"/>
      <b val="1"/>
      <color rgb="00FFFFFF"/>
      <sz val="9.5"/>
    </font>
    <font>
      <name val="Century Gothic"/>
      <color rgb="002B2B2B"/>
      <sz val="9.5"/>
    </font>
    <font>
      <name val="Century Gothic"/>
      <color rgb="002B2B2B"/>
      <sz val="10"/>
    </font>
    <font>
      <name val="Century Gothic"/>
      <b val="1"/>
      <color rgb="00FFFFFF"/>
      <sz val="18"/>
    </font>
    <font>
      <name val="Century Gothic"/>
      <i val="1"/>
      <color rgb="00FFFFFF"/>
      <sz val="9"/>
    </font>
    <font>
      <name val="Century Gothic"/>
      <b val="1"/>
      <color rgb="005F6B6B"/>
      <sz val="8"/>
    </font>
    <font>
      <name val="Century Gothic"/>
      <b val="1"/>
      <color rgb="00214B4D"/>
      <sz val="16"/>
    </font>
    <font>
      <name val="Century Gothic"/>
      <color rgb="005F6B6B"/>
      <sz val="8"/>
    </font>
    <font>
      <name val="Century Gothic"/>
      <b val="1"/>
      <color rgb="00214B4D"/>
      <sz val="10"/>
    </font>
    <font>
      <name val="Century Gothic"/>
      <b val="1"/>
      <color rgb="00214B4D"/>
      <sz val="8"/>
    </font>
    <font>
      <name val="Century Gothic"/>
      <b val="1"/>
      <color rgb="00FFC600"/>
      <sz val="10"/>
    </font>
    <font>
      <name val="Century Gothic"/>
      <b val="1"/>
      <color rgb="00214B4D"/>
      <sz val="9"/>
    </font>
    <font>
      <name val="Century Gothic"/>
      <color rgb="002B2B2B"/>
      <sz val="9"/>
    </font>
    <font>
      <name val="Century Gothic"/>
      <i val="1"/>
      <color rgb="005F6B6B"/>
      <sz val="9"/>
    </font>
    <font>
      <name val="Century Gothic"/>
      <b val="1"/>
      <color rgb="005F6B6B"/>
      <sz val="8.5"/>
    </font>
    <font>
      <name val="Consolas"/>
      <color rgb="002B2B2B"/>
      <sz val="9"/>
    </font>
  </fonts>
  <fills count="6">
    <fill>
      <patternFill/>
    </fill>
    <fill>
      <patternFill patternType="gray125"/>
    </fill>
    <fill>
      <patternFill patternType="solid">
        <fgColor rgb="00214B4D"/>
        <bgColor rgb="00214B4D"/>
      </patternFill>
    </fill>
    <fill>
      <patternFill patternType="solid">
        <fgColor rgb="00FFC600"/>
        <bgColor rgb="00FFC600"/>
      </patternFill>
    </fill>
    <fill>
      <patternFill patternType="solid">
        <fgColor rgb="00FFFFFF"/>
        <bgColor rgb="00FFFFFF"/>
      </patternFill>
    </fill>
    <fill>
      <patternFill patternType="solid">
        <fgColor rgb="00E9EDED"/>
        <bgColor rgb="00E9EDED"/>
      </patternFill>
    </fill>
  </fills>
  <borders count="10">
    <border>
      <left/>
      <right/>
      <top/>
      <bottom/>
      <diagonal/>
    </border>
    <border>
      <left style="thin">
        <color rgb="00D3DBDB"/>
      </left>
      <top style="thin">
        <color rgb="00D3DBDB"/>
      </top>
      <bottom style="thin">
        <color rgb="00D3DBDB"/>
      </bottom>
    </border>
    <border>
      <top style="thin">
        <color rgb="00D3DBDB"/>
      </top>
      <bottom style="thin">
        <color rgb="00D3DBDB"/>
      </bottom>
    </border>
    <border>
      <right style="thin">
        <color rgb="00D3DBDB"/>
      </right>
      <top style="thin">
        <color rgb="00D3DBDB"/>
      </top>
      <bottom style="thin">
        <color rgb="00D3DBDB"/>
      </bottom>
    </border>
    <border/>
    <border>
      <bottom style="thin">
        <color rgb="00D3DBDB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n">
        <color rgb="00D3DBDB"/>
      </left>
      <right style="thin">
        <color rgb="00D3DBDB"/>
      </right>
      <bottom style="thin">
        <color rgb="00D3DBDB"/>
      </bottom>
    </border>
    <border>
      <bottom style="thin">
        <color rgb="00FFC6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vertical="bottom" indent="1"/>
    </xf>
    <xf numFmtId="0" fontId="0" fillId="2" borderId="0" pivotButton="0" quotePrefix="0" xfId="0"/>
    <xf numFmtId="0" fontId="12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right" vertical="center"/>
    </xf>
    <xf numFmtId="0" fontId="0" fillId="3" borderId="0" pivotButton="0" quotePrefix="0" xfId="0"/>
    <xf numFmtId="1" fontId="14" fillId="5" borderId="6" applyAlignment="1" pivotButton="0" quotePrefix="0" xfId="0">
      <alignment horizontal="center" vertical="bottom" wrapText="1"/>
    </xf>
    <xf numFmtId="0" fontId="0" fillId="5" borderId="6" pivotButton="0" quotePrefix="0" xfId="0"/>
    <xf numFmtId="0" fontId="0" fillId="5" borderId="7" pivotButton="0" quotePrefix="0" xfId="0"/>
    <xf numFmtId="1" fontId="15" fillId="5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1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right" vertical="center"/>
    </xf>
    <xf numFmtId="0" fontId="9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" fontId="14" fillId="5" borderId="7" applyAlignment="1" pivotButton="0" quotePrefix="0" xfId="0">
      <alignment horizontal="center" vertical="bottom" wrapText="1"/>
    </xf>
    <xf numFmtId="1" fontId="15" fillId="5" borderId="7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indent="1"/>
    </xf>
    <xf numFmtId="1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4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/>
    </xf>
    <xf numFmtId="0" fontId="11" fillId="0" borderId="5" applyAlignment="1" pivotButton="0" quotePrefix="0" xfId="0">
      <alignment vertical="center" wrapText="1"/>
    </xf>
    <xf numFmtId="0" fontId="19" fillId="0" borderId="0" applyAlignment="1" pivotButton="0" quotePrefix="0" xfId="0">
      <alignment horizontal="right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22" fillId="5" borderId="8" applyAlignment="1" pivotButton="0" quotePrefix="0" xfId="0">
      <alignment vertical="top" wrapText="1"/>
    </xf>
    <xf numFmtId="0" fontId="22" fillId="5" borderId="8" applyAlignment="1" pivotButton="0" quotePrefix="0" xfId="0">
      <alignment vertical="top" wrapText="1"/>
    </xf>
    <xf numFmtId="166" fontId="11" fillId="4" borderId="8" applyAlignment="1" pivotButton="0" quotePrefix="0" xfId="0">
      <alignment vertical="top" wrapText="1"/>
    </xf>
    <xf numFmtId="0" fontId="11" fillId="4" borderId="8" applyAlignment="1" pivotButton="0" quotePrefix="0" xfId="0">
      <alignment vertical="top" wrapText="1"/>
    </xf>
    <xf numFmtId="0" fontId="20" fillId="0" borderId="0" applyAlignment="1" pivotButton="0" quotePrefix="0" xfId="0">
      <alignment vertical="center" indent="1"/>
    </xf>
    <xf numFmtId="0" fontId="10" fillId="0" borderId="5" applyAlignment="1" pivotButton="0" quotePrefix="0" xfId="0">
      <alignment horizontal="center" vertical="top" wrapText="1"/>
    </xf>
    <xf numFmtId="0" fontId="5" fillId="0" borderId="5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1" fontId="6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7" fillId="0" borderId="0" applyAlignment="1" pivotButton="0" quotePrefix="0" xfId="0">
      <alignment vertical="center" wrapText="1"/>
    </xf>
    <xf numFmtId="0" fontId="8" fillId="5" borderId="4" applyAlignment="1" pivotButton="0" quotePrefix="0" xfId="0">
      <alignment horizontal="left" vertical="center" indent="1"/>
    </xf>
    <xf numFmtId="0" fontId="0" fillId="5" borderId="4" pivotButton="0" quotePrefix="0" xfId="0"/>
    <xf numFmtId="0" fontId="6" fillId="4" borderId="1" applyAlignment="1" pivotButton="0" quotePrefix="0" xfId="0">
      <alignment horizontal="left" vertical="center" indent="1"/>
    </xf>
    <xf numFmtId="49" fontId="6" fillId="4" borderId="1" applyAlignment="1" pivotButton="0" quotePrefix="0" xfId="0">
      <alignment horizontal="left" vertical="center" indent="1"/>
    </xf>
    <xf numFmtId="164" fontId="8" fillId="5" borderId="4" applyAlignment="1" pivotButton="0" quotePrefix="0" xfId="0">
      <alignment horizontal="left" vertical="center" indent="1"/>
    </xf>
    <xf numFmtId="166" fontId="6" fillId="4" borderId="1" applyAlignment="1" pivotButton="0" quotePrefix="0" xfId="0">
      <alignment horizontal="left" vertical="center" indent="1"/>
    </xf>
    <xf numFmtId="0" fontId="10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0" fillId="0" borderId="5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0" fillId="0" borderId="9" pivotButton="0" quotePrefix="0" xfId="0"/>
    <xf numFmtId="0" fontId="1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name val="Century Gothic"/>
        <b val="1"/>
        <color rgb="00214B4D"/>
      </font>
      <fill>
        <patternFill patternType="solid">
          <fgColor rgb="00FFC600"/>
          <bgColor rgb="00FFC600"/>
        </patternFill>
      </fill>
    </dxf>
    <dxf>
      <fill>
        <patternFill patternType="solid">
          <fgColor rgb="00D3DBDB"/>
          <bgColor rgb="00D3DBDB"/>
        </patternFill>
      </fill>
    </dxf>
    <dxf>
      <fill>
        <patternFill patternType="solid">
          <fgColor rgb="00E9EDED"/>
          <bgColor rgb="00E9EDED"/>
        </patternFill>
      </fill>
    </dxf>
    <dxf>
      <fill>
        <patternFill patternType="solid">
          <fgColor rgb="00FFC600"/>
          <bgColor rgb="00FFC600"/>
        </patternFill>
      </fill>
    </dxf>
    <dxf>
      <font>
        <name val="Century Gothic"/>
        <color rgb="00D3DBD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Prototype</author>
  </authors>
  <commentList>
    <comment ref="K4" authorId="0" shapeId="0">
      <text>
        <t>Nombre d'OT préventifs distincts trouvés dans l'extraction GMAO pour l'année d'analyse (onglet 02). Simple repère : aucun rapprochement avec le programme n'est fait tant que la clé de correspondance n'est pas validée.</t>
      </text>
    </comment>
  </commentList>
</comments>
</file>

<file path=xl/comments/comment2.xml><?xml version="1.0" encoding="utf-8"?>
<comments xmlns="http://schemas.openxmlformats.org/spreadsheetml/2006/main">
  <authors>
    <author>Prototype</author>
  </authors>
  <commentList>
    <comment ref="K4" authorId="0" shapeId="0">
      <text>
        <t>Contrôles de l'import en statut « À VÉRIFIER » (détail : 08_PARAMETRES).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0</row>
      <rowOff>19050</rowOff>
    </from>
    <ext cx="139601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_Plan" displayName="T_Plan" ref="A7:P111" headerRowCount="1">
  <autoFilter ref="A7:P111"/>
  <tableColumns count="16">
    <tableColumn id="1" name="Périmètre"/>
    <tableColumn id="2" name="Groupe"/>
    <tableColumn id="3" name="Code installation"/>
    <tableColumn id="4" name="Installation"/>
    <tableColumn id="5" name="Opération"/>
    <tableColumn id="6" name="Périodicité"/>
    <tableColumn id="7" name="2026"/>
    <tableColumn id="8" name="2027"/>
    <tableColumn id="9" name="2028"/>
    <tableColumn id="10" name="2029"/>
    <tableColumn id="11" name="2030"/>
    <tableColumn id="12" name="2031"/>
    <tableColumn id="13" name="2032"/>
    <tableColumn id="14" name="Code type source"/>
    <tableColumn id="15" name="Statut référentiel"/>
    <tableColumn id="16" name="Point de vigilanc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_Programme" displayName="T_Programme" ref="A1:G123" headerRowCount="1">
  <autoFilter ref="A1:G123"/>
  <tableColumns count="7">
    <tableColumn id="1" name="Périmètre"/>
    <tableColumn id="2" name="Groupe"/>
    <tableColumn id="3" name="Année"/>
    <tableColumn id="4" name="Code installation"/>
    <tableColumn id="5" name="Installation"/>
    <tableColumn id="6" name="Périodicité"/>
    <tableColumn id="7" name="Type opération sourc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_Referentiel" displayName="T_Referentiel" ref="A8:G13" headerRowCount="1">
  <autoFilter ref="A8:G13"/>
  <tableColumns count="7">
    <tableColumn id="1" name="Valeur source"/>
    <tableColumn id="2" name="Libellé affiché"/>
    <tableColumn id="3" name="Famille"/>
    <tableColumn id="4" name="Périodicité indicative"/>
    <tableColumn id="5" name="Référence technique fictive"/>
    <tableColumn id="6" name="Description courte"/>
    <tableColumn id="7" name="Statut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_Ref_Activites" displayName="T_Ref_Activites" ref="I8:L13" headerRowCount="1">
  <autoFilter ref="I8:L13"/>
  <tableColumns count="4">
    <tableColumn id="9" name="Activité"/>
    <tableColumn id="10" name="Libellé"/>
    <tableColumn id="11" name="Statut"/>
    <tableColumn id="12" name="Hypothèse de correspondance programme (non appliquée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_Ref_Sites" displayName="T_Ref_Sites" ref="N8:P38" headerRowCount="1">
  <autoFilter ref="N8:P38"/>
  <tableColumns count="3">
    <tableColumn id="14" name="Site"/>
    <tableColumn id="15" name="Équipe"/>
    <tableColumn id="16" name="Statut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T_Correspondance_Postes" displayName="T_Correspondance_Postes" ref="R8:V9" headerRowCount="1">
  <autoFilter ref="R8:V9"/>
  <tableColumns count="5">
    <tableColumn id="18" name="Code installation (programme)"/>
    <tableColumn id="19" name="Installation (programme)"/>
    <tableColumn id="20" name="Code poste (GMAO)"/>
    <tableColumn id="21" name="Statut"/>
    <tableColumn id="22" name="Commentaire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id="7" name="T_Avis" displayName="T_Avis" ref="A17:H48" headerRowCount="1">
  <autoFilter ref="A17:H48"/>
  <tableColumns count="8">
    <tableColumn id="1" name="Date"/>
    <tableColumn id="2" name="Contributeur (nom, fonction)"/>
    <tableColumn id="3" name="Site / périmètre"/>
    <tableColumn id="4" name="Thème"/>
    <tableColumn id="5" name="Remarque"/>
    <tableColumn id="6" name="Priorité"/>
    <tableColumn id="7" name="Élément concerné (onglet, colonne)"/>
    <tableColumn id="8" name="Suite donnée (équipe projet)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id="8" name="T_Points" displayName="T_Points" ref="A7:G20" headerRowCount="1">
  <autoFilter ref="A7:G20"/>
  <tableColumns count="7">
    <tableColumn id="1" name="N°"/>
    <tableColumn id="2" name="Thème"/>
    <tableColumn id="3" name="Constat (dans les sources)"/>
    <tableColumn id="4" name="Traitement dans la V0.3"/>
    <tableColumn id="5" name="Question à trancher"/>
    <tableColumn id="6" name="Statut"/>
    <tableColumn id="7" name="Décision / répons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FFC600"/>
    <outlinePr summaryBelow="1" summaryRight="1"/>
    <pageSetUpPr fitToPage="1"/>
  </sheetPr>
  <dimension ref="A1:P11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5" customWidth="1" min="4" max="4"/>
    <col width="19" customWidth="1" min="5" max="5"/>
    <col width="1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1" customWidth="1" min="14" max="14"/>
    <col width="15" customWidth="1" min="15" max="15"/>
    <col width="24" customWidth="1" min="16" max="16"/>
  </cols>
  <sheetData>
    <row r="1" ht="30" customHeight="1">
      <c r="A1" s="1" t="n"/>
      <c r="B1" s="2" t="n"/>
      <c r="C1" s="3" t="inlineStr">
        <is>
          <t>Plan préventif pluriannuel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4" t="inlineStr">
        <is>
          <t>PROTOTYPE V0.3</t>
        </is>
      </c>
    </row>
    <row r="2" ht="18" customHeight="1">
      <c r="A2" s="5" t="n"/>
      <c r="B2" s="2" t="n"/>
      <c r="C2" s="6" t="inlineStr">
        <is>
          <t>Site → Équipe → Poste → Année. Programme préventif par poste ; la GMAO reste la source de référence.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7" t="inlineStr">
        <is>
          <t>Données 100 % fictives</t>
        </is>
      </c>
    </row>
    <row r="3" ht="3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 ht="24" customHeight="1">
      <c r="A4" s="9" t="str">
        <f>"Opérations prévues "&amp;P_Annee</f>
        <v>Opérations prévues 2027</v>
      </c>
      <c r="B4" s="10" t="n"/>
      <c r="C4" s="9" t="str">
        <f>"Postes concernés "&amp;P_Annee</f>
        <v>Postes concernés 2027</v>
      </c>
      <c r="D4" s="11" t="n"/>
      <c r="E4" s="9" t="inlineStr">
        <is>
          <t>Opérations au programme (toutes années)</t>
        </is>
      </c>
      <c r="F4" s="9" t="inlineStr">
        <is>
          <t>Postes au programme</t>
        </is>
      </c>
      <c r="G4" s="10" t="n"/>
      <c r="H4" s="9" t="inlineStr">
        <is>
          <t>Années couvertes</t>
        </is>
      </c>
      <c r="I4" s="10" t="n"/>
      <c r="J4" s="11" t="n"/>
      <c r="K4" s="9" t="str">
        <f>"OT GMAO "&amp;P_Annee&amp;" (complément)"</f>
        <v>OT GMAO 2027 (complément)</v>
      </c>
      <c r="L4" s="10" t="n"/>
      <c r="M4" s="11" t="n"/>
      <c r="N4" s="9" t="inlineStr">
        <is>
          <t>Statut à confirmer</t>
        </is>
      </c>
      <c r="O4" s="10" t="n"/>
      <c r="P4" s="9" t="inlineStr">
        <is>
          <t>Points de vigilance</t>
        </is>
      </c>
    </row>
    <row r="5" ht="26" customHeight="1">
      <c r="A5" s="12">
        <f>COUNTIF(T_Programme[Année],P_Annee)</f>
        <v>45</v>
      </c>
      <c r="B5" s="10" t="n"/>
      <c r="C5" s="12">
        <f>SUMPRODUCT((T_Programme[Année]=P_Annee)/COUNTIFS(T_Programme[Code installation],T_Programme[Code installation],T_Programme[Année],T_Programme[Année]))</f>
        <v>28</v>
      </c>
      <c r="D5" s="11" t="n"/>
      <c r="E5" s="12">
        <f>COUNTA(T_Programme[Code installation])</f>
        <v>122</v>
      </c>
      <c r="F5" s="12">
        <f>SUMPRODUCT((T_Programme[Code installation]&lt;&gt;"")/COUNTIF(T_Programme[Code installation],T_Programme[Code installation]&amp;""))</f>
        <v>40</v>
      </c>
      <c r="G5" s="10" t="n"/>
      <c r="H5" s="12" t="str">
        <f>MIN(T_Programme[Année])&amp;" – "&amp;MAX(T_Programme[Année])</f>
        <v>2026 – 2032</v>
      </c>
      <c r="I5" s="10" t="n"/>
      <c r="J5" s="11" t="n"/>
      <c r="K5" s="12">
        <f>IFERROR(SUMIFS(INDEX('02_COUVERTURE_OT'!$A$9:$AZ$200000,0,MATCH("OT distincts (toutes activités)",'02_COUVERTURE_OT'!$A$8:$AZ$8,0)),'02_COUVERTURE_OT'!$A$9:$A$200000,P_Annee),0)</f>
        <v>18</v>
      </c>
      <c r="L5" s="10" t="n"/>
      <c r="M5" s="11" t="n"/>
      <c r="N5" s="12">
        <f>COUNTIF(T_Plan[Statut référentiel],"À confirmer")+COUNTIF(T_Plan[Statut référentiel],"Absent du référentiel")</f>
        <v>19</v>
      </c>
      <c r="O5" s="10" t="n"/>
      <c r="P5" s="12">
        <f>COUNTIF(T_Plan[Point de vigilance],"?*")</f>
        <v>5</v>
      </c>
    </row>
    <row r="6" ht="20" customHeight="1">
      <c r="A6" s="13" t="inlineStr">
        <is>
          <t>Année d'analyse</t>
        </is>
      </c>
      <c r="B6" s="14">
        <f>P_Annee</f>
        <v>2027</v>
      </c>
      <c r="C6" s="15" t="str">
        <f>IF(SUM(T_Plan[[2026]:[2032]])=COUNTA(T_Programme[Année]),"Contrôle programme : OK ("&amp;COUNTA(T_Programme[Année])&amp;" lignes)","Contrôle programme : VUE À ACTUALISER (source "&amp;COUNTA(T_Programme[Année])&amp;" / vue "&amp;SUM(T_Plan[[2026]:[2032]])&amp;")")</f>
        <v>Contrôle programme : OK (122 lignes)</v>
      </c>
      <c r="P6" s="16" t="inlineStr">
        <is>
          <t>● opération prévue  ·  ●×2 lignes identiques  ·  colonne jaune = année d'analyse (08)</t>
        </is>
      </c>
    </row>
    <row r="7" ht="32" customHeight="1">
      <c r="A7" s="17" t="inlineStr">
        <is>
          <t>Périmètre</t>
        </is>
      </c>
      <c r="B7" s="17" t="inlineStr">
        <is>
          <t>Groupe</t>
        </is>
      </c>
      <c r="C7" s="17" t="inlineStr">
        <is>
          <t>Code installation</t>
        </is>
      </c>
      <c r="D7" s="17" t="inlineStr">
        <is>
          <t>Installation</t>
        </is>
      </c>
      <c r="E7" s="17" t="inlineStr">
        <is>
          <t>Opération</t>
        </is>
      </c>
      <c r="F7" s="17" t="inlineStr">
        <is>
          <t>Périodicité</t>
        </is>
      </c>
      <c r="G7" s="17" t="inlineStr">
        <is>
          <t>2026</t>
        </is>
      </c>
      <c r="H7" s="17" t="inlineStr">
        <is>
          <t>2027</t>
        </is>
      </c>
      <c r="I7" s="17" t="inlineStr">
        <is>
          <t>2028</t>
        </is>
      </c>
      <c r="J7" s="17" t="inlineStr">
        <is>
          <t>2029</t>
        </is>
      </c>
      <c r="K7" s="17" t="inlineStr">
        <is>
          <t>2030</t>
        </is>
      </c>
      <c r="L7" s="17" t="inlineStr">
        <is>
          <t>2031</t>
        </is>
      </c>
      <c r="M7" s="17" t="inlineStr">
        <is>
          <t>2032</t>
        </is>
      </c>
      <c r="N7" s="17" t="inlineStr">
        <is>
          <t>Code type source</t>
        </is>
      </c>
      <c r="O7" s="17" t="inlineStr">
        <is>
          <t>Statut référentiel</t>
        </is>
      </c>
      <c r="P7" s="17" t="inlineStr">
        <is>
          <t>Point de vigilance</t>
        </is>
      </c>
    </row>
    <row r="8" ht="18" customHeight="1">
      <c r="A8" s="18" t="inlineStr">
        <is>
          <t>PERIM_A</t>
        </is>
      </c>
      <c r="B8" s="18" t="inlineStr">
        <is>
          <t>GRP_A1</t>
        </is>
      </c>
      <c r="C8" s="18" t="inlineStr">
        <is>
          <t>INST-001</t>
        </is>
      </c>
      <c r="D8" s="18" t="inlineStr">
        <is>
          <t>Installation A1</t>
        </is>
      </c>
      <c r="E8" s="19" t="str">
        <f>IFERROR(INDEX(T_Referentiel[Libellé affiché],MATCH($N8,T_Referentiel[Valeur source],0)),"À confirmer")</f>
        <v>Contrôle annuel</v>
      </c>
      <c r="F8" s="20" t="inlineStr">
        <is>
          <t>1 an</t>
        </is>
      </c>
      <c r="G8" s="21">
        <f>COUNTIFS(T_Programme[Code installation],$C8,T_Programme[Type opération source],$N8,T_Programme[Périodicité],$F8,T_Programme[Année],G$7)</f>
        <v>0</v>
      </c>
      <c r="H8" s="21">
        <f>COUNTIFS(T_Programme[Code installation],$C8,T_Programme[Type opération source],$N8,T_Programme[Périodicité],$F8,T_Programme[Année],H$7)</f>
        <v>1</v>
      </c>
      <c r="I8" s="21">
        <f>COUNTIFS(T_Programme[Code installation],$C8,T_Programme[Type opération source],$N8,T_Programme[Périodicité],$F8,T_Programme[Année],I$7)</f>
        <v>0</v>
      </c>
      <c r="J8" s="21">
        <f>COUNTIFS(T_Programme[Code installation],$C8,T_Programme[Type opération source],$N8,T_Programme[Périodicité],$F8,T_Programme[Année],J$7)</f>
        <v>0</v>
      </c>
      <c r="K8" s="21">
        <f>COUNTIFS(T_Programme[Code installation],$C8,T_Programme[Type opération source],$N8,T_Programme[Périodicité],$F8,T_Programme[Année],K$7)</f>
        <v>0</v>
      </c>
      <c r="L8" s="21">
        <f>COUNTIFS(T_Programme[Code installation],$C8,T_Programme[Type opération source],$N8,T_Programme[Périodicité],$F8,T_Programme[Année],L$7)</f>
        <v>0</v>
      </c>
      <c r="M8" s="21">
        <f>COUNTIFS(T_Programme[Code installation],$C8,T_Programme[Type opération source],$N8,T_Programme[Périodicité],$F8,T_Programme[Année],M$7)</f>
        <v>0</v>
      </c>
      <c r="N8" s="18" t="inlineStr">
        <is>
          <t>TYPE_A</t>
        </is>
      </c>
      <c r="O8" s="18" t="str">
        <f>IFERROR(INDEX(T_Referentiel[Statut],MATCH($N8,T_Referentiel[Valeur source],0)),"Absent du référentiel")</f>
        <v>Validé pour démo</v>
      </c>
      <c r="P8" s="18" t="str">
        <f>IF(COUNTIF(G8:M8,"&gt;1")&gt;0,"Doublon potentiel : à confirmer","")</f>
        <v/>
      </c>
    </row>
    <row r="9" ht="18" customHeight="1">
      <c r="A9" s="18" t="inlineStr">
        <is>
          <t>PERIM_A</t>
        </is>
      </c>
      <c r="B9" s="18" t="inlineStr">
        <is>
          <t>GRP_A1</t>
        </is>
      </c>
      <c r="C9" s="18" t="inlineStr">
        <is>
          <t>INST-001</t>
        </is>
      </c>
      <c r="D9" s="18" t="inlineStr">
        <is>
          <t>Installation A1</t>
        </is>
      </c>
      <c r="E9" s="19" t="str">
        <f>IFERROR(INDEX(T_Referentiel[Libellé affiché],MATCH($N9,T_Referentiel[Valeur source],0)),"À confirmer")</f>
        <v>Contrôle filtre</v>
      </c>
      <c r="F9" s="20" t="inlineStr">
        <is>
          <t>3 ans</t>
        </is>
      </c>
      <c r="G9" s="21">
        <f>COUNTIFS(T_Programme[Code installation],$C9,T_Programme[Type opération source],$N9,T_Programme[Périodicité],$F9,T_Programme[Année],G$7)</f>
        <v>0</v>
      </c>
      <c r="H9" s="21">
        <f>COUNTIFS(T_Programme[Code installation],$C9,T_Programme[Type opération source],$N9,T_Programme[Périodicité],$F9,T_Programme[Année],H$7)</f>
        <v>1</v>
      </c>
      <c r="I9" s="21">
        <f>COUNTIFS(T_Programme[Code installation],$C9,T_Programme[Type opération source],$N9,T_Programme[Périodicité],$F9,T_Programme[Année],I$7)</f>
        <v>0</v>
      </c>
      <c r="J9" s="21">
        <f>COUNTIFS(T_Programme[Code installation],$C9,T_Programme[Type opération source],$N9,T_Programme[Périodicité],$F9,T_Programme[Année],J$7)</f>
        <v>0</v>
      </c>
      <c r="K9" s="21">
        <f>COUNTIFS(T_Programme[Code installation],$C9,T_Programme[Type opération source],$N9,T_Programme[Périodicité],$F9,T_Programme[Année],K$7)</f>
        <v>0</v>
      </c>
      <c r="L9" s="21">
        <f>COUNTIFS(T_Programme[Code installation],$C9,T_Programme[Type opération source],$N9,T_Programme[Périodicité],$F9,T_Programme[Année],L$7)</f>
        <v>0</v>
      </c>
      <c r="M9" s="21">
        <f>COUNTIFS(T_Programme[Code installation],$C9,T_Programme[Type opération source],$N9,T_Programme[Périodicité],$F9,T_Programme[Année],M$7)</f>
        <v>0</v>
      </c>
      <c r="N9" s="18" t="inlineStr">
        <is>
          <t>TYPE_C</t>
        </is>
      </c>
      <c r="O9" s="18" t="str">
        <f>IFERROR(INDEX(T_Referentiel[Statut],MATCH($N9,T_Referentiel[Valeur source],0)),"Absent du référentiel")</f>
        <v>Validé pour démo</v>
      </c>
      <c r="P9" s="18" t="str">
        <f>IF(COUNTIF(G9:M9,"&gt;1")&gt;0,"Doublon potentiel : à confirmer","")</f>
        <v/>
      </c>
    </row>
    <row r="10" ht="18" customHeight="1">
      <c r="A10" s="18" t="inlineStr">
        <is>
          <t>PERIM_A</t>
        </is>
      </c>
      <c r="B10" s="18" t="inlineStr">
        <is>
          <t>GRP_A1</t>
        </is>
      </c>
      <c r="C10" s="18" t="inlineStr">
        <is>
          <t>INST-001</t>
        </is>
      </c>
      <c r="D10" s="18" t="inlineStr">
        <is>
          <t>Installation A1</t>
        </is>
      </c>
      <c r="E10" s="19" t="str">
        <f>IFERROR(INDEX(T_Referentiel[Libellé affiché],MATCH($N10,T_Referentiel[Valeur source],0)),"À confirmer")</f>
        <v>Révision</v>
      </c>
      <c r="F10" s="20" t="inlineStr">
        <is>
          <t>6 ans</t>
        </is>
      </c>
      <c r="G10" s="21">
        <f>COUNTIFS(T_Programme[Code installation],$C10,T_Programme[Type opération source],$N10,T_Programme[Périodicité],$F10,T_Programme[Année],G$7)</f>
        <v>0</v>
      </c>
      <c r="H10" s="21">
        <f>COUNTIFS(T_Programme[Code installation],$C10,T_Programme[Type opération source],$N10,T_Programme[Périodicité],$F10,T_Programme[Année],H$7)</f>
        <v>0</v>
      </c>
      <c r="I10" s="21">
        <f>COUNTIFS(T_Programme[Code installation],$C10,T_Programme[Type opération source],$N10,T_Programme[Périodicité],$F10,T_Programme[Année],I$7)</f>
        <v>0</v>
      </c>
      <c r="J10" s="21">
        <f>COUNTIFS(T_Programme[Code installation],$C10,T_Programme[Type opération source],$N10,T_Programme[Périodicité],$F10,T_Programme[Année],J$7)</f>
        <v>1</v>
      </c>
      <c r="K10" s="21">
        <f>COUNTIFS(T_Programme[Code installation],$C10,T_Programme[Type opération source],$N10,T_Programme[Périodicité],$F10,T_Programme[Année],K$7)</f>
        <v>0</v>
      </c>
      <c r="L10" s="21">
        <f>COUNTIFS(T_Programme[Code installation],$C10,T_Programme[Type opération source],$N10,T_Programme[Périodicité],$F10,T_Programme[Année],L$7)</f>
        <v>0</v>
      </c>
      <c r="M10" s="21">
        <f>COUNTIFS(T_Programme[Code installation],$C10,T_Programme[Type opération source],$N10,T_Programme[Périodicité],$F10,T_Programme[Année],M$7)</f>
        <v>0</v>
      </c>
      <c r="N10" s="18" t="inlineStr">
        <is>
          <t>TYPE_D</t>
        </is>
      </c>
      <c r="O10" s="18" t="str">
        <f>IFERROR(INDEX(T_Referentiel[Statut],MATCH($N10,T_Referentiel[Valeur source],0)),"Absent du référentiel")</f>
        <v>Validé pour démo</v>
      </c>
      <c r="P10" s="18" t="str">
        <f>IF(COUNTIF(G10:M10,"&gt;1")&gt;0,"Doublon potentiel : à confirmer","")</f>
        <v/>
      </c>
    </row>
    <row r="11" ht="18" customHeight="1">
      <c r="A11" s="18" t="inlineStr">
        <is>
          <t>PERIM_A</t>
        </is>
      </c>
      <c r="B11" s="18" t="inlineStr">
        <is>
          <t>GRP_A1</t>
        </is>
      </c>
      <c r="C11" s="18" t="inlineStr">
        <is>
          <t>INST-001</t>
        </is>
      </c>
      <c r="D11" s="18" t="inlineStr">
        <is>
          <t>Installation A1</t>
        </is>
      </c>
      <c r="E11" s="19" t="str">
        <f>IFERROR(INDEX(T_Referentiel[Libellé affiché],MATCH($N11,T_Referentiel[Valeur source],0)),"À confirmer")</f>
        <v>Opération spécifique</v>
      </c>
      <c r="F11" s="20" t="inlineStr">
        <is>
          <t>2 ans</t>
        </is>
      </c>
      <c r="G11" s="21">
        <f>COUNTIFS(T_Programme[Code installation],$C11,T_Programme[Type opération source],$N11,T_Programme[Périodicité],$F11,T_Programme[Année],G$7)</f>
        <v>0</v>
      </c>
      <c r="H11" s="21">
        <f>COUNTIFS(T_Programme[Code installation],$C11,T_Programme[Type opération source],$N11,T_Programme[Périodicité],$F11,T_Programme[Année],H$7)</f>
        <v>1</v>
      </c>
      <c r="I11" s="21">
        <f>COUNTIFS(T_Programme[Code installation],$C11,T_Programme[Type opération source],$N11,T_Programme[Périodicité],$F11,T_Programme[Année],I$7)</f>
        <v>0</v>
      </c>
      <c r="J11" s="21">
        <f>COUNTIFS(T_Programme[Code installation],$C11,T_Programme[Type opération source],$N11,T_Programme[Périodicité],$F11,T_Programme[Année],J$7)</f>
        <v>0</v>
      </c>
      <c r="K11" s="21">
        <f>COUNTIFS(T_Programme[Code installation],$C11,T_Programme[Type opération source],$N11,T_Programme[Périodicité],$F11,T_Programme[Année],K$7)</f>
        <v>0</v>
      </c>
      <c r="L11" s="21">
        <f>COUNTIFS(T_Programme[Code installation],$C11,T_Programme[Type opération source],$N11,T_Programme[Périodicité],$F11,T_Programme[Année],L$7)</f>
        <v>0</v>
      </c>
      <c r="M11" s="21">
        <f>COUNTIFS(T_Programme[Code installation],$C11,T_Programme[Type opération source],$N11,T_Programme[Périodicité],$F11,T_Programme[Année],M$7)</f>
        <v>0</v>
      </c>
      <c r="N11" s="18" t="inlineStr">
        <is>
          <t>TYPE_E</t>
        </is>
      </c>
      <c r="O11" s="18" t="str">
        <f>IFERROR(INDEX(T_Referentiel[Statut],MATCH($N11,T_Referentiel[Valeur source],0)),"Absent du référentiel")</f>
        <v>À confirmer</v>
      </c>
      <c r="P11" s="18" t="str">
        <f>IF(COUNTIF(G11:M11,"&gt;1")&gt;0,"Doublon potentiel : à confirmer","")</f>
        <v/>
      </c>
    </row>
    <row r="12" ht="18" customHeight="1">
      <c r="A12" s="18" t="inlineStr">
        <is>
          <t>PERIM_A</t>
        </is>
      </c>
      <c r="B12" s="18" t="inlineStr">
        <is>
          <t>GRP_A1</t>
        </is>
      </c>
      <c r="C12" s="18" t="inlineStr">
        <is>
          <t>INST-002</t>
        </is>
      </c>
      <c r="D12" s="18" t="inlineStr">
        <is>
          <t>Installation B1</t>
        </is>
      </c>
      <c r="E12" s="19" t="str">
        <f>IFERROR(INDEX(T_Referentiel[Libellé affiché],MATCH($N12,T_Referentiel[Valeur source],0)),"À confirmer")</f>
        <v>Contrôle annuel</v>
      </c>
      <c r="F12" s="20" t="inlineStr">
        <is>
          <t>1 an</t>
        </is>
      </c>
      <c r="G12" s="21">
        <f>COUNTIFS(T_Programme[Code installation],$C12,T_Programme[Type opération source],$N12,T_Programme[Périodicité],$F12,T_Programme[Année],G$7)</f>
        <v>0</v>
      </c>
      <c r="H12" s="21">
        <f>COUNTIFS(T_Programme[Code installation],$C12,T_Programme[Type opération source],$N12,T_Programme[Périodicité],$F12,T_Programme[Année],H$7)</f>
        <v>0</v>
      </c>
      <c r="I12" s="21">
        <f>COUNTIFS(T_Programme[Code installation],$C12,T_Programme[Type opération source],$N12,T_Programme[Périodicité],$F12,T_Programme[Année],I$7)</f>
        <v>0</v>
      </c>
      <c r="J12" s="21">
        <f>COUNTIFS(T_Programme[Code installation],$C12,T_Programme[Type opération source],$N12,T_Programme[Périodicité],$F12,T_Programme[Année],J$7)</f>
        <v>1</v>
      </c>
      <c r="K12" s="21">
        <f>COUNTIFS(T_Programme[Code installation],$C12,T_Programme[Type opération source],$N12,T_Programme[Périodicité],$F12,T_Programme[Année],K$7)</f>
        <v>0</v>
      </c>
      <c r="L12" s="21">
        <f>COUNTIFS(T_Programme[Code installation],$C12,T_Programme[Type opération source],$N12,T_Programme[Périodicité],$F12,T_Programme[Année],L$7)</f>
        <v>0</v>
      </c>
      <c r="M12" s="21">
        <f>COUNTIFS(T_Programme[Code installation],$C12,T_Programme[Type opération source],$N12,T_Programme[Périodicité],$F12,T_Programme[Année],M$7)</f>
        <v>0</v>
      </c>
      <c r="N12" s="18" t="inlineStr">
        <is>
          <t>TYPE_A</t>
        </is>
      </c>
      <c r="O12" s="18" t="str">
        <f>IFERROR(INDEX(T_Referentiel[Statut],MATCH($N12,T_Referentiel[Valeur source],0)),"Absent du référentiel")</f>
        <v>Validé pour démo</v>
      </c>
      <c r="P12" s="18" t="str">
        <f>IF(COUNTIF(G12:M12,"&gt;1")&gt;0,"Doublon potentiel : à confirmer","")</f>
        <v/>
      </c>
    </row>
    <row r="13" ht="18" customHeight="1">
      <c r="A13" s="18" t="inlineStr">
        <is>
          <t>PERIM_A</t>
        </is>
      </c>
      <c r="B13" s="18" t="inlineStr">
        <is>
          <t>GRP_A1</t>
        </is>
      </c>
      <c r="C13" s="18" t="inlineStr">
        <is>
          <t>INST-002</t>
        </is>
      </c>
      <c r="D13" s="18" t="inlineStr">
        <is>
          <t>Installation B1</t>
        </is>
      </c>
      <c r="E13" s="19" t="str">
        <f>IFERROR(INDEX(T_Referentiel[Libellé affiché],MATCH($N13,T_Referentiel[Valeur source],0)),"À confirmer")</f>
        <v>Essai de conformité</v>
      </c>
      <c r="F13" s="20" t="inlineStr">
        <is>
          <t>2 ans</t>
        </is>
      </c>
      <c r="G13" s="21">
        <f>COUNTIFS(T_Programme[Code installation],$C13,T_Programme[Type opération source],$N13,T_Programme[Périodicité],$F13,T_Programme[Année],G$7)</f>
        <v>0</v>
      </c>
      <c r="H13" s="21">
        <f>COUNTIFS(T_Programme[Code installation],$C13,T_Programme[Type opération source],$N13,T_Programme[Périodicité],$F13,T_Programme[Année],H$7)</f>
        <v>0</v>
      </c>
      <c r="I13" s="21">
        <f>COUNTIFS(T_Programme[Code installation],$C13,T_Programme[Type opération source],$N13,T_Programme[Périodicité],$F13,T_Programme[Année],I$7)</f>
        <v>1</v>
      </c>
      <c r="J13" s="21">
        <f>COUNTIFS(T_Programme[Code installation],$C13,T_Programme[Type opération source],$N13,T_Programme[Périodicité],$F13,T_Programme[Année],J$7)</f>
        <v>0</v>
      </c>
      <c r="K13" s="21">
        <f>COUNTIFS(T_Programme[Code installation],$C13,T_Programme[Type opération source],$N13,T_Programme[Périodicité],$F13,T_Programme[Année],K$7)</f>
        <v>0</v>
      </c>
      <c r="L13" s="21">
        <f>COUNTIFS(T_Programme[Code installation],$C13,T_Programme[Type opération source],$N13,T_Programme[Périodicité],$F13,T_Programme[Année],L$7)</f>
        <v>0</v>
      </c>
      <c r="M13" s="21">
        <f>COUNTIFS(T_Programme[Code installation],$C13,T_Programme[Type opération source],$N13,T_Programme[Périodicité],$F13,T_Programme[Année],M$7)</f>
        <v>0</v>
      </c>
      <c r="N13" s="18" t="inlineStr">
        <is>
          <t>TYPE_B</t>
        </is>
      </c>
      <c r="O13" s="18" t="str">
        <f>IFERROR(INDEX(T_Referentiel[Statut],MATCH($N13,T_Referentiel[Valeur source],0)),"Absent du référentiel")</f>
        <v>Validé pour démo</v>
      </c>
      <c r="P13" s="18" t="str">
        <f>IF(COUNTIF(G13:M13,"&gt;1")&gt;0,"Doublon potentiel : à confirmer","")</f>
        <v/>
      </c>
    </row>
    <row r="14" ht="18" customHeight="1">
      <c r="A14" s="18" t="inlineStr">
        <is>
          <t>PERIM_A</t>
        </is>
      </c>
      <c r="B14" s="18" t="inlineStr">
        <is>
          <t>GRP_A1</t>
        </is>
      </c>
      <c r="C14" s="18" t="inlineStr">
        <is>
          <t>INST-002</t>
        </is>
      </c>
      <c r="D14" s="18" t="inlineStr">
        <is>
          <t>Installation B1</t>
        </is>
      </c>
      <c r="E14" s="19" t="str">
        <f>IFERROR(INDEX(T_Referentiel[Libellé affiché],MATCH($N14,T_Referentiel[Valeur source],0)),"À confirmer")</f>
        <v>Révision</v>
      </c>
      <c r="F14" s="20" t="inlineStr">
        <is>
          <t>6 ans</t>
        </is>
      </c>
      <c r="G14" s="21">
        <f>COUNTIFS(T_Programme[Code installation],$C14,T_Programme[Type opération source],$N14,T_Programme[Périodicité],$F14,T_Programme[Année],G$7)</f>
        <v>0</v>
      </c>
      <c r="H14" s="21">
        <f>COUNTIFS(T_Programme[Code installation],$C14,T_Programme[Type opération source],$N14,T_Programme[Périodicité],$F14,T_Programme[Année],H$7)</f>
        <v>1</v>
      </c>
      <c r="I14" s="21">
        <f>COUNTIFS(T_Programme[Code installation],$C14,T_Programme[Type opération source],$N14,T_Programme[Périodicité],$F14,T_Programme[Année],I$7)</f>
        <v>0</v>
      </c>
      <c r="J14" s="21">
        <f>COUNTIFS(T_Programme[Code installation],$C14,T_Programme[Type opération source],$N14,T_Programme[Périodicité],$F14,T_Programme[Année],J$7)</f>
        <v>0</v>
      </c>
      <c r="K14" s="21">
        <f>COUNTIFS(T_Programme[Code installation],$C14,T_Programme[Type opération source],$N14,T_Programme[Périodicité],$F14,T_Programme[Année],K$7)</f>
        <v>0</v>
      </c>
      <c r="L14" s="21">
        <f>COUNTIFS(T_Programme[Code installation],$C14,T_Programme[Type opération source],$N14,T_Programme[Périodicité],$F14,T_Programme[Année],L$7)</f>
        <v>0</v>
      </c>
      <c r="M14" s="21">
        <f>COUNTIFS(T_Programme[Code installation],$C14,T_Programme[Type opération source],$N14,T_Programme[Périodicité],$F14,T_Programme[Année],M$7)</f>
        <v>0</v>
      </c>
      <c r="N14" s="18" t="inlineStr">
        <is>
          <t>TYPE_D</t>
        </is>
      </c>
      <c r="O14" s="18" t="str">
        <f>IFERROR(INDEX(T_Referentiel[Statut],MATCH($N14,T_Referentiel[Valeur source],0)),"Absent du référentiel")</f>
        <v>Validé pour démo</v>
      </c>
      <c r="P14" s="18" t="str">
        <f>IF(COUNTIF(G14:M14,"&gt;1")&gt;0,"Doublon potentiel : à confirmer","")</f>
        <v/>
      </c>
    </row>
    <row r="15" ht="18" customHeight="1">
      <c r="A15" s="18" t="inlineStr">
        <is>
          <t>PERIM_A</t>
        </is>
      </c>
      <c r="B15" s="18" t="inlineStr">
        <is>
          <t>GRP_A1</t>
        </is>
      </c>
      <c r="C15" s="18" t="inlineStr">
        <is>
          <t>INST-003</t>
        </is>
      </c>
      <c r="D15" s="18" t="inlineStr">
        <is>
          <t>Installation C1</t>
        </is>
      </c>
      <c r="E15" s="19" t="str">
        <f>IFERROR(INDEX(T_Referentiel[Libellé affiché],MATCH($N15,T_Referentiel[Valeur source],0)),"À confirmer")</f>
        <v>Révision</v>
      </c>
      <c r="F15" s="20" t="inlineStr">
        <is>
          <t>6 ans</t>
        </is>
      </c>
      <c r="G15" s="21">
        <f>COUNTIFS(T_Programme[Code installation],$C15,T_Programme[Type opération source],$N15,T_Programme[Périodicité],$F15,T_Programme[Année],G$7)</f>
        <v>0</v>
      </c>
      <c r="H15" s="21">
        <f>COUNTIFS(T_Programme[Code installation],$C15,T_Programme[Type opération source],$N15,T_Programme[Périodicité],$F15,T_Programme[Année],H$7)</f>
        <v>0</v>
      </c>
      <c r="I15" s="21">
        <f>COUNTIFS(T_Programme[Code installation],$C15,T_Programme[Type opération source],$N15,T_Programme[Périodicité],$F15,T_Programme[Année],I$7)</f>
        <v>0</v>
      </c>
      <c r="J15" s="21">
        <f>COUNTIFS(T_Programme[Code installation],$C15,T_Programme[Type opération source],$N15,T_Programme[Périodicité],$F15,T_Programme[Année],J$7)</f>
        <v>1</v>
      </c>
      <c r="K15" s="21">
        <f>COUNTIFS(T_Programme[Code installation],$C15,T_Programme[Type opération source],$N15,T_Programme[Périodicité],$F15,T_Programme[Année],K$7)</f>
        <v>0</v>
      </c>
      <c r="L15" s="21">
        <f>COUNTIFS(T_Programme[Code installation],$C15,T_Programme[Type opération source],$N15,T_Programme[Périodicité],$F15,T_Programme[Année],L$7)</f>
        <v>0</v>
      </c>
      <c r="M15" s="21">
        <f>COUNTIFS(T_Programme[Code installation],$C15,T_Programme[Type opération source],$N15,T_Programme[Périodicité],$F15,T_Programme[Année],M$7)</f>
        <v>1</v>
      </c>
      <c r="N15" s="18" t="inlineStr">
        <is>
          <t>TYPE_D</t>
        </is>
      </c>
      <c r="O15" s="18" t="str">
        <f>IFERROR(INDEX(T_Referentiel[Statut],MATCH($N15,T_Referentiel[Valeur source],0)),"Absent du référentiel")</f>
        <v>Validé pour démo</v>
      </c>
      <c r="P15" s="18" t="str">
        <f>IF(COUNTIF(G15:M15,"&gt;1")&gt;0,"Doublon potentiel : à confirmer","")</f>
        <v/>
      </c>
    </row>
    <row r="16" ht="18" customHeight="1">
      <c r="A16" s="18" t="inlineStr">
        <is>
          <t>PERIM_A</t>
        </is>
      </c>
      <c r="B16" s="18" t="inlineStr">
        <is>
          <t>GRP_A1</t>
        </is>
      </c>
      <c r="C16" s="18" t="inlineStr">
        <is>
          <t>INST-003</t>
        </is>
      </c>
      <c r="D16" s="18" t="inlineStr">
        <is>
          <t>Installation C1</t>
        </is>
      </c>
      <c r="E16" s="19" t="str">
        <f>IFERROR(INDEX(T_Referentiel[Libellé affiché],MATCH($N16,T_Referentiel[Valeur source],0)),"À confirmer")</f>
        <v>Opération spécifique</v>
      </c>
      <c r="F16" s="20" t="inlineStr">
        <is>
          <t>2 ans</t>
        </is>
      </c>
      <c r="G16" s="21">
        <f>COUNTIFS(T_Programme[Code installation],$C16,T_Programme[Type opération source],$N16,T_Programme[Périodicité],$F16,T_Programme[Année],G$7)</f>
        <v>0</v>
      </c>
      <c r="H16" s="21">
        <f>COUNTIFS(T_Programme[Code installation],$C16,T_Programme[Type opération source],$N16,T_Programme[Périodicité],$F16,T_Programme[Année],H$7)</f>
        <v>0</v>
      </c>
      <c r="I16" s="21">
        <f>COUNTIFS(T_Programme[Code installation],$C16,T_Programme[Type opération source],$N16,T_Programme[Périodicité],$F16,T_Programme[Année],I$7)</f>
        <v>0</v>
      </c>
      <c r="J16" s="21">
        <f>COUNTIFS(T_Programme[Code installation],$C16,T_Programme[Type opération source],$N16,T_Programme[Périodicité],$F16,T_Programme[Année],J$7)</f>
        <v>1</v>
      </c>
      <c r="K16" s="21">
        <f>COUNTIFS(T_Programme[Code installation],$C16,T_Programme[Type opération source],$N16,T_Programme[Périodicité],$F16,T_Programme[Année],K$7)</f>
        <v>0</v>
      </c>
      <c r="L16" s="21">
        <f>COUNTIFS(T_Programme[Code installation],$C16,T_Programme[Type opération source],$N16,T_Programme[Périodicité],$F16,T_Programme[Année],L$7)</f>
        <v>1</v>
      </c>
      <c r="M16" s="21">
        <f>COUNTIFS(T_Programme[Code installation],$C16,T_Programme[Type opération source],$N16,T_Programme[Périodicité],$F16,T_Programme[Année],M$7)</f>
        <v>0</v>
      </c>
      <c r="N16" s="18" t="inlineStr">
        <is>
          <t>TYPE_E</t>
        </is>
      </c>
      <c r="O16" s="18" t="str">
        <f>IFERROR(INDEX(T_Referentiel[Statut],MATCH($N16,T_Referentiel[Valeur source],0)),"Absent du référentiel")</f>
        <v>À confirmer</v>
      </c>
      <c r="P16" s="18" t="str">
        <f>IF(COUNTIF(G16:M16,"&gt;1")&gt;0,"Doublon potentiel : à confirmer","")</f>
        <v/>
      </c>
    </row>
    <row r="17" ht="18" customHeight="1">
      <c r="A17" s="18" t="inlineStr">
        <is>
          <t>PERIM_A</t>
        </is>
      </c>
      <c r="B17" s="18" t="inlineStr">
        <is>
          <t>GRP_A1</t>
        </is>
      </c>
      <c r="C17" s="18" t="inlineStr">
        <is>
          <t>INST-004</t>
        </is>
      </c>
      <c r="D17" s="18" t="inlineStr">
        <is>
          <t>Installation D1</t>
        </is>
      </c>
      <c r="E17" s="19" t="str">
        <f>IFERROR(INDEX(T_Referentiel[Libellé affiché],MATCH($N17,T_Referentiel[Valeur source],0)),"À confirmer")</f>
        <v>Révision</v>
      </c>
      <c r="F17" s="20" t="inlineStr">
        <is>
          <t>6 ans</t>
        </is>
      </c>
      <c r="G17" s="21">
        <f>COUNTIFS(T_Programme[Code installation],$C17,T_Programme[Type opération source],$N17,T_Programme[Périodicité],$F17,T_Programme[Année],G$7)</f>
        <v>0</v>
      </c>
      <c r="H17" s="21">
        <f>COUNTIFS(T_Programme[Code installation],$C17,T_Programme[Type opération source],$N17,T_Programme[Périodicité],$F17,T_Programme[Année],H$7)</f>
        <v>1</v>
      </c>
      <c r="I17" s="21">
        <f>COUNTIFS(T_Programme[Code installation],$C17,T_Programme[Type opération source],$N17,T_Programme[Périodicité],$F17,T_Programme[Année],I$7)</f>
        <v>0</v>
      </c>
      <c r="J17" s="21">
        <f>COUNTIFS(T_Programme[Code installation],$C17,T_Programme[Type opération source],$N17,T_Programme[Périodicité],$F17,T_Programme[Année],J$7)</f>
        <v>0</v>
      </c>
      <c r="K17" s="21">
        <f>COUNTIFS(T_Programme[Code installation],$C17,T_Programme[Type opération source],$N17,T_Programme[Périodicité],$F17,T_Programme[Année],K$7)</f>
        <v>0</v>
      </c>
      <c r="L17" s="21">
        <f>COUNTIFS(T_Programme[Code installation],$C17,T_Programme[Type opération source],$N17,T_Programme[Périodicité],$F17,T_Programme[Année],L$7)</f>
        <v>0</v>
      </c>
      <c r="M17" s="21">
        <f>COUNTIFS(T_Programme[Code installation],$C17,T_Programme[Type opération source],$N17,T_Programme[Périodicité],$F17,T_Programme[Année],M$7)</f>
        <v>0</v>
      </c>
      <c r="N17" s="18" t="inlineStr">
        <is>
          <t>TYPE_D</t>
        </is>
      </c>
      <c r="O17" s="18" t="str">
        <f>IFERROR(INDEX(T_Referentiel[Statut],MATCH($N17,T_Referentiel[Valeur source],0)),"Absent du référentiel")</f>
        <v>Validé pour démo</v>
      </c>
      <c r="P17" s="18" t="str">
        <f>IF(COUNTIF(G17:M17,"&gt;1")&gt;0,"Doublon potentiel : à confirmer","")</f>
        <v/>
      </c>
    </row>
    <row r="18" ht="18" customHeight="1">
      <c r="A18" s="18" t="inlineStr">
        <is>
          <t>PERIM_A</t>
        </is>
      </c>
      <c r="B18" s="18" t="inlineStr">
        <is>
          <t>GRP_A1</t>
        </is>
      </c>
      <c r="C18" s="18" t="inlineStr">
        <is>
          <t>INST-004</t>
        </is>
      </c>
      <c r="D18" s="18" t="inlineStr">
        <is>
          <t>Installation D1</t>
        </is>
      </c>
      <c r="E18" s="19" t="str">
        <f>IFERROR(INDEX(T_Referentiel[Libellé affiché],MATCH($N18,T_Referentiel[Valeur source],0)),"À confirmer")</f>
        <v>Opération spécifique</v>
      </c>
      <c r="F18" s="20" t="inlineStr">
        <is>
          <t>2 ans</t>
        </is>
      </c>
      <c r="G18" s="21">
        <f>COUNTIFS(T_Programme[Code installation],$C18,T_Programme[Type opération source],$N18,T_Programme[Périodicité],$F18,T_Programme[Année],G$7)</f>
        <v>0</v>
      </c>
      <c r="H18" s="21">
        <f>COUNTIFS(T_Programme[Code installation],$C18,T_Programme[Type opération source],$N18,T_Programme[Périodicité],$F18,T_Programme[Année],H$7)</f>
        <v>0</v>
      </c>
      <c r="I18" s="21">
        <f>COUNTIFS(T_Programme[Code installation],$C18,T_Programme[Type opération source],$N18,T_Programme[Périodicité],$F18,T_Programme[Année],I$7)</f>
        <v>0</v>
      </c>
      <c r="J18" s="21">
        <f>COUNTIFS(T_Programme[Code installation],$C18,T_Programme[Type opération source],$N18,T_Programme[Périodicité],$F18,T_Programme[Année],J$7)</f>
        <v>0</v>
      </c>
      <c r="K18" s="21">
        <f>COUNTIFS(T_Programme[Code installation],$C18,T_Programme[Type opération source],$N18,T_Programme[Périodicité],$F18,T_Programme[Année],K$7)</f>
        <v>0</v>
      </c>
      <c r="L18" s="21">
        <f>COUNTIFS(T_Programme[Code installation],$C18,T_Programme[Type opération source],$N18,T_Programme[Périodicité],$F18,T_Programme[Année],L$7)</f>
        <v>0</v>
      </c>
      <c r="M18" s="21">
        <f>COUNTIFS(T_Programme[Code installation],$C18,T_Programme[Type opération source],$N18,T_Programme[Périodicité],$F18,T_Programme[Année],M$7)</f>
        <v>1</v>
      </c>
      <c r="N18" s="18" t="inlineStr">
        <is>
          <t>TYPE_E</t>
        </is>
      </c>
      <c r="O18" s="18" t="str">
        <f>IFERROR(INDEX(T_Referentiel[Statut],MATCH($N18,T_Referentiel[Valeur source],0)),"Absent du référentiel")</f>
        <v>À confirmer</v>
      </c>
      <c r="P18" s="18" t="str">
        <f>IF(COUNTIF(G18:M18,"&gt;1")&gt;0,"Doublon potentiel : à confirmer","")</f>
        <v/>
      </c>
    </row>
    <row r="19" ht="18" customHeight="1">
      <c r="A19" s="18" t="inlineStr">
        <is>
          <t>PERIM_A</t>
        </is>
      </c>
      <c r="B19" s="18" t="inlineStr">
        <is>
          <t>GRP_A1</t>
        </is>
      </c>
      <c r="C19" s="18" t="inlineStr">
        <is>
          <t>INST-005</t>
        </is>
      </c>
      <c r="D19" s="18" t="inlineStr">
        <is>
          <t>Installation E1</t>
        </is>
      </c>
      <c r="E19" s="19" t="str">
        <f>IFERROR(INDEX(T_Referentiel[Libellé affiché],MATCH($N19,T_Referentiel[Valeur source],0)),"À confirmer")</f>
        <v>Contrôle annuel</v>
      </c>
      <c r="F19" s="20" t="inlineStr">
        <is>
          <t>1 an</t>
        </is>
      </c>
      <c r="G19" s="21">
        <f>COUNTIFS(T_Programme[Code installation],$C19,T_Programme[Type opération source],$N19,T_Programme[Périodicité],$F19,T_Programme[Année],G$7)</f>
        <v>0</v>
      </c>
      <c r="H19" s="21">
        <f>COUNTIFS(T_Programme[Code installation],$C19,T_Programme[Type opération source],$N19,T_Programme[Périodicité],$F19,T_Programme[Année],H$7)</f>
        <v>0</v>
      </c>
      <c r="I19" s="21">
        <f>COUNTIFS(T_Programme[Code installation],$C19,T_Programme[Type opération source],$N19,T_Programme[Périodicité],$F19,T_Programme[Année],I$7)</f>
        <v>0</v>
      </c>
      <c r="J19" s="21">
        <f>COUNTIFS(T_Programme[Code installation],$C19,T_Programme[Type opération source],$N19,T_Programme[Périodicité],$F19,T_Programme[Année],J$7)</f>
        <v>0</v>
      </c>
      <c r="K19" s="21">
        <f>COUNTIFS(T_Programme[Code installation],$C19,T_Programme[Type opération source],$N19,T_Programme[Périodicité],$F19,T_Programme[Année],K$7)</f>
        <v>1</v>
      </c>
      <c r="L19" s="21">
        <f>COUNTIFS(T_Programme[Code installation],$C19,T_Programme[Type opération source],$N19,T_Programme[Périodicité],$F19,T_Programme[Année],L$7)</f>
        <v>0</v>
      </c>
      <c r="M19" s="21">
        <f>COUNTIFS(T_Programme[Code installation],$C19,T_Programme[Type opération source],$N19,T_Programme[Périodicité],$F19,T_Programme[Année],M$7)</f>
        <v>0</v>
      </c>
      <c r="N19" s="18" t="inlineStr">
        <is>
          <t>TYPE_A</t>
        </is>
      </c>
      <c r="O19" s="18" t="str">
        <f>IFERROR(INDEX(T_Referentiel[Statut],MATCH($N19,T_Referentiel[Valeur source],0)),"Absent du référentiel")</f>
        <v>Validé pour démo</v>
      </c>
      <c r="P19" s="18" t="str">
        <f>IF(COUNTIF(G19:M19,"&gt;1")&gt;0,"Doublon potentiel : à confirmer","")</f>
        <v/>
      </c>
    </row>
    <row r="20" ht="18" customHeight="1">
      <c r="A20" s="18" t="inlineStr">
        <is>
          <t>PERIM_A</t>
        </is>
      </c>
      <c r="B20" s="18" t="inlineStr">
        <is>
          <t>GRP_A1</t>
        </is>
      </c>
      <c r="C20" s="18" t="inlineStr">
        <is>
          <t>INST-005</t>
        </is>
      </c>
      <c r="D20" s="18" t="inlineStr">
        <is>
          <t>Installation E1</t>
        </is>
      </c>
      <c r="E20" s="19" t="str">
        <f>IFERROR(INDEX(T_Referentiel[Libellé affiché],MATCH($N20,T_Referentiel[Valeur source],0)),"À confirmer")</f>
        <v>Essai de conformité</v>
      </c>
      <c r="F20" s="20" t="inlineStr">
        <is>
          <t>2 ans</t>
        </is>
      </c>
      <c r="G20" s="21">
        <f>COUNTIFS(T_Programme[Code installation],$C20,T_Programme[Type opération source],$N20,T_Programme[Périodicité],$F20,T_Programme[Année],G$7)</f>
        <v>0</v>
      </c>
      <c r="H20" s="21">
        <f>COUNTIFS(T_Programme[Code installation],$C20,T_Programme[Type opération source],$N20,T_Programme[Périodicité],$F20,T_Programme[Année],H$7)</f>
        <v>0</v>
      </c>
      <c r="I20" s="21">
        <f>COUNTIFS(T_Programme[Code installation],$C20,T_Programme[Type opération source],$N20,T_Programme[Périodicité],$F20,T_Programme[Année],I$7)</f>
        <v>0</v>
      </c>
      <c r="J20" s="21">
        <f>COUNTIFS(T_Programme[Code installation],$C20,T_Programme[Type opération source],$N20,T_Programme[Périodicité],$F20,T_Programme[Année],J$7)</f>
        <v>1</v>
      </c>
      <c r="K20" s="21">
        <f>COUNTIFS(T_Programme[Code installation],$C20,T_Programme[Type opération source],$N20,T_Programme[Périodicité],$F20,T_Programme[Année],K$7)</f>
        <v>0</v>
      </c>
      <c r="L20" s="21">
        <f>COUNTIFS(T_Programme[Code installation],$C20,T_Programme[Type opération source],$N20,T_Programme[Périodicité],$F20,T_Programme[Année],L$7)</f>
        <v>0</v>
      </c>
      <c r="M20" s="21">
        <f>COUNTIFS(T_Programme[Code installation],$C20,T_Programme[Type opération source],$N20,T_Programme[Périodicité],$F20,T_Programme[Année],M$7)</f>
        <v>0</v>
      </c>
      <c r="N20" s="18" t="inlineStr">
        <is>
          <t>TYPE_B</t>
        </is>
      </c>
      <c r="O20" s="18" t="str">
        <f>IFERROR(INDEX(T_Referentiel[Statut],MATCH($N20,T_Referentiel[Valeur source],0)),"Absent du référentiel")</f>
        <v>Validé pour démo</v>
      </c>
      <c r="P20" s="18" t="str">
        <f>IF(COUNTIF(G20:M20,"&gt;1")&gt;0,"Doublon potentiel : à confirmer","")</f>
        <v/>
      </c>
    </row>
    <row r="21" ht="18" customHeight="1">
      <c r="A21" s="18" t="inlineStr">
        <is>
          <t>PERIM_A</t>
        </is>
      </c>
      <c r="B21" s="18" t="inlineStr">
        <is>
          <t>GRP_A1</t>
        </is>
      </c>
      <c r="C21" s="18" t="inlineStr">
        <is>
          <t>INST-005</t>
        </is>
      </c>
      <c r="D21" s="18" t="inlineStr">
        <is>
          <t>Installation E1</t>
        </is>
      </c>
      <c r="E21" s="19" t="str">
        <f>IFERROR(INDEX(T_Referentiel[Libellé affiché],MATCH($N21,T_Referentiel[Valeur source],0)),"À confirmer")</f>
        <v>Révision</v>
      </c>
      <c r="F21" s="20" t="inlineStr">
        <is>
          <t>6 ans</t>
        </is>
      </c>
      <c r="G21" s="21">
        <f>COUNTIFS(T_Programme[Code installation],$C21,T_Programme[Type opération source],$N21,T_Programme[Périodicité],$F21,T_Programme[Année],G$7)</f>
        <v>0</v>
      </c>
      <c r="H21" s="21">
        <f>COUNTIFS(T_Programme[Code installation],$C21,T_Programme[Type opération source],$N21,T_Programme[Périodicité],$F21,T_Programme[Année],H$7)</f>
        <v>0</v>
      </c>
      <c r="I21" s="21">
        <f>COUNTIFS(T_Programme[Code installation],$C21,T_Programme[Type opération source],$N21,T_Programme[Périodicité],$F21,T_Programme[Année],I$7)</f>
        <v>0</v>
      </c>
      <c r="J21" s="21">
        <f>COUNTIFS(T_Programme[Code installation],$C21,T_Programme[Type opération source],$N21,T_Programme[Périodicité],$F21,T_Programme[Année],J$7)</f>
        <v>0</v>
      </c>
      <c r="K21" s="21">
        <f>COUNTIFS(T_Programme[Code installation],$C21,T_Programme[Type opération source],$N21,T_Programme[Périodicité],$F21,T_Programme[Année],K$7)</f>
        <v>1</v>
      </c>
      <c r="L21" s="21">
        <f>COUNTIFS(T_Programme[Code installation],$C21,T_Programme[Type opération source],$N21,T_Programme[Périodicité],$F21,T_Programme[Année],L$7)</f>
        <v>0</v>
      </c>
      <c r="M21" s="21">
        <f>COUNTIFS(T_Programme[Code installation],$C21,T_Programme[Type opération source],$N21,T_Programme[Périodicité],$F21,T_Programme[Année],M$7)</f>
        <v>0</v>
      </c>
      <c r="N21" s="18" t="inlineStr">
        <is>
          <t>TYPE_D</t>
        </is>
      </c>
      <c r="O21" s="18" t="str">
        <f>IFERROR(INDEX(T_Referentiel[Statut],MATCH($N21,T_Referentiel[Valeur source],0)),"Absent du référentiel")</f>
        <v>Validé pour démo</v>
      </c>
      <c r="P21" s="18" t="str">
        <f>IF(COUNTIF(G21:M21,"&gt;1")&gt;0,"Doublon potentiel : à confirmer","")</f>
        <v/>
      </c>
    </row>
    <row r="22" ht="18" customHeight="1">
      <c r="A22" s="18" t="inlineStr">
        <is>
          <t>PERIM_A</t>
        </is>
      </c>
      <c r="B22" s="18" t="inlineStr">
        <is>
          <t>GRP_A1</t>
        </is>
      </c>
      <c r="C22" s="18" t="inlineStr">
        <is>
          <t>INST-005</t>
        </is>
      </c>
      <c r="D22" s="18" t="inlineStr">
        <is>
          <t>Installation E1</t>
        </is>
      </c>
      <c r="E22" s="19" t="str">
        <f>IFERROR(INDEX(T_Referentiel[Libellé affiché],MATCH($N22,T_Referentiel[Valeur source],0)),"À confirmer")</f>
        <v>Opération spécifique</v>
      </c>
      <c r="F22" s="20" t="inlineStr">
        <is>
          <t>2 ans</t>
        </is>
      </c>
      <c r="G22" s="21">
        <f>COUNTIFS(T_Programme[Code installation],$C22,T_Programme[Type opération source],$N22,T_Programme[Périodicité],$F22,T_Programme[Année],G$7)</f>
        <v>0</v>
      </c>
      <c r="H22" s="21">
        <f>COUNTIFS(T_Programme[Code installation],$C22,T_Programme[Type opération source],$N22,T_Programme[Périodicité],$F22,T_Programme[Année],H$7)</f>
        <v>1</v>
      </c>
      <c r="I22" s="21">
        <f>COUNTIFS(T_Programme[Code installation],$C22,T_Programme[Type opération source],$N22,T_Programme[Périodicité],$F22,T_Programme[Année],I$7)</f>
        <v>0</v>
      </c>
      <c r="J22" s="21">
        <f>COUNTIFS(T_Programme[Code installation],$C22,T_Programme[Type opération source],$N22,T_Programme[Périodicité],$F22,T_Programme[Année],J$7)</f>
        <v>0</v>
      </c>
      <c r="K22" s="21">
        <f>COUNTIFS(T_Programme[Code installation],$C22,T_Programme[Type opération source],$N22,T_Programme[Périodicité],$F22,T_Programme[Année],K$7)</f>
        <v>0</v>
      </c>
      <c r="L22" s="21">
        <f>COUNTIFS(T_Programme[Code installation],$C22,T_Programme[Type opération source],$N22,T_Programme[Périodicité],$F22,T_Programme[Année],L$7)</f>
        <v>0</v>
      </c>
      <c r="M22" s="21">
        <f>COUNTIFS(T_Programme[Code installation],$C22,T_Programme[Type opération source],$N22,T_Programme[Périodicité],$F22,T_Programme[Année],M$7)</f>
        <v>0</v>
      </c>
      <c r="N22" s="18" t="inlineStr">
        <is>
          <t>TYPE_E</t>
        </is>
      </c>
      <c r="O22" s="18" t="str">
        <f>IFERROR(INDEX(T_Referentiel[Statut],MATCH($N22,T_Referentiel[Valeur source],0)),"Absent du référentiel")</f>
        <v>À confirmer</v>
      </c>
      <c r="P22" s="18" t="str">
        <f>IF(COUNTIF(G22:M22,"&gt;1")&gt;0,"Doublon potentiel : à confirmer","")</f>
        <v/>
      </c>
    </row>
    <row r="23" ht="18" customHeight="1">
      <c r="A23" s="18" t="inlineStr">
        <is>
          <t>PERIM_A</t>
        </is>
      </c>
      <c r="B23" s="18" t="inlineStr">
        <is>
          <t>GRP_A1</t>
        </is>
      </c>
      <c r="C23" s="18" t="inlineStr">
        <is>
          <t>INST-006</t>
        </is>
      </c>
      <c r="D23" s="18" t="inlineStr">
        <is>
          <t>Installation F1</t>
        </is>
      </c>
      <c r="E23" s="19" t="str">
        <f>IFERROR(INDEX(T_Referentiel[Libellé affiché],MATCH($N23,T_Referentiel[Valeur source],0)),"À confirmer")</f>
        <v>Contrôle annuel</v>
      </c>
      <c r="F23" s="20" t="inlineStr">
        <is>
          <t>1 an</t>
        </is>
      </c>
      <c r="G23" s="21">
        <f>COUNTIFS(T_Programme[Code installation],$C23,T_Programme[Type opération source],$N23,T_Programme[Périodicité],$F23,T_Programme[Année],G$7)</f>
        <v>0</v>
      </c>
      <c r="H23" s="21">
        <f>COUNTIFS(T_Programme[Code installation],$C23,T_Programme[Type opération source],$N23,T_Programme[Périodicité],$F23,T_Programme[Année],H$7)</f>
        <v>2</v>
      </c>
      <c r="I23" s="21">
        <f>COUNTIFS(T_Programme[Code installation],$C23,T_Programme[Type opération source],$N23,T_Programme[Périodicité],$F23,T_Programme[Année],I$7)</f>
        <v>1</v>
      </c>
      <c r="J23" s="21">
        <f>COUNTIFS(T_Programme[Code installation],$C23,T_Programme[Type opération source],$N23,T_Programme[Périodicité],$F23,T_Programme[Année],J$7)</f>
        <v>0</v>
      </c>
      <c r="K23" s="21">
        <f>COUNTIFS(T_Programme[Code installation],$C23,T_Programme[Type opération source],$N23,T_Programme[Périodicité],$F23,T_Programme[Année],K$7)</f>
        <v>0</v>
      </c>
      <c r="L23" s="21">
        <f>COUNTIFS(T_Programme[Code installation],$C23,T_Programme[Type opération source],$N23,T_Programme[Périodicité],$F23,T_Programme[Année],L$7)</f>
        <v>0</v>
      </c>
      <c r="M23" s="21">
        <f>COUNTIFS(T_Programme[Code installation],$C23,T_Programme[Type opération source],$N23,T_Programme[Périodicité],$F23,T_Programme[Année],M$7)</f>
        <v>0</v>
      </c>
      <c r="N23" s="18" t="inlineStr">
        <is>
          <t>TYPE_A</t>
        </is>
      </c>
      <c r="O23" s="18" t="str">
        <f>IFERROR(INDEX(T_Referentiel[Statut],MATCH($N23,T_Referentiel[Valeur source],0)),"Absent du référentiel")</f>
        <v>Validé pour démo</v>
      </c>
      <c r="P23" s="18" t="str">
        <f>IF(COUNTIF(G23:M23,"&gt;1")&gt;0,"Doublon potentiel : à confirmer","")</f>
        <v>Doublon potentiel : à confirmer</v>
      </c>
    </row>
    <row r="24" ht="18" customHeight="1">
      <c r="A24" s="18" t="inlineStr">
        <is>
          <t>PERIM_A</t>
        </is>
      </c>
      <c r="B24" s="18" t="inlineStr">
        <is>
          <t>GRP_A1</t>
        </is>
      </c>
      <c r="C24" s="18" t="inlineStr">
        <is>
          <t>INST-006</t>
        </is>
      </c>
      <c r="D24" s="18" t="inlineStr">
        <is>
          <t>Installation F1</t>
        </is>
      </c>
      <c r="E24" s="19" t="str">
        <f>IFERROR(INDEX(T_Referentiel[Libellé affiché],MATCH($N24,T_Referentiel[Valeur source],0)),"À confirmer")</f>
        <v>Essai de conformité</v>
      </c>
      <c r="F24" s="20" t="inlineStr">
        <is>
          <t>2 ans</t>
        </is>
      </c>
      <c r="G24" s="21">
        <f>COUNTIFS(T_Programme[Code installation],$C24,T_Programme[Type opération source],$N24,T_Programme[Périodicité],$F24,T_Programme[Année],G$7)</f>
        <v>0</v>
      </c>
      <c r="H24" s="21">
        <f>COUNTIFS(T_Programme[Code installation],$C24,T_Programme[Type opération source],$N24,T_Programme[Périodicité],$F24,T_Programme[Année],H$7)</f>
        <v>1</v>
      </c>
      <c r="I24" s="21">
        <f>COUNTIFS(T_Programme[Code installation],$C24,T_Programme[Type opération source],$N24,T_Programme[Périodicité],$F24,T_Programme[Année],I$7)</f>
        <v>0</v>
      </c>
      <c r="J24" s="21">
        <f>COUNTIFS(T_Programme[Code installation],$C24,T_Programme[Type opération source],$N24,T_Programme[Périodicité],$F24,T_Programme[Année],J$7)</f>
        <v>0</v>
      </c>
      <c r="K24" s="21">
        <f>COUNTIFS(T_Programme[Code installation],$C24,T_Programme[Type opération source],$N24,T_Programme[Périodicité],$F24,T_Programme[Année],K$7)</f>
        <v>0</v>
      </c>
      <c r="L24" s="21">
        <f>COUNTIFS(T_Programme[Code installation],$C24,T_Programme[Type opération source],$N24,T_Programme[Périodicité],$F24,T_Programme[Année],L$7)</f>
        <v>0</v>
      </c>
      <c r="M24" s="21">
        <f>COUNTIFS(T_Programme[Code installation],$C24,T_Programme[Type opération source],$N24,T_Programme[Périodicité],$F24,T_Programme[Année],M$7)</f>
        <v>0</v>
      </c>
      <c r="N24" s="18" t="inlineStr">
        <is>
          <t>TYPE_B</t>
        </is>
      </c>
      <c r="O24" s="18" t="str">
        <f>IFERROR(INDEX(T_Referentiel[Statut],MATCH($N24,T_Referentiel[Valeur source],0)),"Absent du référentiel")</f>
        <v>Validé pour démo</v>
      </c>
      <c r="P24" s="18" t="str">
        <f>IF(COUNTIF(G24:M24,"&gt;1")&gt;0,"Doublon potentiel : à confirmer","")</f>
        <v/>
      </c>
    </row>
    <row r="25" ht="18" customHeight="1">
      <c r="A25" s="18" t="inlineStr">
        <is>
          <t>PERIM_A</t>
        </is>
      </c>
      <c r="B25" s="18" t="inlineStr">
        <is>
          <t>GRP_A1</t>
        </is>
      </c>
      <c r="C25" s="18" t="inlineStr">
        <is>
          <t>INST-007</t>
        </is>
      </c>
      <c r="D25" s="18" t="inlineStr">
        <is>
          <t>Installation G1</t>
        </is>
      </c>
      <c r="E25" s="19" t="str">
        <f>IFERROR(INDEX(T_Referentiel[Libellé affiché],MATCH($N25,T_Referentiel[Valeur source],0)),"À confirmer")</f>
        <v>Contrôle filtre</v>
      </c>
      <c r="F25" s="20" t="inlineStr">
        <is>
          <t>3 ans</t>
        </is>
      </c>
      <c r="G25" s="21">
        <f>COUNTIFS(T_Programme[Code installation],$C25,T_Programme[Type opération source],$N25,T_Programme[Périodicité],$F25,T_Programme[Année],G$7)</f>
        <v>0</v>
      </c>
      <c r="H25" s="21">
        <f>COUNTIFS(T_Programme[Code installation],$C25,T_Programme[Type opération source],$N25,T_Programme[Périodicité],$F25,T_Programme[Année],H$7)</f>
        <v>0</v>
      </c>
      <c r="I25" s="21">
        <f>COUNTIFS(T_Programme[Code installation],$C25,T_Programme[Type opération source],$N25,T_Programme[Périodicité],$F25,T_Programme[Année],I$7)</f>
        <v>0</v>
      </c>
      <c r="J25" s="21">
        <f>COUNTIFS(T_Programme[Code installation],$C25,T_Programme[Type opération source],$N25,T_Programme[Périodicité],$F25,T_Programme[Année],J$7)</f>
        <v>0</v>
      </c>
      <c r="K25" s="21">
        <f>COUNTIFS(T_Programme[Code installation],$C25,T_Programme[Type opération source],$N25,T_Programme[Périodicité],$F25,T_Programme[Année],K$7)</f>
        <v>0</v>
      </c>
      <c r="L25" s="21">
        <f>COUNTIFS(T_Programme[Code installation],$C25,T_Programme[Type opération source],$N25,T_Programme[Périodicité],$F25,T_Programme[Année],L$7)</f>
        <v>1</v>
      </c>
      <c r="M25" s="21">
        <f>COUNTIFS(T_Programme[Code installation],$C25,T_Programme[Type opération source],$N25,T_Programme[Périodicité],$F25,T_Programme[Année],M$7)</f>
        <v>0</v>
      </c>
      <c r="N25" s="18" t="inlineStr">
        <is>
          <t>TYPE_C</t>
        </is>
      </c>
      <c r="O25" s="18" t="str">
        <f>IFERROR(INDEX(T_Referentiel[Statut],MATCH($N25,T_Referentiel[Valeur source],0)),"Absent du référentiel")</f>
        <v>Validé pour démo</v>
      </c>
      <c r="P25" s="18" t="str">
        <f>IF(COUNTIF(G25:M25,"&gt;1")&gt;0,"Doublon potentiel : à confirmer","")</f>
        <v/>
      </c>
    </row>
    <row r="26" ht="18" customHeight="1">
      <c r="A26" s="18" t="inlineStr">
        <is>
          <t>PERIM_A</t>
        </is>
      </c>
      <c r="B26" s="18" t="inlineStr">
        <is>
          <t>GRP_A1</t>
        </is>
      </c>
      <c r="C26" s="18" t="inlineStr">
        <is>
          <t>INST-007</t>
        </is>
      </c>
      <c r="D26" s="18" t="inlineStr">
        <is>
          <t>Installation G1</t>
        </is>
      </c>
      <c r="E26" s="19" t="str">
        <f>IFERROR(INDEX(T_Referentiel[Libellé affiché],MATCH($N26,T_Referentiel[Valeur source],0)),"À confirmer")</f>
        <v>Opération spécifique</v>
      </c>
      <c r="F26" s="20" t="inlineStr">
        <is>
          <t>2 ans</t>
        </is>
      </c>
      <c r="G26" s="21">
        <f>COUNTIFS(T_Programme[Code installation],$C26,T_Programme[Type opération source],$N26,T_Programme[Périodicité],$F26,T_Programme[Année],G$7)</f>
        <v>0</v>
      </c>
      <c r="H26" s="21">
        <f>COUNTIFS(T_Programme[Code installation],$C26,T_Programme[Type opération source],$N26,T_Programme[Périodicité],$F26,T_Programme[Année],H$7)</f>
        <v>1</v>
      </c>
      <c r="I26" s="21">
        <f>COUNTIFS(T_Programme[Code installation],$C26,T_Programme[Type opération source],$N26,T_Programme[Périodicité],$F26,T_Programme[Année],I$7)</f>
        <v>0</v>
      </c>
      <c r="J26" s="21">
        <f>COUNTIFS(T_Programme[Code installation],$C26,T_Programme[Type opération source],$N26,T_Programme[Périodicité],$F26,T_Programme[Année],J$7)</f>
        <v>0</v>
      </c>
      <c r="K26" s="21">
        <f>COUNTIFS(T_Programme[Code installation],$C26,T_Programme[Type opération source],$N26,T_Programme[Périodicité],$F26,T_Programme[Année],K$7)</f>
        <v>0</v>
      </c>
      <c r="L26" s="21">
        <f>COUNTIFS(T_Programme[Code installation],$C26,T_Programme[Type opération source],$N26,T_Programme[Périodicité],$F26,T_Programme[Année],L$7)</f>
        <v>0</v>
      </c>
      <c r="M26" s="21">
        <f>COUNTIFS(T_Programme[Code installation],$C26,T_Programme[Type opération source],$N26,T_Programme[Périodicité],$F26,T_Programme[Année],M$7)</f>
        <v>0</v>
      </c>
      <c r="N26" s="18" t="inlineStr">
        <is>
          <t>TYPE_E</t>
        </is>
      </c>
      <c r="O26" s="18" t="str">
        <f>IFERROR(INDEX(T_Referentiel[Statut],MATCH($N26,T_Referentiel[Valeur source],0)),"Absent du référentiel")</f>
        <v>À confirmer</v>
      </c>
      <c r="P26" s="18" t="str">
        <f>IF(COUNTIF(G26:M26,"&gt;1")&gt;0,"Doublon potentiel : à confirmer","")</f>
        <v/>
      </c>
    </row>
    <row r="27" ht="18" customHeight="1">
      <c r="A27" s="18" t="inlineStr">
        <is>
          <t>PERIM_A</t>
        </is>
      </c>
      <c r="B27" s="18" t="inlineStr">
        <is>
          <t>GRP_A1</t>
        </is>
      </c>
      <c r="C27" s="18" t="inlineStr">
        <is>
          <t>INST-008</t>
        </is>
      </c>
      <c r="D27" s="18" t="inlineStr">
        <is>
          <t>Installation H1</t>
        </is>
      </c>
      <c r="E27" s="19" t="str">
        <f>IFERROR(INDEX(T_Referentiel[Libellé affiché],MATCH($N27,T_Referentiel[Valeur source],0)),"À confirmer")</f>
        <v>Contrôle filtre</v>
      </c>
      <c r="F27" s="20" t="inlineStr">
        <is>
          <t>3 ans</t>
        </is>
      </c>
      <c r="G27" s="21">
        <f>COUNTIFS(T_Programme[Code installation],$C27,T_Programme[Type opération source],$N27,T_Programme[Périodicité],$F27,T_Programme[Année],G$7)</f>
        <v>0</v>
      </c>
      <c r="H27" s="21">
        <f>COUNTIFS(T_Programme[Code installation],$C27,T_Programme[Type opération source],$N27,T_Programme[Périodicité],$F27,T_Programme[Année],H$7)</f>
        <v>1</v>
      </c>
      <c r="I27" s="21">
        <f>COUNTIFS(T_Programme[Code installation],$C27,T_Programme[Type opération source],$N27,T_Programme[Périodicité],$F27,T_Programme[Année],I$7)</f>
        <v>0</v>
      </c>
      <c r="J27" s="21">
        <f>COUNTIFS(T_Programme[Code installation],$C27,T_Programme[Type opération source],$N27,T_Programme[Périodicité],$F27,T_Programme[Année],J$7)</f>
        <v>0</v>
      </c>
      <c r="K27" s="21">
        <f>COUNTIFS(T_Programme[Code installation],$C27,T_Programme[Type opération source],$N27,T_Programme[Périodicité],$F27,T_Programme[Année],K$7)</f>
        <v>0</v>
      </c>
      <c r="L27" s="21">
        <f>COUNTIFS(T_Programme[Code installation],$C27,T_Programme[Type opération source],$N27,T_Programme[Périodicité],$F27,T_Programme[Année],L$7)</f>
        <v>0</v>
      </c>
      <c r="M27" s="21">
        <f>COUNTIFS(T_Programme[Code installation],$C27,T_Programme[Type opération source],$N27,T_Programme[Périodicité],$F27,T_Programme[Année],M$7)</f>
        <v>0</v>
      </c>
      <c r="N27" s="18" t="inlineStr">
        <is>
          <t>TYPE_C</t>
        </is>
      </c>
      <c r="O27" s="18" t="str">
        <f>IFERROR(INDEX(T_Referentiel[Statut],MATCH($N27,T_Referentiel[Valeur source],0)),"Absent du référentiel")</f>
        <v>Validé pour démo</v>
      </c>
      <c r="P27" s="18" t="str">
        <f>IF(COUNTIF(G27:M27,"&gt;1")&gt;0,"Doublon potentiel : à confirmer","")</f>
        <v/>
      </c>
    </row>
    <row r="28" ht="18" customHeight="1">
      <c r="A28" s="18" t="inlineStr">
        <is>
          <t>PERIM_A</t>
        </is>
      </c>
      <c r="B28" s="18" t="inlineStr">
        <is>
          <t>GRP_A1</t>
        </is>
      </c>
      <c r="C28" s="18" t="inlineStr">
        <is>
          <t>INST-008</t>
        </is>
      </c>
      <c r="D28" s="18" t="inlineStr">
        <is>
          <t>Installation H1</t>
        </is>
      </c>
      <c r="E28" s="19" t="str">
        <f>IFERROR(INDEX(T_Referentiel[Libellé affiché],MATCH($N28,T_Referentiel[Valeur source],0)),"À confirmer")</f>
        <v>Révision</v>
      </c>
      <c r="F28" s="20" t="inlineStr">
        <is>
          <t>6 ans</t>
        </is>
      </c>
      <c r="G28" s="21">
        <f>COUNTIFS(T_Programme[Code installation],$C28,T_Programme[Type opération source],$N28,T_Programme[Périodicité],$F28,T_Programme[Année],G$7)</f>
        <v>0</v>
      </c>
      <c r="H28" s="21">
        <f>COUNTIFS(T_Programme[Code installation],$C28,T_Programme[Type opération source],$N28,T_Programme[Périodicité],$F28,T_Programme[Année],H$7)</f>
        <v>1</v>
      </c>
      <c r="I28" s="21">
        <f>COUNTIFS(T_Programme[Code installation],$C28,T_Programme[Type opération source],$N28,T_Programme[Périodicité],$F28,T_Programme[Année],I$7)</f>
        <v>0</v>
      </c>
      <c r="J28" s="21">
        <f>COUNTIFS(T_Programme[Code installation],$C28,T_Programme[Type opération source],$N28,T_Programme[Périodicité],$F28,T_Programme[Année],J$7)</f>
        <v>0</v>
      </c>
      <c r="K28" s="21">
        <f>COUNTIFS(T_Programme[Code installation],$C28,T_Programme[Type opération source],$N28,T_Programme[Périodicité],$F28,T_Programme[Année],K$7)</f>
        <v>0</v>
      </c>
      <c r="L28" s="21">
        <f>COUNTIFS(T_Programme[Code installation],$C28,T_Programme[Type opération source],$N28,T_Programme[Périodicité],$F28,T_Programme[Année],L$7)</f>
        <v>1</v>
      </c>
      <c r="M28" s="21">
        <f>COUNTIFS(T_Programme[Code installation],$C28,T_Programme[Type opération source],$N28,T_Programme[Périodicité],$F28,T_Programme[Année],M$7)</f>
        <v>0</v>
      </c>
      <c r="N28" s="18" t="inlineStr">
        <is>
          <t>TYPE_D</t>
        </is>
      </c>
      <c r="O28" s="18" t="str">
        <f>IFERROR(INDEX(T_Referentiel[Statut],MATCH($N28,T_Referentiel[Valeur source],0)),"Absent du référentiel")</f>
        <v>Validé pour démo</v>
      </c>
      <c r="P28" s="18" t="str">
        <f>IF(COUNTIF(G28:M28,"&gt;1")&gt;0,"Doublon potentiel : à confirmer","")</f>
        <v/>
      </c>
    </row>
    <row r="29" ht="18" customHeight="1">
      <c r="A29" s="18" t="inlineStr">
        <is>
          <t>PERIM_A</t>
        </is>
      </c>
      <c r="B29" s="18" t="inlineStr">
        <is>
          <t>GRP_A2</t>
        </is>
      </c>
      <c r="C29" s="18" t="inlineStr">
        <is>
          <t>INST-009</t>
        </is>
      </c>
      <c r="D29" s="18" t="inlineStr">
        <is>
          <t>Installation I1</t>
        </is>
      </c>
      <c r="E29" s="19" t="str">
        <f>IFERROR(INDEX(T_Referentiel[Libellé affiché],MATCH($N29,T_Referentiel[Valeur source],0)),"À confirmer")</f>
        <v>Essai de conformité</v>
      </c>
      <c r="F29" s="20" t="inlineStr">
        <is>
          <t>2 ans</t>
        </is>
      </c>
      <c r="G29" s="21">
        <f>COUNTIFS(T_Programme[Code installation],$C29,T_Programme[Type opération source],$N29,T_Programme[Périodicité],$F29,T_Programme[Année],G$7)</f>
        <v>0</v>
      </c>
      <c r="H29" s="21">
        <f>COUNTIFS(T_Programme[Code installation],$C29,T_Programme[Type opération source],$N29,T_Programme[Périodicité],$F29,T_Programme[Année],H$7)</f>
        <v>1</v>
      </c>
      <c r="I29" s="21">
        <f>COUNTIFS(T_Programme[Code installation],$C29,T_Programme[Type opération source],$N29,T_Programme[Périodicité],$F29,T_Programme[Année],I$7)</f>
        <v>1</v>
      </c>
      <c r="J29" s="21">
        <f>COUNTIFS(T_Programme[Code installation],$C29,T_Programme[Type opération source],$N29,T_Programme[Périodicité],$F29,T_Programme[Année],J$7)</f>
        <v>0</v>
      </c>
      <c r="K29" s="21">
        <f>COUNTIFS(T_Programme[Code installation],$C29,T_Programme[Type opération source],$N29,T_Programme[Périodicité],$F29,T_Programme[Année],K$7)</f>
        <v>0</v>
      </c>
      <c r="L29" s="21">
        <f>COUNTIFS(T_Programme[Code installation],$C29,T_Programme[Type opération source],$N29,T_Programme[Périodicité],$F29,T_Programme[Année],L$7)</f>
        <v>0</v>
      </c>
      <c r="M29" s="21">
        <f>COUNTIFS(T_Programme[Code installation],$C29,T_Programme[Type opération source],$N29,T_Programme[Périodicité],$F29,T_Programme[Année],M$7)</f>
        <v>0</v>
      </c>
      <c r="N29" s="18" t="inlineStr">
        <is>
          <t>TYPE_B</t>
        </is>
      </c>
      <c r="O29" s="18" t="str">
        <f>IFERROR(INDEX(T_Referentiel[Statut],MATCH($N29,T_Referentiel[Valeur source],0)),"Absent du référentiel")</f>
        <v>Validé pour démo</v>
      </c>
      <c r="P29" s="18" t="str">
        <f>IF(COUNTIF(G29:M29,"&gt;1")&gt;0,"Doublon potentiel : à confirmer","")</f>
        <v/>
      </c>
    </row>
    <row r="30" ht="18" customHeight="1">
      <c r="A30" s="18" t="inlineStr">
        <is>
          <t>PERIM_A</t>
        </is>
      </c>
      <c r="B30" s="18" t="inlineStr">
        <is>
          <t>GRP_A2</t>
        </is>
      </c>
      <c r="C30" s="18" t="inlineStr">
        <is>
          <t>INST-009</t>
        </is>
      </c>
      <c r="D30" s="18" t="inlineStr">
        <is>
          <t>Installation I1</t>
        </is>
      </c>
      <c r="E30" s="19" t="str">
        <f>IFERROR(INDEX(T_Referentiel[Libellé affiché],MATCH($N30,T_Referentiel[Valeur source],0)),"À confirmer")</f>
        <v>Opération spécifique</v>
      </c>
      <c r="F30" s="20" t="inlineStr">
        <is>
          <t>2 ans</t>
        </is>
      </c>
      <c r="G30" s="21">
        <f>COUNTIFS(T_Programme[Code installation],$C30,T_Programme[Type opération source],$N30,T_Programme[Périodicité],$F30,T_Programme[Année],G$7)</f>
        <v>1</v>
      </c>
      <c r="H30" s="21">
        <f>COUNTIFS(T_Programme[Code installation],$C30,T_Programme[Type opération source],$N30,T_Programme[Périodicité],$F30,T_Programme[Année],H$7)</f>
        <v>0</v>
      </c>
      <c r="I30" s="21">
        <f>COUNTIFS(T_Programme[Code installation],$C30,T_Programme[Type opération source],$N30,T_Programme[Périodicité],$F30,T_Programme[Année],I$7)</f>
        <v>0</v>
      </c>
      <c r="J30" s="21">
        <f>COUNTIFS(T_Programme[Code installation],$C30,T_Programme[Type opération source],$N30,T_Programme[Périodicité],$F30,T_Programme[Année],J$7)</f>
        <v>0</v>
      </c>
      <c r="K30" s="21">
        <f>COUNTIFS(T_Programme[Code installation],$C30,T_Programme[Type opération source],$N30,T_Programme[Périodicité],$F30,T_Programme[Année],K$7)</f>
        <v>0</v>
      </c>
      <c r="L30" s="21">
        <f>COUNTIFS(T_Programme[Code installation],$C30,T_Programme[Type opération source],$N30,T_Programme[Périodicité],$F30,T_Programme[Année],L$7)</f>
        <v>0</v>
      </c>
      <c r="M30" s="21">
        <f>COUNTIFS(T_Programme[Code installation],$C30,T_Programme[Type opération source],$N30,T_Programme[Périodicité],$F30,T_Programme[Année],M$7)</f>
        <v>0</v>
      </c>
      <c r="N30" s="18" t="inlineStr">
        <is>
          <t>TYPE_E</t>
        </is>
      </c>
      <c r="O30" s="18" t="str">
        <f>IFERROR(INDEX(T_Referentiel[Statut],MATCH($N30,T_Referentiel[Valeur source],0)),"Absent du référentiel")</f>
        <v>À confirmer</v>
      </c>
      <c r="P30" s="18" t="str">
        <f>IF(COUNTIF(G30:M30,"&gt;1")&gt;0,"Doublon potentiel : à confirmer","")</f>
        <v/>
      </c>
    </row>
    <row r="31" ht="18" customHeight="1">
      <c r="A31" s="18" t="inlineStr">
        <is>
          <t>PERIM_A</t>
        </is>
      </c>
      <c r="B31" s="18" t="inlineStr">
        <is>
          <t>GRP_A2</t>
        </is>
      </c>
      <c r="C31" s="18" t="inlineStr">
        <is>
          <t>INST-010</t>
        </is>
      </c>
      <c r="D31" s="18" t="inlineStr">
        <is>
          <t>Installation J1</t>
        </is>
      </c>
      <c r="E31" s="19" t="str">
        <f>IFERROR(INDEX(T_Referentiel[Libellé affiché],MATCH($N31,T_Referentiel[Valeur source],0)),"À confirmer")</f>
        <v>Contrôle annuel</v>
      </c>
      <c r="F31" s="20" t="inlineStr">
        <is>
          <t>1 an</t>
        </is>
      </c>
      <c r="G31" s="21">
        <f>COUNTIFS(T_Programme[Code installation],$C31,T_Programme[Type opération source],$N31,T_Programme[Périodicité],$F31,T_Programme[Année],G$7)</f>
        <v>0</v>
      </c>
      <c r="H31" s="21">
        <f>COUNTIFS(T_Programme[Code installation],$C31,T_Programme[Type opération source],$N31,T_Programme[Périodicité],$F31,T_Programme[Année],H$7)</f>
        <v>2</v>
      </c>
      <c r="I31" s="21">
        <f>COUNTIFS(T_Programme[Code installation],$C31,T_Programme[Type opération source],$N31,T_Programme[Périodicité],$F31,T_Programme[Année],I$7)</f>
        <v>0</v>
      </c>
      <c r="J31" s="21">
        <f>COUNTIFS(T_Programme[Code installation],$C31,T_Programme[Type opération source],$N31,T_Programme[Périodicité],$F31,T_Programme[Année],J$7)</f>
        <v>0</v>
      </c>
      <c r="K31" s="21">
        <f>COUNTIFS(T_Programme[Code installation],$C31,T_Programme[Type opération source],$N31,T_Programme[Périodicité],$F31,T_Programme[Année],K$7)</f>
        <v>0</v>
      </c>
      <c r="L31" s="21">
        <f>COUNTIFS(T_Programme[Code installation],$C31,T_Programme[Type opération source],$N31,T_Programme[Périodicité],$F31,T_Programme[Année],L$7)</f>
        <v>0</v>
      </c>
      <c r="M31" s="21">
        <f>COUNTIFS(T_Programme[Code installation],$C31,T_Programme[Type opération source],$N31,T_Programme[Périodicité],$F31,T_Programme[Année],M$7)</f>
        <v>0</v>
      </c>
      <c r="N31" s="18" t="inlineStr">
        <is>
          <t>TYPE_A</t>
        </is>
      </c>
      <c r="O31" s="18" t="str">
        <f>IFERROR(INDEX(T_Referentiel[Statut],MATCH($N31,T_Referentiel[Valeur source],0)),"Absent du référentiel")</f>
        <v>Validé pour démo</v>
      </c>
      <c r="P31" s="18" t="str">
        <f>IF(COUNTIF(G31:M31,"&gt;1")&gt;0,"Doublon potentiel : à confirmer","")</f>
        <v>Doublon potentiel : à confirmer</v>
      </c>
    </row>
    <row r="32" ht="18" customHeight="1">
      <c r="A32" s="18" t="inlineStr">
        <is>
          <t>PERIM_A</t>
        </is>
      </c>
      <c r="B32" s="18" t="inlineStr">
        <is>
          <t>GRP_A2</t>
        </is>
      </c>
      <c r="C32" s="18" t="inlineStr">
        <is>
          <t>INST-010</t>
        </is>
      </c>
      <c r="D32" s="18" t="inlineStr">
        <is>
          <t>Installation J1</t>
        </is>
      </c>
      <c r="E32" s="19" t="str">
        <f>IFERROR(INDEX(T_Referentiel[Libellé affiché],MATCH($N32,T_Referentiel[Valeur source],0)),"À confirmer")</f>
        <v>Contrôle filtre</v>
      </c>
      <c r="F32" s="20" t="inlineStr">
        <is>
          <t>3 ans</t>
        </is>
      </c>
      <c r="G32" s="21">
        <f>COUNTIFS(T_Programme[Code installation],$C32,T_Programme[Type opération source],$N32,T_Programme[Périodicité],$F32,T_Programme[Année],G$7)</f>
        <v>0</v>
      </c>
      <c r="H32" s="21">
        <f>COUNTIFS(T_Programme[Code installation],$C32,T_Programme[Type opération source],$N32,T_Programme[Périodicité],$F32,T_Programme[Année],H$7)</f>
        <v>1</v>
      </c>
      <c r="I32" s="21">
        <f>COUNTIFS(T_Programme[Code installation],$C32,T_Programme[Type opération source],$N32,T_Programme[Périodicité],$F32,T_Programme[Année],I$7)</f>
        <v>0</v>
      </c>
      <c r="J32" s="21">
        <f>COUNTIFS(T_Programme[Code installation],$C32,T_Programme[Type opération source],$N32,T_Programme[Périodicité],$F32,T_Programme[Année],J$7)</f>
        <v>0</v>
      </c>
      <c r="K32" s="21">
        <f>COUNTIFS(T_Programme[Code installation],$C32,T_Programme[Type opération source],$N32,T_Programme[Périodicité],$F32,T_Programme[Année],K$7)</f>
        <v>0</v>
      </c>
      <c r="L32" s="21">
        <f>COUNTIFS(T_Programme[Code installation],$C32,T_Programme[Type opération source],$N32,T_Programme[Périodicité],$F32,T_Programme[Année],L$7)</f>
        <v>0</v>
      </c>
      <c r="M32" s="21">
        <f>COUNTIFS(T_Programme[Code installation],$C32,T_Programme[Type opération source],$N32,T_Programme[Périodicité],$F32,T_Programme[Année],M$7)</f>
        <v>0</v>
      </c>
      <c r="N32" s="18" t="inlineStr">
        <is>
          <t>TYPE_C</t>
        </is>
      </c>
      <c r="O32" s="18" t="str">
        <f>IFERROR(INDEX(T_Referentiel[Statut],MATCH($N32,T_Referentiel[Valeur source],0)),"Absent du référentiel")</f>
        <v>Validé pour démo</v>
      </c>
      <c r="P32" s="18" t="str">
        <f>IF(COUNTIF(G32:M32,"&gt;1")&gt;0,"Doublon potentiel : à confirmer","")</f>
        <v/>
      </c>
    </row>
    <row r="33" ht="18" customHeight="1">
      <c r="A33" s="18" t="inlineStr">
        <is>
          <t>PERIM_A</t>
        </is>
      </c>
      <c r="B33" s="18" t="inlineStr">
        <is>
          <t>GRP_A2</t>
        </is>
      </c>
      <c r="C33" s="18" t="inlineStr">
        <is>
          <t>INST-010</t>
        </is>
      </c>
      <c r="D33" s="18" t="inlineStr">
        <is>
          <t>Installation J1</t>
        </is>
      </c>
      <c r="E33" s="19" t="str">
        <f>IFERROR(INDEX(T_Referentiel[Libellé affiché],MATCH($N33,T_Referentiel[Valeur source],0)),"À confirmer")</f>
        <v>Révision</v>
      </c>
      <c r="F33" s="20" t="inlineStr">
        <is>
          <t>6 ans</t>
        </is>
      </c>
      <c r="G33" s="21">
        <f>COUNTIFS(T_Programme[Code installation],$C33,T_Programme[Type opération source],$N33,T_Programme[Périodicité],$F33,T_Programme[Année],G$7)</f>
        <v>0</v>
      </c>
      <c r="H33" s="21">
        <f>COUNTIFS(T_Programme[Code installation],$C33,T_Programme[Type opération source],$N33,T_Programme[Périodicité],$F33,T_Programme[Année],H$7)</f>
        <v>0</v>
      </c>
      <c r="I33" s="21">
        <f>COUNTIFS(T_Programme[Code installation],$C33,T_Programme[Type opération source],$N33,T_Programme[Périodicité],$F33,T_Programme[Année],I$7)</f>
        <v>1</v>
      </c>
      <c r="J33" s="21">
        <f>COUNTIFS(T_Programme[Code installation],$C33,T_Programme[Type opération source],$N33,T_Programme[Périodicité],$F33,T_Programme[Année],J$7)</f>
        <v>0</v>
      </c>
      <c r="K33" s="21">
        <f>COUNTIFS(T_Programme[Code installation],$C33,T_Programme[Type opération source],$N33,T_Programme[Périodicité],$F33,T_Programme[Année],K$7)</f>
        <v>0</v>
      </c>
      <c r="L33" s="21">
        <f>COUNTIFS(T_Programme[Code installation],$C33,T_Programme[Type opération source],$N33,T_Programme[Périodicité],$F33,T_Programme[Année],L$7)</f>
        <v>0</v>
      </c>
      <c r="M33" s="21">
        <f>COUNTIFS(T_Programme[Code installation],$C33,T_Programme[Type opération source],$N33,T_Programme[Périodicité],$F33,T_Programme[Année],M$7)</f>
        <v>0</v>
      </c>
      <c r="N33" s="18" t="inlineStr">
        <is>
          <t>TYPE_D</t>
        </is>
      </c>
      <c r="O33" s="18" t="str">
        <f>IFERROR(INDEX(T_Referentiel[Statut],MATCH($N33,T_Referentiel[Valeur source],0)),"Absent du référentiel")</f>
        <v>Validé pour démo</v>
      </c>
      <c r="P33" s="18" t="str">
        <f>IF(COUNTIF(G33:M33,"&gt;1")&gt;0,"Doublon potentiel : à confirmer","")</f>
        <v/>
      </c>
    </row>
    <row r="34" ht="18" customHeight="1">
      <c r="A34" s="18" t="inlineStr">
        <is>
          <t>PERIM_A</t>
        </is>
      </c>
      <c r="B34" s="18" t="inlineStr">
        <is>
          <t>GRP_A2</t>
        </is>
      </c>
      <c r="C34" s="18" t="inlineStr">
        <is>
          <t>INST-011</t>
        </is>
      </c>
      <c r="D34" s="18" t="inlineStr">
        <is>
          <t>Installation K1</t>
        </is>
      </c>
      <c r="E34" s="19" t="str">
        <f>IFERROR(INDEX(T_Referentiel[Libellé affiché],MATCH($N34,T_Referentiel[Valeur source],0)),"À confirmer")</f>
        <v>Contrôle annuel</v>
      </c>
      <c r="F34" s="20" t="inlineStr">
        <is>
          <t>1 an</t>
        </is>
      </c>
      <c r="G34" s="21">
        <f>COUNTIFS(T_Programme[Code installation],$C34,T_Programme[Type opération source],$N34,T_Programme[Périodicité],$F34,T_Programme[Année],G$7)</f>
        <v>0</v>
      </c>
      <c r="H34" s="21">
        <f>COUNTIFS(T_Programme[Code installation],$C34,T_Programme[Type opération source],$N34,T_Programme[Périodicité],$F34,T_Programme[Année],H$7)</f>
        <v>1</v>
      </c>
      <c r="I34" s="21">
        <f>COUNTIFS(T_Programme[Code installation],$C34,T_Programme[Type opération source],$N34,T_Programme[Périodicité],$F34,T_Programme[Année],I$7)</f>
        <v>0</v>
      </c>
      <c r="J34" s="21">
        <f>COUNTIFS(T_Programme[Code installation],$C34,T_Programme[Type opération source],$N34,T_Programme[Périodicité],$F34,T_Programme[Année],J$7)</f>
        <v>1</v>
      </c>
      <c r="K34" s="21">
        <f>COUNTIFS(T_Programme[Code installation],$C34,T_Programme[Type opération source],$N34,T_Programme[Périodicité],$F34,T_Programme[Année],K$7)</f>
        <v>0</v>
      </c>
      <c r="L34" s="21">
        <f>COUNTIFS(T_Programme[Code installation],$C34,T_Programme[Type opération source],$N34,T_Programme[Périodicité],$F34,T_Programme[Année],L$7)</f>
        <v>0</v>
      </c>
      <c r="M34" s="21">
        <f>COUNTIFS(T_Programme[Code installation],$C34,T_Programme[Type opération source],$N34,T_Programme[Périodicité],$F34,T_Programme[Année],M$7)</f>
        <v>0</v>
      </c>
      <c r="N34" s="18" t="inlineStr">
        <is>
          <t>TYPE_A</t>
        </is>
      </c>
      <c r="O34" s="18" t="str">
        <f>IFERROR(INDEX(T_Referentiel[Statut],MATCH($N34,T_Referentiel[Valeur source],0)),"Absent du référentiel")</f>
        <v>Validé pour démo</v>
      </c>
      <c r="P34" s="18" t="str">
        <f>IF(COUNTIF(G34:M34,"&gt;1")&gt;0,"Doublon potentiel : à confirmer","")</f>
        <v/>
      </c>
    </row>
    <row r="35" ht="18" customHeight="1">
      <c r="A35" s="18" t="inlineStr">
        <is>
          <t>PERIM_A</t>
        </is>
      </c>
      <c r="B35" s="18" t="inlineStr">
        <is>
          <t>GRP_A2</t>
        </is>
      </c>
      <c r="C35" s="18" t="inlineStr">
        <is>
          <t>INST-011</t>
        </is>
      </c>
      <c r="D35" s="18" t="inlineStr">
        <is>
          <t>Installation K1</t>
        </is>
      </c>
      <c r="E35" s="19" t="str">
        <f>IFERROR(INDEX(T_Referentiel[Libellé affiché],MATCH($N35,T_Referentiel[Valeur source],0)),"À confirmer")</f>
        <v>Contrôle filtre</v>
      </c>
      <c r="F35" s="20" t="inlineStr">
        <is>
          <t>3 ans</t>
        </is>
      </c>
      <c r="G35" s="21">
        <f>COUNTIFS(T_Programme[Code installation],$C35,T_Programme[Type opération source],$N35,T_Programme[Périodicité],$F35,T_Programme[Année],G$7)</f>
        <v>0</v>
      </c>
      <c r="H35" s="21">
        <f>COUNTIFS(T_Programme[Code installation],$C35,T_Programme[Type opération source],$N35,T_Programme[Périodicité],$F35,T_Programme[Année],H$7)</f>
        <v>1</v>
      </c>
      <c r="I35" s="21">
        <f>COUNTIFS(T_Programme[Code installation],$C35,T_Programme[Type opération source],$N35,T_Programme[Périodicité],$F35,T_Programme[Année],I$7)</f>
        <v>0</v>
      </c>
      <c r="J35" s="21">
        <f>COUNTIFS(T_Programme[Code installation],$C35,T_Programme[Type opération source],$N35,T_Programme[Périodicité],$F35,T_Programme[Année],J$7)</f>
        <v>0</v>
      </c>
      <c r="K35" s="21">
        <f>COUNTIFS(T_Programme[Code installation],$C35,T_Programme[Type opération source],$N35,T_Programme[Périodicité],$F35,T_Programme[Année],K$7)</f>
        <v>0</v>
      </c>
      <c r="L35" s="21">
        <f>COUNTIFS(T_Programme[Code installation],$C35,T_Programme[Type opération source],$N35,T_Programme[Périodicité],$F35,T_Programme[Année],L$7)</f>
        <v>0</v>
      </c>
      <c r="M35" s="21">
        <f>COUNTIFS(T_Programme[Code installation],$C35,T_Programme[Type opération source],$N35,T_Programme[Périodicité],$F35,T_Programme[Année],M$7)</f>
        <v>0</v>
      </c>
      <c r="N35" s="18" t="inlineStr">
        <is>
          <t>TYPE_C</t>
        </is>
      </c>
      <c r="O35" s="18" t="str">
        <f>IFERROR(INDEX(T_Referentiel[Statut],MATCH($N35,T_Referentiel[Valeur source],0)),"Absent du référentiel")</f>
        <v>Validé pour démo</v>
      </c>
      <c r="P35" s="18" t="str">
        <f>IF(COUNTIF(G35:M35,"&gt;1")&gt;0,"Doublon potentiel : à confirmer","")</f>
        <v/>
      </c>
    </row>
    <row r="36" ht="18" customHeight="1">
      <c r="A36" s="18" t="inlineStr">
        <is>
          <t>PERIM_A</t>
        </is>
      </c>
      <c r="B36" s="18" t="inlineStr">
        <is>
          <t>GRP_A2</t>
        </is>
      </c>
      <c r="C36" s="18" t="inlineStr">
        <is>
          <t>INST-011</t>
        </is>
      </c>
      <c r="D36" s="18" t="inlineStr">
        <is>
          <t>Installation K1</t>
        </is>
      </c>
      <c r="E36" s="19" t="str">
        <f>IFERROR(INDEX(T_Referentiel[Libellé affiché],MATCH($N36,T_Referentiel[Valeur source],0)),"À confirmer")</f>
        <v>Révision</v>
      </c>
      <c r="F36" s="20" t="inlineStr">
        <is>
          <t>6 ans</t>
        </is>
      </c>
      <c r="G36" s="21">
        <f>COUNTIFS(T_Programme[Code installation],$C36,T_Programme[Type opération source],$N36,T_Programme[Périodicité],$F36,T_Programme[Année],G$7)</f>
        <v>0</v>
      </c>
      <c r="H36" s="21">
        <f>COUNTIFS(T_Programme[Code installation],$C36,T_Programme[Type opération source],$N36,T_Programme[Périodicité],$F36,T_Programme[Année],H$7)</f>
        <v>1</v>
      </c>
      <c r="I36" s="21">
        <f>COUNTIFS(T_Programme[Code installation],$C36,T_Programme[Type opération source],$N36,T_Programme[Périodicité],$F36,T_Programme[Année],I$7)</f>
        <v>0</v>
      </c>
      <c r="J36" s="21">
        <f>COUNTIFS(T_Programme[Code installation],$C36,T_Programme[Type opération source],$N36,T_Programme[Périodicité],$F36,T_Programme[Année],J$7)</f>
        <v>0</v>
      </c>
      <c r="K36" s="21">
        <f>COUNTIFS(T_Programme[Code installation],$C36,T_Programme[Type opération source],$N36,T_Programme[Périodicité],$F36,T_Programme[Année],K$7)</f>
        <v>0</v>
      </c>
      <c r="L36" s="21">
        <f>COUNTIFS(T_Programme[Code installation],$C36,T_Programme[Type opération source],$N36,T_Programme[Périodicité],$F36,T_Programme[Année],L$7)</f>
        <v>0</v>
      </c>
      <c r="M36" s="21">
        <f>COUNTIFS(T_Programme[Code installation],$C36,T_Programme[Type opération source],$N36,T_Programme[Périodicité],$F36,T_Programme[Année],M$7)</f>
        <v>0</v>
      </c>
      <c r="N36" s="18" t="inlineStr">
        <is>
          <t>TYPE_D</t>
        </is>
      </c>
      <c r="O36" s="18" t="str">
        <f>IFERROR(INDEX(T_Referentiel[Statut],MATCH($N36,T_Referentiel[Valeur source],0)),"Absent du référentiel")</f>
        <v>Validé pour démo</v>
      </c>
      <c r="P36" s="18" t="str">
        <f>IF(COUNTIF(G36:M36,"&gt;1")&gt;0,"Doublon potentiel : à confirmer","")</f>
        <v/>
      </c>
    </row>
    <row r="37" ht="18" customHeight="1">
      <c r="A37" s="18" t="inlineStr">
        <is>
          <t>PERIM_A</t>
        </is>
      </c>
      <c r="B37" s="18" t="inlineStr">
        <is>
          <t>GRP_A2</t>
        </is>
      </c>
      <c r="C37" s="18" t="inlineStr">
        <is>
          <t>INST-012</t>
        </is>
      </c>
      <c r="D37" s="18" t="inlineStr">
        <is>
          <t>Installation L1</t>
        </is>
      </c>
      <c r="E37" s="19" t="str">
        <f>IFERROR(INDEX(T_Referentiel[Libellé affiché],MATCH($N37,T_Referentiel[Valeur source],0)),"À confirmer")</f>
        <v>Contrôle annuel</v>
      </c>
      <c r="F37" s="20" t="inlineStr">
        <is>
          <t>1 an</t>
        </is>
      </c>
      <c r="G37" s="21">
        <f>COUNTIFS(T_Programme[Code installation],$C37,T_Programme[Type opération source],$N37,T_Programme[Périodicité],$F37,T_Programme[Année],G$7)</f>
        <v>1</v>
      </c>
      <c r="H37" s="21">
        <f>COUNTIFS(T_Programme[Code installation],$C37,T_Programme[Type opération source],$N37,T_Programme[Périodicité],$F37,T_Programme[Année],H$7)</f>
        <v>1</v>
      </c>
      <c r="I37" s="21">
        <f>COUNTIFS(T_Programme[Code installation],$C37,T_Programme[Type opération source],$N37,T_Programme[Périodicité],$F37,T_Programme[Année],I$7)</f>
        <v>0</v>
      </c>
      <c r="J37" s="21">
        <f>COUNTIFS(T_Programme[Code installation],$C37,T_Programme[Type opération source],$N37,T_Programme[Périodicité],$F37,T_Programme[Année],J$7)</f>
        <v>0</v>
      </c>
      <c r="K37" s="21">
        <f>COUNTIFS(T_Programme[Code installation],$C37,T_Programme[Type opération source],$N37,T_Programme[Périodicité],$F37,T_Programme[Année],K$7)</f>
        <v>0</v>
      </c>
      <c r="L37" s="21">
        <f>COUNTIFS(T_Programme[Code installation],$C37,T_Programme[Type opération source],$N37,T_Programme[Périodicité],$F37,T_Programme[Année],L$7)</f>
        <v>0</v>
      </c>
      <c r="M37" s="21">
        <f>COUNTIFS(T_Programme[Code installation],$C37,T_Programme[Type opération source],$N37,T_Programme[Périodicité],$F37,T_Programme[Année],M$7)</f>
        <v>0</v>
      </c>
      <c r="N37" s="18" t="inlineStr">
        <is>
          <t>TYPE_A</t>
        </is>
      </c>
      <c r="O37" s="18" t="str">
        <f>IFERROR(INDEX(T_Referentiel[Statut],MATCH($N37,T_Referentiel[Valeur source],0)),"Absent du référentiel")</f>
        <v>Validé pour démo</v>
      </c>
      <c r="P37" s="18" t="str">
        <f>IF(COUNTIF(G37:M37,"&gt;1")&gt;0,"Doublon potentiel : à confirmer","")</f>
        <v/>
      </c>
    </row>
    <row r="38" ht="18" customHeight="1">
      <c r="A38" s="18" t="inlineStr">
        <is>
          <t>PERIM_A</t>
        </is>
      </c>
      <c r="B38" s="18" t="inlineStr">
        <is>
          <t>GRP_A2</t>
        </is>
      </c>
      <c r="C38" s="18" t="inlineStr">
        <is>
          <t>INST-012</t>
        </is>
      </c>
      <c r="D38" s="18" t="inlineStr">
        <is>
          <t>Installation L1</t>
        </is>
      </c>
      <c r="E38" s="19" t="str">
        <f>IFERROR(INDEX(T_Referentiel[Libellé affiché],MATCH($N38,T_Referentiel[Valeur source],0)),"À confirmer")</f>
        <v>Opération spécifique</v>
      </c>
      <c r="F38" s="20" t="inlineStr">
        <is>
          <t>2 ans</t>
        </is>
      </c>
      <c r="G38" s="21">
        <f>COUNTIFS(T_Programme[Code installation],$C38,T_Programme[Type opération source],$N38,T_Programme[Périodicité],$F38,T_Programme[Année],G$7)</f>
        <v>0</v>
      </c>
      <c r="H38" s="21">
        <f>COUNTIFS(T_Programme[Code installation],$C38,T_Programme[Type opération source],$N38,T_Programme[Périodicité],$F38,T_Programme[Année],H$7)</f>
        <v>0</v>
      </c>
      <c r="I38" s="21">
        <f>COUNTIFS(T_Programme[Code installation],$C38,T_Programme[Type opération source],$N38,T_Programme[Périodicité],$F38,T_Programme[Année],I$7)</f>
        <v>1</v>
      </c>
      <c r="J38" s="21">
        <f>COUNTIFS(T_Programme[Code installation],$C38,T_Programme[Type opération source],$N38,T_Programme[Périodicité],$F38,T_Programme[Année],J$7)</f>
        <v>0</v>
      </c>
      <c r="K38" s="21">
        <f>COUNTIFS(T_Programme[Code installation],$C38,T_Programme[Type opération source],$N38,T_Programme[Périodicité],$F38,T_Programme[Année],K$7)</f>
        <v>0</v>
      </c>
      <c r="L38" s="21">
        <f>COUNTIFS(T_Programme[Code installation],$C38,T_Programme[Type opération source],$N38,T_Programme[Périodicité],$F38,T_Programme[Année],L$7)</f>
        <v>0</v>
      </c>
      <c r="M38" s="21">
        <f>COUNTIFS(T_Programme[Code installation],$C38,T_Programme[Type opération source],$N38,T_Programme[Périodicité],$F38,T_Programme[Année],M$7)</f>
        <v>0</v>
      </c>
      <c r="N38" s="18" t="inlineStr">
        <is>
          <t>TYPE_E</t>
        </is>
      </c>
      <c r="O38" s="18" t="str">
        <f>IFERROR(INDEX(T_Referentiel[Statut],MATCH($N38,T_Referentiel[Valeur source],0)),"Absent du référentiel")</f>
        <v>À confirmer</v>
      </c>
      <c r="P38" s="18" t="str">
        <f>IF(COUNTIF(G38:M38,"&gt;1")&gt;0,"Doublon potentiel : à confirmer","")</f>
        <v/>
      </c>
    </row>
    <row r="39" ht="18" customHeight="1">
      <c r="A39" s="18" t="inlineStr">
        <is>
          <t>PERIM_A</t>
        </is>
      </c>
      <c r="B39" s="18" t="inlineStr">
        <is>
          <t>GRP_A2</t>
        </is>
      </c>
      <c r="C39" s="18" t="inlineStr">
        <is>
          <t>INST-013</t>
        </is>
      </c>
      <c r="D39" s="18" t="inlineStr">
        <is>
          <t>Installation M1</t>
        </is>
      </c>
      <c r="E39" s="19" t="str">
        <f>IFERROR(INDEX(T_Referentiel[Libellé affiché],MATCH($N39,T_Referentiel[Valeur source],0)),"À confirmer")</f>
        <v>Contrôle annuel</v>
      </c>
      <c r="F39" s="20" t="inlineStr">
        <is>
          <t>1 an</t>
        </is>
      </c>
      <c r="G39" s="21">
        <f>COUNTIFS(T_Programme[Code installation],$C39,T_Programme[Type opération source],$N39,T_Programme[Périodicité],$F39,T_Programme[Année],G$7)</f>
        <v>1</v>
      </c>
      <c r="H39" s="21">
        <f>COUNTIFS(T_Programme[Code installation],$C39,T_Programme[Type opération source],$N39,T_Programme[Périodicité],$F39,T_Programme[Année],H$7)</f>
        <v>0</v>
      </c>
      <c r="I39" s="21">
        <f>COUNTIFS(T_Programme[Code installation],$C39,T_Programme[Type opération source],$N39,T_Programme[Périodicité],$F39,T_Programme[Année],I$7)</f>
        <v>0</v>
      </c>
      <c r="J39" s="21">
        <f>COUNTIFS(T_Programme[Code installation],$C39,T_Programme[Type opération source],$N39,T_Programme[Périodicité],$F39,T_Programme[Année],J$7)</f>
        <v>0</v>
      </c>
      <c r="K39" s="21">
        <f>COUNTIFS(T_Programme[Code installation],$C39,T_Programme[Type opération source],$N39,T_Programme[Périodicité],$F39,T_Programme[Année],K$7)</f>
        <v>0</v>
      </c>
      <c r="L39" s="21">
        <f>COUNTIFS(T_Programme[Code installation],$C39,T_Programme[Type opération source],$N39,T_Programme[Périodicité],$F39,T_Programme[Année],L$7)</f>
        <v>0</v>
      </c>
      <c r="M39" s="21">
        <f>COUNTIFS(T_Programme[Code installation],$C39,T_Programme[Type opération source],$N39,T_Programme[Périodicité],$F39,T_Programme[Année],M$7)</f>
        <v>0</v>
      </c>
      <c r="N39" s="18" t="inlineStr">
        <is>
          <t>TYPE_A</t>
        </is>
      </c>
      <c r="O39" s="18" t="str">
        <f>IFERROR(INDEX(T_Referentiel[Statut],MATCH($N39,T_Referentiel[Valeur source],0)),"Absent du référentiel")</f>
        <v>Validé pour démo</v>
      </c>
      <c r="P39" s="18" t="str">
        <f>IF(COUNTIF(G39:M39,"&gt;1")&gt;0,"Doublon potentiel : à confirmer","")</f>
        <v/>
      </c>
    </row>
    <row r="40" ht="18" customHeight="1">
      <c r="A40" s="18" t="inlineStr">
        <is>
          <t>PERIM_A</t>
        </is>
      </c>
      <c r="B40" s="18" t="inlineStr">
        <is>
          <t>GRP_A2</t>
        </is>
      </c>
      <c r="C40" s="18" t="inlineStr">
        <is>
          <t>INST-013</t>
        </is>
      </c>
      <c r="D40" s="18" t="inlineStr">
        <is>
          <t>Installation M1</t>
        </is>
      </c>
      <c r="E40" s="19" t="str">
        <f>IFERROR(INDEX(T_Referentiel[Libellé affiché],MATCH($N40,T_Referentiel[Valeur source],0)),"À confirmer")</f>
        <v>Contrôle filtre</v>
      </c>
      <c r="F40" s="20" t="inlineStr">
        <is>
          <t>3 ans</t>
        </is>
      </c>
      <c r="G40" s="21">
        <f>COUNTIFS(T_Programme[Code installation],$C40,T_Programme[Type opération source],$N40,T_Programme[Périodicité],$F40,T_Programme[Année],G$7)</f>
        <v>0</v>
      </c>
      <c r="H40" s="21">
        <f>COUNTIFS(T_Programme[Code installation],$C40,T_Programme[Type opération source],$N40,T_Programme[Périodicité],$F40,T_Programme[Année],H$7)</f>
        <v>0</v>
      </c>
      <c r="I40" s="21">
        <f>COUNTIFS(T_Programme[Code installation],$C40,T_Programme[Type opération source],$N40,T_Programme[Périodicité],$F40,T_Programme[Année],I$7)</f>
        <v>0</v>
      </c>
      <c r="J40" s="21">
        <f>COUNTIFS(T_Programme[Code installation],$C40,T_Programme[Type opération source],$N40,T_Programme[Périodicité],$F40,T_Programme[Année],J$7)</f>
        <v>1</v>
      </c>
      <c r="K40" s="21">
        <f>COUNTIFS(T_Programme[Code installation],$C40,T_Programme[Type opération source],$N40,T_Programme[Périodicité],$F40,T_Programme[Année],K$7)</f>
        <v>0</v>
      </c>
      <c r="L40" s="21">
        <f>COUNTIFS(T_Programme[Code installation],$C40,T_Programme[Type opération source],$N40,T_Programme[Périodicité],$F40,T_Programme[Année],L$7)</f>
        <v>0</v>
      </c>
      <c r="M40" s="21">
        <f>COUNTIFS(T_Programme[Code installation],$C40,T_Programme[Type opération source],$N40,T_Programme[Périodicité],$F40,T_Programme[Année],M$7)</f>
        <v>0</v>
      </c>
      <c r="N40" s="18" t="inlineStr">
        <is>
          <t>TYPE_C</t>
        </is>
      </c>
      <c r="O40" s="18" t="str">
        <f>IFERROR(INDEX(T_Referentiel[Statut],MATCH($N40,T_Referentiel[Valeur source],0)),"Absent du référentiel")</f>
        <v>Validé pour démo</v>
      </c>
      <c r="P40" s="18" t="str">
        <f>IF(COUNTIF(G40:M40,"&gt;1")&gt;0,"Doublon potentiel : à confirmer","")</f>
        <v/>
      </c>
    </row>
    <row r="41" ht="18" customHeight="1">
      <c r="A41" s="18" t="inlineStr">
        <is>
          <t>PERIM_A</t>
        </is>
      </c>
      <c r="B41" s="18" t="inlineStr">
        <is>
          <t>GRP_A2</t>
        </is>
      </c>
      <c r="C41" s="18" t="inlineStr">
        <is>
          <t>INST-014</t>
        </is>
      </c>
      <c r="D41" s="18" t="inlineStr">
        <is>
          <t>Installation N1</t>
        </is>
      </c>
      <c r="E41" s="19" t="str">
        <f>IFERROR(INDEX(T_Referentiel[Libellé affiché],MATCH($N41,T_Referentiel[Valeur source],0)),"À confirmer")</f>
        <v>Contrôle annuel</v>
      </c>
      <c r="F41" s="20" t="inlineStr">
        <is>
          <t>1 an</t>
        </is>
      </c>
      <c r="G41" s="21">
        <f>COUNTIFS(T_Programme[Code installation],$C41,T_Programme[Type opération source],$N41,T_Programme[Périodicité],$F41,T_Programme[Année],G$7)</f>
        <v>0</v>
      </c>
      <c r="H41" s="21">
        <f>COUNTIFS(T_Programme[Code installation],$C41,T_Programme[Type opération source],$N41,T_Programme[Périodicité],$F41,T_Programme[Année],H$7)</f>
        <v>1</v>
      </c>
      <c r="I41" s="21">
        <f>COUNTIFS(T_Programme[Code installation],$C41,T_Programme[Type opération source],$N41,T_Programme[Périodicité],$F41,T_Programme[Année],I$7)</f>
        <v>0</v>
      </c>
      <c r="J41" s="21">
        <f>COUNTIFS(T_Programme[Code installation],$C41,T_Programme[Type opération source],$N41,T_Programme[Périodicité],$F41,T_Programme[Année],J$7)</f>
        <v>0</v>
      </c>
      <c r="K41" s="21">
        <f>COUNTIFS(T_Programme[Code installation],$C41,T_Programme[Type opération source],$N41,T_Programme[Périodicité],$F41,T_Programme[Année],K$7)</f>
        <v>0</v>
      </c>
      <c r="L41" s="21">
        <f>COUNTIFS(T_Programme[Code installation],$C41,T_Programme[Type opération source],$N41,T_Programme[Périodicité],$F41,T_Programme[Année],L$7)</f>
        <v>0</v>
      </c>
      <c r="M41" s="21">
        <f>COUNTIFS(T_Programme[Code installation],$C41,T_Programme[Type opération source],$N41,T_Programme[Périodicité],$F41,T_Programme[Année],M$7)</f>
        <v>0</v>
      </c>
      <c r="N41" s="18" t="inlineStr">
        <is>
          <t>TYPE_A</t>
        </is>
      </c>
      <c r="O41" s="18" t="str">
        <f>IFERROR(INDEX(T_Referentiel[Statut],MATCH($N41,T_Referentiel[Valeur source],0)),"Absent du référentiel")</f>
        <v>Validé pour démo</v>
      </c>
      <c r="P41" s="18" t="str">
        <f>IF(COUNTIF(G41:M41,"&gt;1")&gt;0,"Doublon potentiel : à confirmer","")</f>
        <v/>
      </c>
    </row>
    <row r="42" ht="18" customHeight="1">
      <c r="A42" s="18" t="inlineStr">
        <is>
          <t>PERIM_A</t>
        </is>
      </c>
      <c r="B42" s="18" t="inlineStr">
        <is>
          <t>GRP_A2</t>
        </is>
      </c>
      <c r="C42" s="18" t="inlineStr">
        <is>
          <t>INST-014</t>
        </is>
      </c>
      <c r="D42" s="18" t="inlineStr">
        <is>
          <t>Installation N1</t>
        </is>
      </c>
      <c r="E42" s="19" t="str">
        <f>IFERROR(INDEX(T_Referentiel[Libellé affiché],MATCH($N42,T_Referentiel[Valeur source],0)),"À confirmer")</f>
        <v>Contrôle filtre</v>
      </c>
      <c r="F42" s="20" t="inlineStr">
        <is>
          <t>3 ans</t>
        </is>
      </c>
      <c r="G42" s="21">
        <f>COUNTIFS(T_Programme[Code installation],$C42,T_Programme[Type opération source],$N42,T_Programme[Périodicité],$F42,T_Programme[Année],G$7)</f>
        <v>0</v>
      </c>
      <c r="H42" s="21">
        <f>COUNTIFS(T_Programme[Code installation],$C42,T_Programme[Type opération source],$N42,T_Programme[Périodicité],$F42,T_Programme[Année],H$7)</f>
        <v>0</v>
      </c>
      <c r="I42" s="21">
        <f>COUNTIFS(T_Programme[Code installation],$C42,T_Programme[Type opération source],$N42,T_Programme[Périodicité],$F42,T_Programme[Année],I$7)</f>
        <v>0</v>
      </c>
      <c r="J42" s="21">
        <f>COUNTIFS(T_Programme[Code installation],$C42,T_Programme[Type opération source],$N42,T_Programme[Périodicité],$F42,T_Programme[Année],J$7)</f>
        <v>1</v>
      </c>
      <c r="K42" s="21">
        <f>COUNTIFS(T_Programme[Code installation],$C42,T_Programme[Type opération source],$N42,T_Programme[Périodicité],$F42,T_Programme[Année],K$7)</f>
        <v>0</v>
      </c>
      <c r="L42" s="21">
        <f>COUNTIFS(T_Programme[Code installation],$C42,T_Programme[Type opération source],$N42,T_Programme[Périodicité],$F42,T_Programme[Année],L$7)</f>
        <v>0</v>
      </c>
      <c r="M42" s="21">
        <f>COUNTIFS(T_Programme[Code installation],$C42,T_Programme[Type opération source],$N42,T_Programme[Périodicité],$F42,T_Programme[Année],M$7)</f>
        <v>0</v>
      </c>
      <c r="N42" s="18" t="inlineStr">
        <is>
          <t>TYPE_C</t>
        </is>
      </c>
      <c r="O42" s="18" t="str">
        <f>IFERROR(INDEX(T_Referentiel[Statut],MATCH($N42,T_Referentiel[Valeur source],0)),"Absent du référentiel")</f>
        <v>Validé pour démo</v>
      </c>
      <c r="P42" s="18" t="str">
        <f>IF(COUNTIF(G42:M42,"&gt;1")&gt;0,"Doublon potentiel : à confirmer","")</f>
        <v/>
      </c>
    </row>
    <row r="43" ht="18" customHeight="1">
      <c r="A43" s="18" t="inlineStr">
        <is>
          <t>PERIM_A</t>
        </is>
      </c>
      <c r="B43" s="18" t="inlineStr">
        <is>
          <t>GRP_A2</t>
        </is>
      </c>
      <c r="C43" s="18" t="inlineStr">
        <is>
          <t>INST-014</t>
        </is>
      </c>
      <c r="D43" s="18" t="inlineStr">
        <is>
          <t>Installation N1</t>
        </is>
      </c>
      <c r="E43" s="19" t="str">
        <f>IFERROR(INDEX(T_Referentiel[Libellé affiché],MATCH($N43,T_Referentiel[Valeur source],0)),"À confirmer")</f>
        <v>Révision</v>
      </c>
      <c r="F43" s="20" t="inlineStr">
        <is>
          <t>6 ans</t>
        </is>
      </c>
      <c r="G43" s="21">
        <f>COUNTIFS(T_Programme[Code installation],$C43,T_Programme[Type opération source],$N43,T_Programme[Périodicité],$F43,T_Programme[Année],G$7)</f>
        <v>0</v>
      </c>
      <c r="H43" s="21">
        <f>COUNTIFS(T_Programme[Code installation],$C43,T_Programme[Type opération source],$N43,T_Programme[Périodicité],$F43,T_Programme[Année],H$7)</f>
        <v>0</v>
      </c>
      <c r="I43" s="21">
        <f>COUNTIFS(T_Programme[Code installation],$C43,T_Programme[Type opération source],$N43,T_Programme[Périodicité],$F43,T_Programme[Année],I$7)</f>
        <v>0</v>
      </c>
      <c r="J43" s="21">
        <f>COUNTIFS(T_Programme[Code installation],$C43,T_Programme[Type opération source],$N43,T_Programme[Périodicité],$F43,T_Programme[Année],J$7)</f>
        <v>1</v>
      </c>
      <c r="K43" s="21">
        <f>COUNTIFS(T_Programme[Code installation],$C43,T_Programme[Type opération source],$N43,T_Programme[Périodicité],$F43,T_Programme[Année],K$7)</f>
        <v>0</v>
      </c>
      <c r="L43" s="21">
        <f>COUNTIFS(T_Programme[Code installation],$C43,T_Programme[Type opération source],$N43,T_Programme[Périodicité],$F43,T_Programme[Année],L$7)</f>
        <v>0</v>
      </c>
      <c r="M43" s="21">
        <f>COUNTIFS(T_Programme[Code installation],$C43,T_Programme[Type opération source],$N43,T_Programme[Périodicité],$F43,T_Programme[Année],M$7)</f>
        <v>0</v>
      </c>
      <c r="N43" s="18" t="inlineStr">
        <is>
          <t>TYPE_D</t>
        </is>
      </c>
      <c r="O43" s="18" t="str">
        <f>IFERROR(INDEX(T_Referentiel[Statut],MATCH($N43,T_Referentiel[Valeur source],0)),"Absent du référentiel")</f>
        <v>Validé pour démo</v>
      </c>
      <c r="P43" s="18" t="str">
        <f>IF(COUNTIF(G43:M43,"&gt;1")&gt;0,"Doublon potentiel : à confirmer","")</f>
        <v/>
      </c>
    </row>
    <row r="44" ht="18" customHeight="1">
      <c r="A44" s="18" t="inlineStr">
        <is>
          <t>PERIM_A</t>
        </is>
      </c>
      <c r="B44" s="18" t="inlineStr">
        <is>
          <t>GRP_A2</t>
        </is>
      </c>
      <c r="C44" s="18" t="inlineStr">
        <is>
          <t>INST-015</t>
        </is>
      </c>
      <c r="D44" s="18" t="inlineStr">
        <is>
          <t>Installation O1</t>
        </is>
      </c>
      <c r="E44" s="19" t="str">
        <f>IFERROR(INDEX(T_Referentiel[Libellé affiché],MATCH($N44,T_Referentiel[Valeur source],0)),"À confirmer")</f>
        <v>Contrôle annuel</v>
      </c>
      <c r="F44" s="20" t="inlineStr">
        <is>
          <t>1 an</t>
        </is>
      </c>
      <c r="G44" s="21">
        <f>COUNTIFS(T_Programme[Code installation],$C44,T_Programme[Type opération source],$N44,T_Programme[Périodicité],$F44,T_Programme[Année],G$7)</f>
        <v>0</v>
      </c>
      <c r="H44" s="21">
        <f>COUNTIFS(T_Programme[Code installation],$C44,T_Programme[Type opération source],$N44,T_Programme[Périodicité],$F44,T_Programme[Année],H$7)</f>
        <v>1</v>
      </c>
      <c r="I44" s="21">
        <f>COUNTIFS(T_Programme[Code installation],$C44,T_Programme[Type opération source],$N44,T_Programme[Périodicité],$F44,T_Programme[Année],I$7)</f>
        <v>0</v>
      </c>
      <c r="J44" s="21">
        <f>COUNTIFS(T_Programme[Code installation],$C44,T_Programme[Type opération source],$N44,T_Programme[Périodicité],$F44,T_Programme[Année],J$7)</f>
        <v>0</v>
      </c>
      <c r="K44" s="21">
        <f>COUNTIFS(T_Programme[Code installation],$C44,T_Programme[Type opération source],$N44,T_Programme[Périodicité],$F44,T_Programme[Année],K$7)</f>
        <v>0</v>
      </c>
      <c r="L44" s="21">
        <f>COUNTIFS(T_Programme[Code installation],$C44,T_Programme[Type opération source],$N44,T_Programme[Périodicité],$F44,T_Programme[Année],L$7)</f>
        <v>0</v>
      </c>
      <c r="M44" s="21">
        <f>COUNTIFS(T_Programme[Code installation],$C44,T_Programme[Type opération source],$N44,T_Programme[Périodicité],$F44,T_Programme[Année],M$7)</f>
        <v>0</v>
      </c>
      <c r="N44" s="18" t="inlineStr">
        <is>
          <t>TYPE_A</t>
        </is>
      </c>
      <c r="O44" s="18" t="str">
        <f>IFERROR(INDEX(T_Referentiel[Statut],MATCH($N44,T_Referentiel[Valeur source],0)),"Absent du référentiel")</f>
        <v>Validé pour démo</v>
      </c>
      <c r="P44" s="18" t="str">
        <f>IF(COUNTIF(G44:M44,"&gt;1")&gt;0,"Doublon potentiel : à confirmer","")</f>
        <v/>
      </c>
    </row>
    <row r="45" ht="18" customHeight="1">
      <c r="A45" s="18" t="inlineStr">
        <is>
          <t>PERIM_A</t>
        </is>
      </c>
      <c r="B45" s="18" t="inlineStr">
        <is>
          <t>GRP_A2</t>
        </is>
      </c>
      <c r="C45" s="18" t="inlineStr">
        <is>
          <t>INST-015</t>
        </is>
      </c>
      <c r="D45" s="18" t="inlineStr">
        <is>
          <t>Installation O1</t>
        </is>
      </c>
      <c r="E45" s="19" t="str">
        <f>IFERROR(INDEX(T_Referentiel[Libellé affiché],MATCH($N45,T_Referentiel[Valeur source],0)),"À confirmer")</f>
        <v>Essai de conformité</v>
      </c>
      <c r="F45" s="20" t="inlineStr">
        <is>
          <t>2 ans</t>
        </is>
      </c>
      <c r="G45" s="21">
        <f>COUNTIFS(T_Programme[Code installation],$C45,T_Programme[Type opération source],$N45,T_Programme[Périodicité],$F45,T_Programme[Année],G$7)</f>
        <v>0</v>
      </c>
      <c r="H45" s="21">
        <f>COUNTIFS(T_Programme[Code installation],$C45,T_Programme[Type opération source],$N45,T_Programme[Périodicité],$F45,T_Programme[Année],H$7)</f>
        <v>1</v>
      </c>
      <c r="I45" s="21">
        <f>COUNTIFS(T_Programme[Code installation],$C45,T_Programme[Type opération source],$N45,T_Programme[Périodicité],$F45,T_Programme[Année],I$7)</f>
        <v>0</v>
      </c>
      <c r="J45" s="21">
        <f>COUNTIFS(T_Programme[Code installation],$C45,T_Programme[Type opération source],$N45,T_Programme[Périodicité],$F45,T_Programme[Année],J$7)</f>
        <v>0</v>
      </c>
      <c r="K45" s="21">
        <f>COUNTIFS(T_Programme[Code installation],$C45,T_Programme[Type opération source],$N45,T_Programme[Périodicité],$F45,T_Programme[Année],K$7)</f>
        <v>0</v>
      </c>
      <c r="L45" s="21">
        <f>COUNTIFS(T_Programme[Code installation],$C45,T_Programme[Type opération source],$N45,T_Programme[Périodicité],$F45,T_Programme[Année],L$7)</f>
        <v>0</v>
      </c>
      <c r="M45" s="21">
        <f>COUNTIFS(T_Programme[Code installation],$C45,T_Programme[Type opération source],$N45,T_Programme[Périodicité],$F45,T_Programme[Année],M$7)</f>
        <v>1</v>
      </c>
      <c r="N45" s="18" t="inlineStr">
        <is>
          <t>TYPE_B</t>
        </is>
      </c>
      <c r="O45" s="18" t="str">
        <f>IFERROR(INDEX(T_Referentiel[Statut],MATCH($N45,T_Referentiel[Valeur source],0)),"Absent du référentiel")</f>
        <v>Validé pour démo</v>
      </c>
      <c r="P45" s="18" t="str">
        <f>IF(COUNTIF(G45:M45,"&gt;1")&gt;0,"Doublon potentiel : à confirmer","")</f>
        <v/>
      </c>
    </row>
    <row r="46" ht="18" customHeight="1">
      <c r="A46" s="18" t="inlineStr">
        <is>
          <t>PERIM_A</t>
        </is>
      </c>
      <c r="B46" s="18" t="inlineStr">
        <is>
          <t>GRP_A2</t>
        </is>
      </c>
      <c r="C46" s="18" t="inlineStr">
        <is>
          <t>INST-015</t>
        </is>
      </c>
      <c r="D46" s="18" t="inlineStr">
        <is>
          <t>Installation O1</t>
        </is>
      </c>
      <c r="E46" s="19" t="str">
        <f>IFERROR(INDEX(T_Referentiel[Libellé affiché],MATCH($N46,T_Referentiel[Valeur source],0)),"À confirmer")</f>
        <v>Contrôle filtre</v>
      </c>
      <c r="F46" s="20" t="inlineStr">
        <is>
          <t>3 ans</t>
        </is>
      </c>
      <c r="G46" s="21">
        <f>COUNTIFS(T_Programme[Code installation],$C46,T_Programme[Type opération source],$N46,T_Programme[Périodicité],$F46,T_Programme[Année],G$7)</f>
        <v>0</v>
      </c>
      <c r="H46" s="21">
        <f>COUNTIFS(T_Programme[Code installation],$C46,T_Programme[Type opération source],$N46,T_Programme[Périodicité],$F46,T_Programme[Année],H$7)</f>
        <v>0</v>
      </c>
      <c r="I46" s="21">
        <f>COUNTIFS(T_Programme[Code installation],$C46,T_Programme[Type opération source],$N46,T_Programme[Périodicité],$F46,T_Programme[Année],I$7)</f>
        <v>0</v>
      </c>
      <c r="J46" s="21">
        <f>COUNTIFS(T_Programme[Code installation],$C46,T_Programme[Type opération source],$N46,T_Programme[Périodicité],$F46,T_Programme[Année],J$7)</f>
        <v>0</v>
      </c>
      <c r="K46" s="21">
        <f>COUNTIFS(T_Programme[Code installation],$C46,T_Programme[Type opération source],$N46,T_Programme[Périodicité],$F46,T_Programme[Année],K$7)</f>
        <v>1</v>
      </c>
      <c r="L46" s="21">
        <f>COUNTIFS(T_Programme[Code installation],$C46,T_Programme[Type opération source],$N46,T_Programme[Périodicité],$F46,T_Programme[Année],L$7)</f>
        <v>0</v>
      </c>
      <c r="M46" s="21">
        <f>COUNTIFS(T_Programme[Code installation],$C46,T_Programme[Type opération source],$N46,T_Programme[Périodicité],$F46,T_Programme[Année],M$7)</f>
        <v>0</v>
      </c>
      <c r="N46" s="18" t="inlineStr">
        <is>
          <t>TYPE_C</t>
        </is>
      </c>
      <c r="O46" s="18" t="str">
        <f>IFERROR(INDEX(T_Referentiel[Statut],MATCH($N46,T_Referentiel[Valeur source],0)),"Absent du référentiel")</f>
        <v>Validé pour démo</v>
      </c>
      <c r="P46" s="18" t="str">
        <f>IF(COUNTIF(G46:M46,"&gt;1")&gt;0,"Doublon potentiel : à confirmer","")</f>
        <v/>
      </c>
    </row>
    <row r="47" ht="18" customHeight="1">
      <c r="A47" s="18" t="inlineStr">
        <is>
          <t>PERIM_A</t>
        </is>
      </c>
      <c r="B47" s="18" t="inlineStr">
        <is>
          <t>GRP_A2</t>
        </is>
      </c>
      <c r="C47" s="18" t="inlineStr">
        <is>
          <t>INST-016</t>
        </is>
      </c>
      <c r="D47" s="18" t="inlineStr">
        <is>
          <t>Installation P1</t>
        </is>
      </c>
      <c r="E47" s="19" t="str">
        <f>IFERROR(INDEX(T_Referentiel[Libellé affiché],MATCH($N47,T_Referentiel[Valeur source],0)),"À confirmer")</f>
        <v>Contrôle annuel</v>
      </c>
      <c r="F47" s="20" t="inlineStr">
        <is>
          <t>1 an</t>
        </is>
      </c>
      <c r="G47" s="21">
        <f>COUNTIFS(T_Programme[Code installation],$C47,T_Programme[Type opération source],$N47,T_Programme[Périodicité],$F47,T_Programme[Année],G$7)</f>
        <v>0</v>
      </c>
      <c r="H47" s="21">
        <f>COUNTIFS(T_Programme[Code installation],$C47,T_Programme[Type opération source],$N47,T_Programme[Périodicité],$F47,T_Programme[Année],H$7)</f>
        <v>1</v>
      </c>
      <c r="I47" s="21">
        <f>COUNTIFS(T_Programme[Code installation],$C47,T_Programme[Type opération source],$N47,T_Programme[Périodicité],$F47,T_Programme[Année],I$7)</f>
        <v>0</v>
      </c>
      <c r="J47" s="21">
        <f>COUNTIFS(T_Programme[Code installation],$C47,T_Programme[Type opération source],$N47,T_Programme[Périodicité],$F47,T_Programme[Année],J$7)</f>
        <v>0</v>
      </c>
      <c r="K47" s="21">
        <f>COUNTIFS(T_Programme[Code installation],$C47,T_Programme[Type opération source],$N47,T_Programme[Périodicité],$F47,T_Programme[Année],K$7)</f>
        <v>0</v>
      </c>
      <c r="L47" s="21">
        <f>COUNTIFS(T_Programme[Code installation],$C47,T_Programme[Type opération source],$N47,T_Programme[Périodicité],$F47,T_Programme[Année],L$7)</f>
        <v>0</v>
      </c>
      <c r="M47" s="21">
        <f>COUNTIFS(T_Programme[Code installation],$C47,T_Programme[Type opération source],$N47,T_Programme[Périodicité],$F47,T_Programme[Année],M$7)</f>
        <v>0</v>
      </c>
      <c r="N47" s="18" t="inlineStr">
        <is>
          <t>TYPE_A</t>
        </is>
      </c>
      <c r="O47" s="18" t="str">
        <f>IFERROR(INDEX(T_Referentiel[Statut],MATCH($N47,T_Referentiel[Valeur source],0)),"Absent du référentiel")</f>
        <v>Validé pour démo</v>
      </c>
      <c r="P47" s="18" t="str">
        <f>IF(COUNTIF(G47:M47,"&gt;1")&gt;0,"Doublon potentiel : à confirmer","")</f>
        <v/>
      </c>
    </row>
    <row r="48" ht="18" customHeight="1">
      <c r="A48" s="18" t="inlineStr">
        <is>
          <t>PERIM_A</t>
        </is>
      </c>
      <c r="B48" s="18" t="inlineStr">
        <is>
          <t>GRP_A2</t>
        </is>
      </c>
      <c r="C48" s="18" t="inlineStr">
        <is>
          <t>INST-016</t>
        </is>
      </c>
      <c r="D48" s="18" t="inlineStr">
        <is>
          <t>Installation P1</t>
        </is>
      </c>
      <c r="E48" s="19" t="str">
        <f>IFERROR(INDEX(T_Referentiel[Libellé affiché],MATCH($N48,T_Referentiel[Valeur source],0)),"À confirmer")</f>
        <v>Essai de conformité</v>
      </c>
      <c r="F48" s="20" t="inlineStr">
        <is>
          <t>2 ans</t>
        </is>
      </c>
      <c r="G48" s="21">
        <f>COUNTIFS(T_Programme[Code installation],$C48,T_Programme[Type opération source],$N48,T_Programme[Périodicité],$F48,T_Programme[Année],G$7)</f>
        <v>1</v>
      </c>
      <c r="H48" s="21">
        <f>COUNTIFS(T_Programme[Code installation],$C48,T_Programme[Type opération source],$N48,T_Programme[Périodicité],$F48,T_Programme[Année],H$7)</f>
        <v>0</v>
      </c>
      <c r="I48" s="21">
        <f>COUNTIFS(T_Programme[Code installation],$C48,T_Programme[Type opération source],$N48,T_Programme[Périodicité],$F48,T_Programme[Année],I$7)</f>
        <v>0</v>
      </c>
      <c r="J48" s="21">
        <f>COUNTIFS(T_Programme[Code installation],$C48,T_Programme[Type opération source],$N48,T_Programme[Périodicité],$F48,T_Programme[Année],J$7)</f>
        <v>0</v>
      </c>
      <c r="K48" s="21">
        <f>COUNTIFS(T_Programme[Code installation],$C48,T_Programme[Type opération source],$N48,T_Programme[Périodicité],$F48,T_Programme[Année],K$7)</f>
        <v>0</v>
      </c>
      <c r="L48" s="21">
        <f>COUNTIFS(T_Programme[Code installation],$C48,T_Programme[Type opération source],$N48,T_Programme[Périodicité],$F48,T_Programme[Année],L$7)</f>
        <v>0</v>
      </c>
      <c r="M48" s="21">
        <f>COUNTIFS(T_Programme[Code installation],$C48,T_Programme[Type opération source],$N48,T_Programme[Périodicité],$F48,T_Programme[Année],M$7)</f>
        <v>0</v>
      </c>
      <c r="N48" s="18" t="inlineStr">
        <is>
          <t>TYPE_B</t>
        </is>
      </c>
      <c r="O48" s="18" t="str">
        <f>IFERROR(INDEX(T_Referentiel[Statut],MATCH($N48,T_Referentiel[Valeur source],0)),"Absent du référentiel")</f>
        <v>Validé pour démo</v>
      </c>
      <c r="P48" s="18" t="str">
        <f>IF(COUNTIF(G48:M48,"&gt;1")&gt;0,"Doublon potentiel : à confirmer","")</f>
        <v/>
      </c>
    </row>
    <row r="49" ht="18" customHeight="1">
      <c r="A49" s="18" t="inlineStr">
        <is>
          <t>PERIM_B</t>
        </is>
      </c>
      <c r="B49" s="18" t="inlineStr">
        <is>
          <t>GRP_B1</t>
        </is>
      </c>
      <c r="C49" s="18" t="inlineStr">
        <is>
          <t>INST-017</t>
        </is>
      </c>
      <c r="D49" s="18" t="inlineStr">
        <is>
          <t>Installation Q1</t>
        </is>
      </c>
      <c r="E49" s="19" t="str">
        <f>IFERROR(INDEX(T_Referentiel[Libellé affiché],MATCH($N49,T_Referentiel[Valeur source],0)),"À confirmer")</f>
        <v>Révision</v>
      </c>
      <c r="F49" s="20" t="inlineStr">
        <is>
          <t>6 ans</t>
        </is>
      </c>
      <c r="G49" s="21">
        <f>COUNTIFS(T_Programme[Code installation],$C49,T_Programme[Type opération source],$N49,T_Programme[Périodicité],$F49,T_Programme[Année],G$7)</f>
        <v>0</v>
      </c>
      <c r="H49" s="21">
        <f>COUNTIFS(T_Programme[Code installation],$C49,T_Programme[Type opération source],$N49,T_Programme[Périodicité],$F49,T_Programme[Année],H$7)</f>
        <v>1</v>
      </c>
      <c r="I49" s="21">
        <f>COUNTIFS(T_Programme[Code installation],$C49,T_Programme[Type opération source],$N49,T_Programme[Périodicité],$F49,T_Programme[Année],I$7)</f>
        <v>0</v>
      </c>
      <c r="J49" s="21">
        <f>COUNTIFS(T_Programme[Code installation],$C49,T_Programme[Type opération source],$N49,T_Programme[Périodicité],$F49,T_Programme[Année],J$7)</f>
        <v>1</v>
      </c>
      <c r="K49" s="21">
        <f>COUNTIFS(T_Programme[Code installation],$C49,T_Programme[Type opération source],$N49,T_Programme[Périodicité],$F49,T_Programme[Année],K$7)</f>
        <v>0</v>
      </c>
      <c r="L49" s="21">
        <f>COUNTIFS(T_Programme[Code installation],$C49,T_Programme[Type opération source],$N49,T_Programme[Périodicité],$F49,T_Programme[Année],L$7)</f>
        <v>0</v>
      </c>
      <c r="M49" s="21">
        <f>COUNTIFS(T_Programme[Code installation],$C49,T_Programme[Type opération source],$N49,T_Programme[Périodicité],$F49,T_Programme[Année],M$7)</f>
        <v>0</v>
      </c>
      <c r="N49" s="18" t="inlineStr">
        <is>
          <t>TYPE_D</t>
        </is>
      </c>
      <c r="O49" s="18" t="str">
        <f>IFERROR(INDEX(T_Referentiel[Statut],MATCH($N49,T_Referentiel[Valeur source],0)),"Absent du référentiel")</f>
        <v>Validé pour démo</v>
      </c>
      <c r="P49" s="18" t="str">
        <f>IF(COUNTIF(G49:M49,"&gt;1")&gt;0,"Doublon potentiel : à confirmer","")</f>
        <v/>
      </c>
    </row>
    <row r="50" ht="18" customHeight="1">
      <c r="A50" s="18" t="inlineStr">
        <is>
          <t>PERIM_B</t>
        </is>
      </c>
      <c r="B50" s="18" t="inlineStr">
        <is>
          <t>GRP_B1</t>
        </is>
      </c>
      <c r="C50" s="18" t="inlineStr">
        <is>
          <t>INST-018</t>
        </is>
      </c>
      <c r="D50" s="18" t="inlineStr">
        <is>
          <t>Installation R1</t>
        </is>
      </c>
      <c r="E50" s="19" t="str">
        <f>IFERROR(INDEX(T_Referentiel[Libellé affiché],MATCH($N50,T_Referentiel[Valeur source],0)),"À confirmer")</f>
        <v>Contrôle annuel</v>
      </c>
      <c r="F50" s="20" t="inlineStr">
        <is>
          <t>1 an</t>
        </is>
      </c>
      <c r="G50" s="21">
        <f>COUNTIFS(T_Programme[Code installation],$C50,T_Programme[Type opération source],$N50,T_Programme[Périodicité],$F50,T_Programme[Année],G$7)</f>
        <v>0</v>
      </c>
      <c r="H50" s="21">
        <f>COUNTIFS(T_Programme[Code installation],$C50,T_Programme[Type opération source],$N50,T_Programme[Périodicité],$F50,T_Programme[Année],H$7)</f>
        <v>0</v>
      </c>
      <c r="I50" s="21">
        <f>COUNTIFS(T_Programme[Code installation],$C50,T_Programme[Type opération source],$N50,T_Programme[Périodicité],$F50,T_Programme[Année],I$7)</f>
        <v>0</v>
      </c>
      <c r="J50" s="21">
        <f>COUNTIFS(T_Programme[Code installation],$C50,T_Programme[Type opération source],$N50,T_Programme[Périodicité],$F50,T_Programme[Année],J$7)</f>
        <v>1</v>
      </c>
      <c r="K50" s="21">
        <f>COUNTIFS(T_Programme[Code installation],$C50,T_Programme[Type opération source],$N50,T_Programme[Périodicité],$F50,T_Programme[Année],K$7)</f>
        <v>0</v>
      </c>
      <c r="L50" s="21">
        <f>COUNTIFS(T_Programme[Code installation],$C50,T_Programme[Type opération source],$N50,T_Programme[Périodicité],$F50,T_Programme[Année],L$7)</f>
        <v>0</v>
      </c>
      <c r="M50" s="21">
        <f>COUNTIFS(T_Programme[Code installation],$C50,T_Programme[Type opération source],$N50,T_Programme[Périodicité],$F50,T_Programme[Année],M$7)</f>
        <v>0</v>
      </c>
      <c r="N50" s="18" t="inlineStr">
        <is>
          <t>TYPE_A</t>
        </is>
      </c>
      <c r="O50" s="18" t="str">
        <f>IFERROR(INDEX(T_Referentiel[Statut],MATCH($N50,T_Referentiel[Valeur source],0)),"Absent du référentiel")</f>
        <v>Validé pour démo</v>
      </c>
      <c r="P50" s="18" t="str">
        <f>IF(COUNTIF(G50:M50,"&gt;1")&gt;0,"Doublon potentiel : à confirmer","")</f>
        <v/>
      </c>
    </row>
    <row r="51" ht="18" customHeight="1">
      <c r="A51" s="18" t="inlineStr">
        <is>
          <t>PERIM_B</t>
        </is>
      </c>
      <c r="B51" s="18" t="inlineStr">
        <is>
          <t>GRP_B1</t>
        </is>
      </c>
      <c r="C51" s="18" t="inlineStr">
        <is>
          <t>INST-018</t>
        </is>
      </c>
      <c r="D51" s="18" t="inlineStr">
        <is>
          <t>Installation R1</t>
        </is>
      </c>
      <c r="E51" s="19" t="str">
        <f>IFERROR(INDEX(T_Referentiel[Libellé affiché],MATCH($N51,T_Referentiel[Valeur source],0)),"À confirmer")</f>
        <v>Essai de conformité</v>
      </c>
      <c r="F51" s="20" t="inlineStr">
        <is>
          <t>2 ans</t>
        </is>
      </c>
      <c r="G51" s="21">
        <f>COUNTIFS(T_Programme[Code installation],$C51,T_Programme[Type opération source],$N51,T_Programme[Périodicité],$F51,T_Programme[Année],G$7)</f>
        <v>0</v>
      </c>
      <c r="H51" s="21">
        <f>COUNTIFS(T_Programme[Code installation],$C51,T_Programme[Type opération source],$N51,T_Programme[Périodicité],$F51,T_Programme[Année],H$7)</f>
        <v>1</v>
      </c>
      <c r="I51" s="21">
        <f>COUNTIFS(T_Programme[Code installation],$C51,T_Programme[Type opération source],$N51,T_Programme[Périodicité],$F51,T_Programme[Année],I$7)</f>
        <v>0</v>
      </c>
      <c r="J51" s="21">
        <f>COUNTIFS(T_Programme[Code installation],$C51,T_Programme[Type opération source],$N51,T_Programme[Périodicité],$F51,T_Programme[Année],J$7)</f>
        <v>0</v>
      </c>
      <c r="K51" s="21">
        <f>COUNTIFS(T_Programme[Code installation],$C51,T_Programme[Type opération source],$N51,T_Programme[Périodicité],$F51,T_Programme[Année],K$7)</f>
        <v>0</v>
      </c>
      <c r="L51" s="21">
        <f>COUNTIFS(T_Programme[Code installation],$C51,T_Programme[Type opération source],$N51,T_Programme[Périodicité],$F51,T_Programme[Année],L$7)</f>
        <v>0</v>
      </c>
      <c r="M51" s="21">
        <f>COUNTIFS(T_Programme[Code installation],$C51,T_Programme[Type opération source],$N51,T_Programme[Périodicité],$F51,T_Programme[Année],M$7)</f>
        <v>0</v>
      </c>
      <c r="N51" s="18" t="inlineStr">
        <is>
          <t>TYPE_B</t>
        </is>
      </c>
      <c r="O51" s="18" t="str">
        <f>IFERROR(INDEX(T_Referentiel[Statut],MATCH($N51,T_Referentiel[Valeur source],0)),"Absent du référentiel")</f>
        <v>Validé pour démo</v>
      </c>
      <c r="P51" s="18" t="str">
        <f>IF(COUNTIF(G51:M51,"&gt;1")&gt;0,"Doublon potentiel : à confirmer","")</f>
        <v/>
      </c>
    </row>
    <row r="52" ht="18" customHeight="1">
      <c r="A52" s="18" t="inlineStr">
        <is>
          <t>PERIM_B</t>
        </is>
      </c>
      <c r="B52" s="18" t="inlineStr">
        <is>
          <t>GRP_B1</t>
        </is>
      </c>
      <c r="C52" s="18" t="inlineStr">
        <is>
          <t>INST-018</t>
        </is>
      </c>
      <c r="D52" s="18" t="inlineStr">
        <is>
          <t>Installation R1</t>
        </is>
      </c>
      <c r="E52" s="19" t="str">
        <f>IFERROR(INDEX(T_Referentiel[Libellé affiché],MATCH($N52,T_Referentiel[Valeur source],0)),"À confirmer")</f>
        <v>Contrôle filtre</v>
      </c>
      <c r="F52" s="20" t="inlineStr">
        <is>
          <t>3 ans</t>
        </is>
      </c>
      <c r="G52" s="21">
        <f>COUNTIFS(T_Programme[Code installation],$C52,T_Programme[Type opération source],$N52,T_Programme[Périodicité],$F52,T_Programme[Année],G$7)</f>
        <v>0</v>
      </c>
      <c r="H52" s="21">
        <f>COUNTIFS(T_Programme[Code installation],$C52,T_Programme[Type opération source],$N52,T_Programme[Périodicité],$F52,T_Programme[Année],H$7)</f>
        <v>0</v>
      </c>
      <c r="I52" s="21">
        <f>COUNTIFS(T_Programme[Code installation],$C52,T_Programme[Type opération source],$N52,T_Programme[Périodicité],$F52,T_Programme[Année],I$7)</f>
        <v>0</v>
      </c>
      <c r="J52" s="21">
        <f>COUNTIFS(T_Programme[Code installation],$C52,T_Programme[Type opération source],$N52,T_Programme[Périodicité],$F52,T_Programme[Année],J$7)</f>
        <v>0</v>
      </c>
      <c r="K52" s="21">
        <f>COUNTIFS(T_Programme[Code installation],$C52,T_Programme[Type opération source],$N52,T_Programme[Périodicité],$F52,T_Programme[Année],K$7)</f>
        <v>0</v>
      </c>
      <c r="L52" s="21">
        <f>COUNTIFS(T_Programme[Code installation],$C52,T_Programme[Type opération source],$N52,T_Programme[Périodicité],$F52,T_Programme[Année],L$7)</f>
        <v>1</v>
      </c>
      <c r="M52" s="21">
        <f>COUNTIFS(T_Programme[Code installation],$C52,T_Programme[Type opération source],$N52,T_Programme[Périodicité],$F52,T_Programme[Année],M$7)</f>
        <v>0</v>
      </c>
      <c r="N52" s="18" t="inlineStr">
        <is>
          <t>TYPE_C</t>
        </is>
      </c>
      <c r="O52" s="18" t="str">
        <f>IFERROR(INDEX(T_Referentiel[Statut],MATCH($N52,T_Referentiel[Valeur source],0)),"Absent du référentiel")</f>
        <v>Validé pour démo</v>
      </c>
      <c r="P52" s="18" t="str">
        <f>IF(COUNTIF(G52:M52,"&gt;1")&gt;0,"Doublon potentiel : à confirmer","")</f>
        <v/>
      </c>
    </row>
    <row r="53" ht="18" customHeight="1">
      <c r="A53" s="18" t="inlineStr">
        <is>
          <t>PERIM_B</t>
        </is>
      </c>
      <c r="B53" s="18" t="inlineStr">
        <is>
          <t>GRP_B1</t>
        </is>
      </c>
      <c r="C53" s="18" t="inlineStr">
        <is>
          <t>INST-018</t>
        </is>
      </c>
      <c r="D53" s="18" t="inlineStr">
        <is>
          <t>Installation R1</t>
        </is>
      </c>
      <c r="E53" s="19" t="str">
        <f>IFERROR(INDEX(T_Referentiel[Libellé affiché],MATCH($N53,T_Referentiel[Valeur source],0)),"À confirmer")</f>
        <v>Révision</v>
      </c>
      <c r="F53" s="20" t="inlineStr">
        <is>
          <t>6 ans</t>
        </is>
      </c>
      <c r="G53" s="21">
        <f>COUNTIFS(T_Programme[Code installation],$C53,T_Programme[Type opération source],$N53,T_Programme[Périodicité],$F53,T_Programme[Année],G$7)</f>
        <v>0</v>
      </c>
      <c r="H53" s="21">
        <f>COUNTIFS(T_Programme[Code installation],$C53,T_Programme[Type opération source],$N53,T_Programme[Périodicité],$F53,T_Programme[Année],H$7)</f>
        <v>1</v>
      </c>
      <c r="I53" s="21">
        <f>COUNTIFS(T_Programme[Code installation],$C53,T_Programme[Type opération source],$N53,T_Programme[Périodicité],$F53,T_Programme[Année],I$7)</f>
        <v>0</v>
      </c>
      <c r="J53" s="21">
        <f>COUNTIFS(T_Programme[Code installation],$C53,T_Programme[Type opération source],$N53,T_Programme[Périodicité],$F53,T_Programme[Année],J$7)</f>
        <v>0</v>
      </c>
      <c r="K53" s="21">
        <f>COUNTIFS(T_Programme[Code installation],$C53,T_Programme[Type opération source],$N53,T_Programme[Périodicité],$F53,T_Programme[Année],K$7)</f>
        <v>0</v>
      </c>
      <c r="L53" s="21">
        <f>COUNTIFS(T_Programme[Code installation],$C53,T_Programme[Type opération source],$N53,T_Programme[Périodicité],$F53,T_Programme[Année],L$7)</f>
        <v>0</v>
      </c>
      <c r="M53" s="21">
        <f>COUNTIFS(T_Programme[Code installation],$C53,T_Programme[Type opération source],$N53,T_Programme[Périodicité],$F53,T_Programme[Année],M$7)</f>
        <v>0</v>
      </c>
      <c r="N53" s="18" t="inlineStr">
        <is>
          <t>TYPE_D</t>
        </is>
      </c>
      <c r="O53" s="18" t="str">
        <f>IFERROR(INDEX(T_Referentiel[Statut],MATCH($N53,T_Referentiel[Valeur source],0)),"Absent du référentiel")</f>
        <v>Validé pour démo</v>
      </c>
      <c r="P53" s="18" t="str">
        <f>IF(COUNTIF(G53:M53,"&gt;1")&gt;0,"Doublon potentiel : à confirmer","")</f>
        <v/>
      </c>
    </row>
    <row r="54" ht="18" customHeight="1">
      <c r="A54" s="18" t="inlineStr">
        <is>
          <t>PERIM_B</t>
        </is>
      </c>
      <c r="B54" s="18" t="inlineStr">
        <is>
          <t>GRP_B1</t>
        </is>
      </c>
      <c r="C54" s="18" t="inlineStr">
        <is>
          <t>INST-019</t>
        </is>
      </c>
      <c r="D54" s="18" t="inlineStr">
        <is>
          <t>Installation S1</t>
        </is>
      </c>
      <c r="E54" s="19" t="str">
        <f>IFERROR(INDEX(T_Referentiel[Libellé affiché],MATCH($N54,T_Referentiel[Valeur source],0)),"À confirmer")</f>
        <v>Essai de conformité</v>
      </c>
      <c r="F54" s="20" t="inlineStr">
        <is>
          <t>2 ans</t>
        </is>
      </c>
      <c r="G54" s="21">
        <f>COUNTIFS(T_Programme[Code installation],$C54,T_Programme[Type opération source],$N54,T_Programme[Périodicité],$F54,T_Programme[Année],G$7)</f>
        <v>0</v>
      </c>
      <c r="H54" s="21">
        <f>COUNTIFS(T_Programme[Code installation],$C54,T_Programme[Type opération source],$N54,T_Programme[Périodicité],$F54,T_Programme[Année],H$7)</f>
        <v>0</v>
      </c>
      <c r="I54" s="21">
        <f>COUNTIFS(T_Programme[Code installation],$C54,T_Programme[Type opération source],$N54,T_Programme[Périodicité],$F54,T_Programme[Année],I$7)</f>
        <v>0</v>
      </c>
      <c r="J54" s="21">
        <f>COUNTIFS(T_Programme[Code installation],$C54,T_Programme[Type opération source],$N54,T_Programme[Périodicité],$F54,T_Programme[Année],J$7)</f>
        <v>1</v>
      </c>
      <c r="K54" s="21">
        <f>COUNTIFS(T_Programme[Code installation],$C54,T_Programme[Type opération source],$N54,T_Programme[Périodicité],$F54,T_Programme[Année],K$7)</f>
        <v>0</v>
      </c>
      <c r="L54" s="21">
        <f>COUNTIFS(T_Programme[Code installation],$C54,T_Programme[Type opération source],$N54,T_Programme[Périodicité],$F54,T_Programme[Année],L$7)</f>
        <v>0</v>
      </c>
      <c r="M54" s="21">
        <f>COUNTIFS(T_Programme[Code installation],$C54,T_Programme[Type opération source],$N54,T_Programme[Périodicité],$F54,T_Programme[Année],M$7)</f>
        <v>0</v>
      </c>
      <c r="N54" s="18" t="inlineStr">
        <is>
          <t>TYPE_B</t>
        </is>
      </c>
      <c r="O54" s="18" t="str">
        <f>IFERROR(INDEX(T_Referentiel[Statut],MATCH($N54,T_Referentiel[Valeur source],0)),"Absent du référentiel")</f>
        <v>Validé pour démo</v>
      </c>
      <c r="P54" s="18" t="str">
        <f>IF(COUNTIF(G54:M54,"&gt;1")&gt;0,"Doublon potentiel : à confirmer","")</f>
        <v/>
      </c>
    </row>
    <row r="55" ht="18" customHeight="1">
      <c r="A55" s="18" t="inlineStr">
        <is>
          <t>PERIM_B</t>
        </is>
      </c>
      <c r="B55" s="18" t="inlineStr">
        <is>
          <t>GRP_B1</t>
        </is>
      </c>
      <c r="C55" s="18" t="inlineStr">
        <is>
          <t>INST-019</t>
        </is>
      </c>
      <c r="D55" s="18" t="inlineStr">
        <is>
          <t>Installation S1</t>
        </is>
      </c>
      <c r="E55" s="19" t="str">
        <f>IFERROR(INDEX(T_Referentiel[Libellé affiché],MATCH($N55,T_Referentiel[Valeur source],0)),"À confirmer")</f>
        <v>Contrôle filtre</v>
      </c>
      <c r="F55" s="20" t="inlineStr">
        <is>
          <t>3 ans</t>
        </is>
      </c>
      <c r="G55" s="21">
        <f>COUNTIFS(T_Programme[Code installation],$C55,T_Programme[Type opération source],$N55,T_Programme[Périodicité],$F55,T_Programme[Année],G$7)</f>
        <v>0</v>
      </c>
      <c r="H55" s="21">
        <f>COUNTIFS(T_Programme[Code installation],$C55,T_Programme[Type opération source],$N55,T_Programme[Périodicité],$F55,T_Programme[Année],H$7)</f>
        <v>0</v>
      </c>
      <c r="I55" s="21">
        <f>COUNTIFS(T_Programme[Code installation],$C55,T_Programme[Type opération source],$N55,T_Programme[Périodicité],$F55,T_Programme[Année],I$7)</f>
        <v>0</v>
      </c>
      <c r="J55" s="21">
        <f>COUNTIFS(T_Programme[Code installation],$C55,T_Programme[Type opération source],$N55,T_Programme[Périodicité],$F55,T_Programme[Année],J$7)</f>
        <v>1</v>
      </c>
      <c r="K55" s="21">
        <f>COUNTIFS(T_Programme[Code installation],$C55,T_Programme[Type opération source],$N55,T_Programme[Périodicité],$F55,T_Programme[Année],K$7)</f>
        <v>0</v>
      </c>
      <c r="L55" s="21">
        <f>COUNTIFS(T_Programme[Code installation],$C55,T_Programme[Type opération source],$N55,T_Programme[Périodicité],$F55,T_Programme[Année],L$7)</f>
        <v>0</v>
      </c>
      <c r="M55" s="21">
        <f>COUNTIFS(T_Programme[Code installation],$C55,T_Programme[Type opération source],$N55,T_Programme[Périodicité],$F55,T_Programme[Année],M$7)</f>
        <v>0</v>
      </c>
      <c r="N55" s="18" t="inlineStr">
        <is>
          <t>TYPE_C</t>
        </is>
      </c>
      <c r="O55" s="18" t="str">
        <f>IFERROR(INDEX(T_Referentiel[Statut],MATCH($N55,T_Referentiel[Valeur source],0)),"Absent du référentiel")</f>
        <v>Validé pour démo</v>
      </c>
      <c r="P55" s="18" t="str">
        <f>IF(COUNTIF(G55:M55,"&gt;1")&gt;0,"Doublon potentiel : à confirmer","")</f>
        <v/>
      </c>
    </row>
    <row r="56" ht="18" customHeight="1">
      <c r="A56" s="18" t="inlineStr">
        <is>
          <t>PERIM_B</t>
        </is>
      </c>
      <c r="B56" s="18" t="inlineStr">
        <is>
          <t>GRP_B1</t>
        </is>
      </c>
      <c r="C56" s="18" t="inlineStr">
        <is>
          <t>INST-019</t>
        </is>
      </c>
      <c r="D56" s="18" t="inlineStr">
        <is>
          <t>Installation S1</t>
        </is>
      </c>
      <c r="E56" s="19" t="str">
        <f>IFERROR(INDEX(T_Referentiel[Libellé affiché],MATCH($N56,T_Referentiel[Valeur source],0)),"À confirmer")</f>
        <v>Opération spécifique</v>
      </c>
      <c r="F56" s="20" t="inlineStr">
        <is>
          <t>2 ans</t>
        </is>
      </c>
      <c r="G56" s="21">
        <f>COUNTIFS(T_Programme[Code installation],$C56,T_Programme[Type opération source],$N56,T_Programme[Périodicité],$F56,T_Programme[Année],G$7)</f>
        <v>0</v>
      </c>
      <c r="H56" s="21">
        <f>COUNTIFS(T_Programme[Code installation],$C56,T_Programme[Type opération source],$N56,T_Programme[Périodicité],$F56,T_Programme[Année],H$7)</f>
        <v>0</v>
      </c>
      <c r="I56" s="21">
        <f>COUNTIFS(T_Programme[Code installation],$C56,T_Programme[Type opération source],$N56,T_Programme[Périodicité],$F56,T_Programme[Année],I$7)</f>
        <v>0</v>
      </c>
      <c r="J56" s="21">
        <f>COUNTIFS(T_Programme[Code installation],$C56,T_Programme[Type opération source],$N56,T_Programme[Périodicité],$F56,T_Programme[Année],J$7)</f>
        <v>0</v>
      </c>
      <c r="K56" s="21">
        <f>COUNTIFS(T_Programme[Code installation],$C56,T_Programme[Type opération source],$N56,T_Programme[Périodicité],$F56,T_Programme[Année],K$7)</f>
        <v>1</v>
      </c>
      <c r="L56" s="21">
        <f>COUNTIFS(T_Programme[Code installation],$C56,T_Programme[Type opération source],$N56,T_Programme[Périodicité],$F56,T_Programme[Année],L$7)</f>
        <v>0</v>
      </c>
      <c r="M56" s="21">
        <f>COUNTIFS(T_Programme[Code installation],$C56,T_Programme[Type opération source],$N56,T_Programme[Périodicité],$F56,T_Programme[Année],M$7)</f>
        <v>0</v>
      </c>
      <c r="N56" s="18" t="inlineStr">
        <is>
          <t>TYPE_E</t>
        </is>
      </c>
      <c r="O56" s="18" t="str">
        <f>IFERROR(INDEX(T_Referentiel[Statut],MATCH($N56,T_Referentiel[Valeur source],0)),"Absent du référentiel")</f>
        <v>À confirmer</v>
      </c>
      <c r="P56" s="18" t="str">
        <f>IF(COUNTIF(G56:M56,"&gt;1")&gt;0,"Doublon potentiel : à confirmer","")</f>
        <v/>
      </c>
    </row>
    <row r="57" ht="18" customHeight="1">
      <c r="A57" s="18" t="inlineStr">
        <is>
          <t>PERIM_B</t>
        </is>
      </c>
      <c r="B57" s="18" t="inlineStr">
        <is>
          <t>GRP_B1</t>
        </is>
      </c>
      <c r="C57" s="18" t="inlineStr">
        <is>
          <t>INST-020</t>
        </is>
      </c>
      <c r="D57" s="18" t="inlineStr">
        <is>
          <t>Installation T1</t>
        </is>
      </c>
      <c r="E57" s="19" t="str">
        <f>IFERROR(INDEX(T_Referentiel[Libellé affiché],MATCH($N57,T_Referentiel[Valeur source],0)),"À confirmer")</f>
        <v>Essai de conformité</v>
      </c>
      <c r="F57" s="20" t="inlineStr">
        <is>
          <t>2 ans</t>
        </is>
      </c>
      <c r="G57" s="21">
        <f>COUNTIFS(T_Programme[Code installation],$C57,T_Programme[Type opération source],$N57,T_Programme[Périodicité],$F57,T_Programme[Année],G$7)</f>
        <v>0</v>
      </c>
      <c r="H57" s="21">
        <f>COUNTIFS(T_Programme[Code installation],$C57,T_Programme[Type opération source],$N57,T_Programme[Périodicité],$F57,T_Programme[Année],H$7)</f>
        <v>1</v>
      </c>
      <c r="I57" s="21">
        <f>COUNTIFS(T_Programme[Code installation],$C57,T_Programme[Type opération source],$N57,T_Programme[Périodicité],$F57,T_Programme[Année],I$7)</f>
        <v>0</v>
      </c>
      <c r="J57" s="21">
        <f>COUNTIFS(T_Programme[Code installation],$C57,T_Programme[Type opération source],$N57,T_Programme[Périodicité],$F57,T_Programme[Année],J$7)</f>
        <v>0</v>
      </c>
      <c r="K57" s="21">
        <f>COUNTIFS(T_Programme[Code installation],$C57,T_Programme[Type opération source],$N57,T_Programme[Périodicité],$F57,T_Programme[Année],K$7)</f>
        <v>0</v>
      </c>
      <c r="L57" s="21">
        <f>COUNTIFS(T_Programme[Code installation],$C57,T_Programme[Type opération source],$N57,T_Programme[Périodicité],$F57,T_Programme[Année],L$7)</f>
        <v>0</v>
      </c>
      <c r="M57" s="21">
        <f>COUNTIFS(T_Programme[Code installation],$C57,T_Programme[Type opération source],$N57,T_Programme[Périodicité],$F57,T_Programme[Année],M$7)</f>
        <v>0</v>
      </c>
      <c r="N57" s="18" t="inlineStr">
        <is>
          <t>TYPE_B</t>
        </is>
      </c>
      <c r="O57" s="18" t="str">
        <f>IFERROR(INDEX(T_Referentiel[Statut],MATCH($N57,T_Referentiel[Valeur source],0)),"Absent du référentiel")</f>
        <v>Validé pour démo</v>
      </c>
      <c r="P57" s="18" t="str">
        <f>IF(COUNTIF(G57:M57,"&gt;1")&gt;0,"Doublon potentiel : à confirmer","")</f>
        <v/>
      </c>
    </row>
    <row r="58" ht="18" customHeight="1">
      <c r="A58" s="18" t="inlineStr">
        <is>
          <t>PERIM_B</t>
        </is>
      </c>
      <c r="B58" s="18" t="inlineStr">
        <is>
          <t>GRP_B1</t>
        </is>
      </c>
      <c r="C58" s="18" t="inlineStr">
        <is>
          <t>INST-020</t>
        </is>
      </c>
      <c r="D58" s="18" t="inlineStr">
        <is>
          <t>Installation T1</t>
        </is>
      </c>
      <c r="E58" s="19" t="str">
        <f>IFERROR(INDEX(T_Referentiel[Libellé affiché],MATCH($N58,T_Referentiel[Valeur source],0)),"À confirmer")</f>
        <v>Opération spécifique</v>
      </c>
      <c r="F58" s="20" t="inlineStr">
        <is>
          <t>2 ans</t>
        </is>
      </c>
      <c r="G58" s="21">
        <f>COUNTIFS(T_Programme[Code installation],$C58,T_Programme[Type opération source],$N58,T_Programme[Périodicité],$F58,T_Programme[Année],G$7)</f>
        <v>0</v>
      </c>
      <c r="H58" s="21">
        <f>COUNTIFS(T_Programme[Code installation],$C58,T_Programme[Type opération source],$N58,T_Programme[Périodicité],$F58,T_Programme[Année],H$7)</f>
        <v>0</v>
      </c>
      <c r="I58" s="21">
        <f>COUNTIFS(T_Programme[Code installation],$C58,T_Programme[Type opération source],$N58,T_Programme[Périodicité],$F58,T_Programme[Année],I$7)</f>
        <v>0</v>
      </c>
      <c r="J58" s="21">
        <f>COUNTIFS(T_Programme[Code installation],$C58,T_Programme[Type opération source],$N58,T_Programme[Périodicité],$F58,T_Programme[Année],J$7)</f>
        <v>2</v>
      </c>
      <c r="K58" s="21">
        <f>COUNTIFS(T_Programme[Code installation],$C58,T_Programme[Type opération source],$N58,T_Programme[Périodicité],$F58,T_Programme[Année],K$7)</f>
        <v>0</v>
      </c>
      <c r="L58" s="21">
        <f>COUNTIFS(T_Programme[Code installation],$C58,T_Programme[Type opération source],$N58,T_Programme[Périodicité],$F58,T_Programme[Année],L$7)</f>
        <v>0</v>
      </c>
      <c r="M58" s="21">
        <f>COUNTIFS(T_Programme[Code installation],$C58,T_Programme[Type opération source],$N58,T_Programme[Périodicité],$F58,T_Programme[Année],M$7)</f>
        <v>0</v>
      </c>
      <c r="N58" s="18" t="inlineStr">
        <is>
          <t>TYPE_E</t>
        </is>
      </c>
      <c r="O58" s="18" t="str">
        <f>IFERROR(INDEX(T_Referentiel[Statut],MATCH($N58,T_Referentiel[Valeur source],0)),"Absent du référentiel")</f>
        <v>À confirmer</v>
      </c>
      <c r="P58" s="18" t="str">
        <f>IF(COUNTIF(G58:M58,"&gt;1")&gt;0,"Doublon potentiel : à confirmer","")</f>
        <v>Doublon potentiel : à confirmer</v>
      </c>
    </row>
    <row r="59" ht="18" customHeight="1">
      <c r="A59" s="18" t="inlineStr">
        <is>
          <t>PERIM_B</t>
        </is>
      </c>
      <c r="B59" s="18" t="inlineStr">
        <is>
          <t>GRP_B1</t>
        </is>
      </c>
      <c r="C59" s="18" t="inlineStr">
        <is>
          <t>INST-021</t>
        </is>
      </c>
      <c r="D59" s="18" t="inlineStr">
        <is>
          <t>Installation U1</t>
        </is>
      </c>
      <c r="E59" s="19" t="str">
        <f>IFERROR(INDEX(T_Referentiel[Libellé affiché],MATCH($N59,T_Referentiel[Valeur source],0)),"À confirmer")</f>
        <v>Contrôle annuel</v>
      </c>
      <c r="F59" s="20" t="inlineStr">
        <is>
          <t>1 an</t>
        </is>
      </c>
      <c r="G59" s="21">
        <f>COUNTIFS(T_Programme[Code installation],$C59,T_Programme[Type opération source],$N59,T_Programme[Périodicité],$F59,T_Programme[Année],G$7)</f>
        <v>0</v>
      </c>
      <c r="H59" s="21">
        <f>COUNTIFS(T_Programme[Code installation],$C59,T_Programme[Type opération source],$N59,T_Programme[Périodicité],$F59,T_Programme[Année],H$7)</f>
        <v>2</v>
      </c>
      <c r="I59" s="21">
        <f>COUNTIFS(T_Programme[Code installation],$C59,T_Programme[Type opération source],$N59,T_Programme[Périodicité],$F59,T_Programme[Année],I$7)</f>
        <v>0</v>
      </c>
      <c r="J59" s="21">
        <f>COUNTIFS(T_Programme[Code installation],$C59,T_Programme[Type opération source],$N59,T_Programme[Périodicité],$F59,T_Programme[Année],J$7)</f>
        <v>0</v>
      </c>
      <c r="K59" s="21">
        <f>COUNTIFS(T_Programme[Code installation],$C59,T_Programme[Type opération source],$N59,T_Programme[Périodicité],$F59,T_Programme[Année],K$7)</f>
        <v>0</v>
      </c>
      <c r="L59" s="21">
        <f>COUNTIFS(T_Programme[Code installation],$C59,T_Programme[Type opération source],$N59,T_Programme[Périodicité],$F59,T_Programme[Année],L$7)</f>
        <v>0</v>
      </c>
      <c r="M59" s="21">
        <f>COUNTIFS(T_Programme[Code installation],$C59,T_Programme[Type opération source],$N59,T_Programme[Périodicité],$F59,T_Programme[Année],M$7)</f>
        <v>0</v>
      </c>
      <c r="N59" s="18" t="inlineStr">
        <is>
          <t>TYPE_A</t>
        </is>
      </c>
      <c r="O59" s="18" t="str">
        <f>IFERROR(INDEX(T_Referentiel[Statut],MATCH($N59,T_Referentiel[Valeur source],0)),"Absent du référentiel")</f>
        <v>Validé pour démo</v>
      </c>
      <c r="P59" s="18" t="str">
        <f>IF(COUNTIF(G59:M59,"&gt;1")&gt;0,"Doublon potentiel : à confirmer","")</f>
        <v>Doublon potentiel : à confirmer</v>
      </c>
    </row>
    <row r="60" ht="18" customHeight="1">
      <c r="A60" s="18" t="inlineStr">
        <is>
          <t>PERIM_B</t>
        </is>
      </c>
      <c r="B60" s="18" t="inlineStr">
        <is>
          <t>GRP_B1</t>
        </is>
      </c>
      <c r="C60" s="18" t="inlineStr">
        <is>
          <t>INST-021</t>
        </is>
      </c>
      <c r="D60" s="18" t="inlineStr">
        <is>
          <t>Installation U1</t>
        </is>
      </c>
      <c r="E60" s="19" t="str">
        <f>IFERROR(INDEX(T_Referentiel[Libellé affiché],MATCH($N60,T_Referentiel[Valeur source],0)),"À confirmer")</f>
        <v>Essai de conformité</v>
      </c>
      <c r="F60" s="20" t="inlineStr">
        <is>
          <t>2 ans</t>
        </is>
      </c>
      <c r="G60" s="21">
        <f>COUNTIFS(T_Programme[Code installation],$C60,T_Programme[Type opération source],$N60,T_Programme[Périodicité],$F60,T_Programme[Année],G$7)</f>
        <v>0</v>
      </c>
      <c r="H60" s="21">
        <f>COUNTIFS(T_Programme[Code installation],$C60,T_Programme[Type opération source],$N60,T_Programme[Périodicité],$F60,T_Programme[Année],H$7)</f>
        <v>1</v>
      </c>
      <c r="I60" s="21">
        <f>COUNTIFS(T_Programme[Code installation],$C60,T_Programme[Type opération source],$N60,T_Programme[Périodicité],$F60,T_Programme[Année],I$7)</f>
        <v>0</v>
      </c>
      <c r="J60" s="21">
        <f>COUNTIFS(T_Programme[Code installation],$C60,T_Programme[Type opération source],$N60,T_Programme[Périodicité],$F60,T_Programme[Année],J$7)</f>
        <v>0</v>
      </c>
      <c r="K60" s="21">
        <f>COUNTIFS(T_Programme[Code installation],$C60,T_Programme[Type opération source],$N60,T_Programme[Périodicité],$F60,T_Programme[Année],K$7)</f>
        <v>0</v>
      </c>
      <c r="L60" s="21">
        <f>COUNTIFS(T_Programme[Code installation],$C60,T_Programme[Type opération source],$N60,T_Programme[Périodicité],$F60,T_Programme[Année],L$7)</f>
        <v>0</v>
      </c>
      <c r="M60" s="21">
        <f>COUNTIFS(T_Programme[Code installation],$C60,T_Programme[Type opération source],$N60,T_Programme[Périodicité],$F60,T_Programme[Année],M$7)</f>
        <v>0</v>
      </c>
      <c r="N60" s="18" t="inlineStr">
        <is>
          <t>TYPE_B</t>
        </is>
      </c>
      <c r="O60" s="18" t="str">
        <f>IFERROR(INDEX(T_Referentiel[Statut],MATCH($N60,T_Referentiel[Valeur source],0)),"Absent du référentiel")</f>
        <v>Validé pour démo</v>
      </c>
      <c r="P60" s="18" t="str">
        <f>IF(COUNTIF(G60:M60,"&gt;1")&gt;0,"Doublon potentiel : à confirmer","")</f>
        <v/>
      </c>
    </row>
    <row r="61" ht="18" customHeight="1">
      <c r="A61" s="18" t="inlineStr">
        <is>
          <t>PERIM_B</t>
        </is>
      </c>
      <c r="B61" s="18" t="inlineStr">
        <is>
          <t>GRP_B1</t>
        </is>
      </c>
      <c r="C61" s="18" t="inlineStr">
        <is>
          <t>INST-021</t>
        </is>
      </c>
      <c r="D61" s="18" t="inlineStr">
        <is>
          <t>Installation U1</t>
        </is>
      </c>
      <c r="E61" s="19" t="str">
        <f>IFERROR(INDEX(T_Referentiel[Libellé affiché],MATCH($N61,T_Referentiel[Valeur source],0)),"À confirmer")</f>
        <v>Contrôle filtre</v>
      </c>
      <c r="F61" s="20" t="inlineStr">
        <is>
          <t>3 ans</t>
        </is>
      </c>
      <c r="G61" s="21">
        <f>COUNTIFS(T_Programme[Code installation],$C61,T_Programme[Type opération source],$N61,T_Programme[Périodicité],$F61,T_Programme[Année],G$7)</f>
        <v>0</v>
      </c>
      <c r="H61" s="21">
        <f>COUNTIFS(T_Programme[Code installation],$C61,T_Programme[Type opération source],$N61,T_Programme[Périodicité],$F61,T_Programme[Année],H$7)</f>
        <v>1</v>
      </c>
      <c r="I61" s="21">
        <f>COUNTIFS(T_Programme[Code installation],$C61,T_Programme[Type opération source],$N61,T_Programme[Périodicité],$F61,T_Programme[Année],I$7)</f>
        <v>0</v>
      </c>
      <c r="J61" s="21">
        <f>COUNTIFS(T_Programme[Code installation],$C61,T_Programme[Type opération source],$N61,T_Programme[Périodicité],$F61,T_Programme[Année],J$7)</f>
        <v>0</v>
      </c>
      <c r="K61" s="21">
        <f>COUNTIFS(T_Programme[Code installation],$C61,T_Programme[Type opération source],$N61,T_Programme[Périodicité],$F61,T_Programme[Année],K$7)</f>
        <v>0</v>
      </c>
      <c r="L61" s="21">
        <f>COUNTIFS(T_Programme[Code installation],$C61,T_Programme[Type opération source],$N61,T_Programme[Périodicité],$F61,T_Programme[Année],L$7)</f>
        <v>0</v>
      </c>
      <c r="M61" s="21">
        <f>COUNTIFS(T_Programme[Code installation],$C61,T_Programme[Type opération source],$N61,T_Programme[Périodicité],$F61,T_Programme[Année],M$7)</f>
        <v>0</v>
      </c>
      <c r="N61" s="18" t="inlineStr">
        <is>
          <t>TYPE_C</t>
        </is>
      </c>
      <c r="O61" s="18" t="str">
        <f>IFERROR(INDEX(T_Referentiel[Statut],MATCH($N61,T_Referentiel[Valeur source],0)),"Absent du référentiel")</f>
        <v>Validé pour démo</v>
      </c>
      <c r="P61" s="18" t="str">
        <f>IF(COUNTIF(G61:M61,"&gt;1")&gt;0,"Doublon potentiel : à confirmer","")</f>
        <v/>
      </c>
    </row>
    <row r="62" ht="18" customHeight="1">
      <c r="A62" s="18" t="inlineStr">
        <is>
          <t>PERIM_B</t>
        </is>
      </c>
      <c r="B62" s="18" t="inlineStr">
        <is>
          <t>GRP_B1</t>
        </is>
      </c>
      <c r="C62" s="18" t="inlineStr">
        <is>
          <t>INST-022</t>
        </is>
      </c>
      <c r="D62" s="18" t="inlineStr">
        <is>
          <t>Installation V1</t>
        </is>
      </c>
      <c r="E62" s="19" t="str">
        <f>IFERROR(INDEX(T_Referentiel[Libellé affiché],MATCH($N62,T_Referentiel[Valeur source],0)),"À confirmer")</f>
        <v>Contrôle annuel</v>
      </c>
      <c r="F62" s="20" t="inlineStr">
        <is>
          <t>1 an</t>
        </is>
      </c>
      <c r="G62" s="21">
        <f>COUNTIFS(T_Programme[Code installation],$C62,T_Programme[Type opération source],$N62,T_Programme[Périodicité],$F62,T_Programme[Année],G$7)</f>
        <v>0</v>
      </c>
      <c r="H62" s="21">
        <f>COUNTIFS(T_Programme[Code installation],$C62,T_Programme[Type opération source],$N62,T_Programme[Périodicité],$F62,T_Programme[Année],H$7)</f>
        <v>1</v>
      </c>
      <c r="I62" s="21">
        <f>COUNTIFS(T_Programme[Code installation],$C62,T_Programme[Type opération source],$N62,T_Programme[Périodicité],$F62,T_Programme[Année],I$7)</f>
        <v>0</v>
      </c>
      <c r="J62" s="21">
        <f>COUNTIFS(T_Programme[Code installation],$C62,T_Programme[Type opération source],$N62,T_Programme[Périodicité],$F62,T_Programme[Année],J$7)</f>
        <v>0</v>
      </c>
      <c r="K62" s="21">
        <f>COUNTIFS(T_Programme[Code installation],$C62,T_Programme[Type opération source],$N62,T_Programme[Périodicité],$F62,T_Programme[Année],K$7)</f>
        <v>0</v>
      </c>
      <c r="L62" s="21">
        <f>COUNTIFS(T_Programme[Code installation],$C62,T_Programme[Type opération source],$N62,T_Programme[Périodicité],$F62,T_Programme[Année],L$7)</f>
        <v>0</v>
      </c>
      <c r="M62" s="21">
        <f>COUNTIFS(T_Programme[Code installation],$C62,T_Programme[Type opération source],$N62,T_Programme[Périodicité],$F62,T_Programme[Année],M$7)</f>
        <v>0</v>
      </c>
      <c r="N62" s="18" t="inlineStr">
        <is>
          <t>TYPE_A</t>
        </is>
      </c>
      <c r="O62" s="18" t="str">
        <f>IFERROR(INDEX(T_Referentiel[Statut],MATCH($N62,T_Referentiel[Valeur source],0)),"Absent du référentiel")</f>
        <v>Validé pour démo</v>
      </c>
      <c r="P62" s="18" t="str">
        <f>IF(COUNTIF(G62:M62,"&gt;1")&gt;0,"Doublon potentiel : à confirmer","")</f>
        <v/>
      </c>
    </row>
    <row r="63" ht="18" customHeight="1">
      <c r="A63" s="18" t="inlineStr">
        <is>
          <t>PERIM_B</t>
        </is>
      </c>
      <c r="B63" s="18" t="inlineStr">
        <is>
          <t>GRP_B1</t>
        </is>
      </c>
      <c r="C63" s="18" t="inlineStr">
        <is>
          <t>INST-022</t>
        </is>
      </c>
      <c r="D63" s="18" t="inlineStr">
        <is>
          <t>Installation V1</t>
        </is>
      </c>
      <c r="E63" s="19" t="str">
        <f>IFERROR(INDEX(T_Referentiel[Libellé affiché],MATCH($N63,T_Referentiel[Valeur source],0)),"À confirmer")</f>
        <v>Essai de conformité</v>
      </c>
      <c r="F63" s="20" t="inlineStr">
        <is>
          <t>2 ans</t>
        </is>
      </c>
      <c r="G63" s="21">
        <f>COUNTIFS(T_Programme[Code installation],$C63,T_Programme[Type opération source],$N63,T_Programme[Périodicité],$F63,T_Programme[Année],G$7)</f>
        <v>0</v>
      </c>
      <c r="H63" s="21">
        <f>COUNTIFS(T_Programme[Code installation],$C63,T_Programme[Type opération source],$N63,T_Programme[Périodicité],$F63,T_Programme[Année],H$7)</f>
        <v>0</v>
      </c>
      <c r="I63" s="21">
        <f>COUNTIFS(T_Programme[Code installation],$C63,T_Programme[Type opération source],$N63,T_Programme[Périodicité],$F63,T_Programme[Année],I$7)</f>
        <v>0</v>
      </c>
      <c r="J63" s="21">
        <f>COUNTIFS(T_Programme[Code installation],$C63,T_Programme[Type opération source],$N63,T_Programme[Périodicité],$F63,T_Programme[Année],J$7)</f>
        <v>0</v>
      </c>
      <c r="K63" s="21">
        <f>COUNTIFS(T_Programme[Code installation],$C63,T_Programme[Type opération source],$N63,T_Programme[Périodicité],$F63,T_Programme[Année],K$7)</f>
        <v>1</v>
      </c>
      <c r="L63" s="21">
        <f>COUNTIFS(T_Programme[Code installation],$C63,T_Programme[Type opération source],$N63,T_Programme[Périodicité],$F63,T_Programme[Année],L$7)</f>
        <v>0</v>
      </c>
      <c r="M63" s="21">
        <f>COUNTIFS(T_Programme[Code installation],$C63,T_Programme[Type opération source],$N63,T_Programme[Périodicité],$F63,T_Programme[Année],M$7)</f>
        <v>0</v>
      </c>
      <c r="N63" s="18" t="inlineStr">
        <is>
          <t>TYPE_B</t>
        </is>
      </c>
      <c r="O63" s="18" t="str">
        <f>IFERROR(INDEX(T_Referentiel[Statut],MATCH($N63,T_Referentiel[Valeur source],0)),"Absent du référentiel")</f>
        <v>Validé pour démo</v>
      </c>
      <c r="P63" s="18" t="str">
        <f>IF(COUNTIF(G63:M63,"&gt;1")&gt;0,"Doublon potentiel : à confirmer","")</f>
        <v/>
      </c>
    </row>
    <row r="64" ht="18" customHeight="1">
      <c r="A64" s="18" t="inlineStr">
        <is>
          <t>PERIM_B</t>
        </is>
      </c>
      <c r="B64" s="18" t="inlineStr">
        <is>
          <t>GRP_B1</t>
        </is>
      </c>
      <c r="C64" s="18" t="inlineStr">
        <is>
          <t>INST-023</t>
        </is>
      </c>
      <c r="D64" s="18" t="inlineStr">
        <is>
          <t>Installation W1</t>
        </is>
      </c>
      <c r="E64" s="19" t="str">
        <f>IFERROR(INDEX(T_Referentiel[Libellé affiché],MATCH($N64,T_Referentiel[Valeur source],0)),"À confirmer")</f>
        <v>Contrôle annuel</v>
      </c>
      <c r="F64" s="20" t="inlineStr">
        <is>
          <t>1 an</t>
        </is>
      </c>
      <c r="G64" s="21">
        <f>COUNTIFS(T_Programme[Code installation],$C64,T_Programme[Type opération source],$N64,T_Programme[Périodicité],$F64,T_Programme[Année],G$7)</f>
        <v>0</v>
      </c>
      <c r="H64" s="21">
        <f>COUNTIFS(T_Programme[Code installation],$C64,T_Programme[Type opération source],$N64,T_Programme[Périodicité],$F64,T_Programme[Année],H$7)</f>
        <v>0</v>
      </c>
      <c r="I64" s="21">
        <f>COUNTIFS(T_Programme[Code installation],$C64,T_Programme[Type opération source],$N64,T_Programme[Périodicité],$F64,T_Programme[Année],I$7)</f>
        <v>1</v>
      </c>
      <c r="J64" s="21">
        <f>COUNTIFS(T_Programme[Code installation],$C64,T_Programme[Type opération source],$N64,T_Programme[Périodicité],$F64,T_Programme[Année],J$7)</f>
        <v>0</v>
      </c>
      <c r="K64" s="21">
        <f>COUNTIFS(T_Programme[Code installation],$C64,T_Programme[Type opération source],$N64,T_Programme[Périodicité],$F64,T_Programme[Année],K$7)</f>
        <v>0</v>
      </c>
      <c r="L64" s="21">
        <f>COUNTIFS(T_Programme[Code installation],$C64,T_Programme[Type opération source],$N64,T_Programme[Périodicité],$F64,T_Programme[Année],L$7)</f>
        <v>0</v>
      </c>
      <c r="M64" s="21">
        <f>COUNTIFS(T_Programme[Code installation],$C64,T_Programme[Type opération source],$N64,T_Programme[Périodicité],$F64,T_Programme[Année],M$7)</f>
        <v>0</v>
      </c>
      <c r="N64" s="18" t="inlineStr">
        <is>
          <t>TYPE_A</t>
        </is>
      </c>
      <c r="O64" s="18" t="str">
        <f>IFERROR(INDEX(T_Referentiel[Statut],MATCH($N64,T_Referentiel[Valeur source],0)),"Absent du référentiel")</f>
        <v>Validé pour démo</v>
      </c>
      <c r="P64" s="18" t="str">
        <f>IF(COUNTIF(G64:M64,"&gt;1")&gt;0,"Doublon potentiel : à confirmer","")</f>
        <v/>
      </c>
    </row>
    <row r="65" ht="18" customHeight="1">
      <c r="A65" s="18" t="inlineStr">
        <is>
          <t>PERIM_B</t>
        </is>
      </c>
      <c r="B65" s="18" t="inlineStr">
        <is>
          <t>GRP_B1</t>
        </is>
      </c>
      <c r="C65" s="18" t="inlineStr">
        <is>
          <t>INST-023</t>
        </is>
      </c>
      <c r="D65" s="18" t="inlineStr">
        <is>
          <t>Installation W1</t>
        </is>
      </c>
      <c r="E65" s="19" t="str">
        <f>IFERROR(INDEX(T_Referentiel[Libellé affiché],MATCH($N65,T_Referentiel[Valeur source],0)),"À confirmer")</f>
        <v>Révision</v>
      </c>
      <c r="F65" s="20" t="inlineStr">
        <is>
          <t>6 ans</t>
        </is>
      </c>
      <c r="G65" s="21">
        <f>COUNTIFS(T_Programme[Code installation],$C65,T_Programme[Type opération source],$N65,T_Programme[Périodicité],$F65,T_Programme[Année],G$7)</f>
        <v>0</v>
      </c>
      <c r="H65" s="21">
        <f>COUNTIFS(T_Programme[Code installation],$C65,T_Programme[Type opération source],$N65,T_Programme[Périodicité],$F65,T_Programme[Année],H$7)</f>
        <v>0</v>
      </c>
      <c r="I65" s="21">
        <f>COUNTIFS(T_Programme[Code installation],$C65,T_Programme[Type opération source],$N65,T_Programme[Périodicité],$F65,T_Programme[Année],I$7)</f>
        <v>0</v>
      </c>
      <c r="J65" s="21">
        <f>COUNTIFS(T_Programme[Code installation],$C65,T_Programme[Type opération source],$N65,T_Programme[Périodicité],$F65,T_Programme[Année],J$7)</f>
        <v>1</v>
      </c>
      <c r="K65" s="21">
        <f>COUNTIFS(T_Programme[Code installation],$C65,T_Programme[Type opération source],$N65,T_Programme[Périodicité],$F65,T_Programme[Année],K$7)</f>
        <v>0</v>
      </c>
      <c r="L65" s="21">
        <f>COUNTIFS(T_Programme[Code installation],$C65,T_Programme[Type opération source],$N65,T_Programme[Périodicité],$F65,T_Programme[Année],L$7)</f>
        <v>0</v>
      </c>
      <c r="M65" s="21">
        <f>COUNTIFS(T_Programme[Code installation],$C65,T_Programme[Type opération source],$N65,T_Programme[Périodicité],$F65,T_Programme[Année],M$7)</f>
        <v>0</v>
      </c>
      <c r="N65" s="18" t="inlineStr">
        <is>
          <t>TYPE_D</t>
        </is>
      </c>
      <c r="O65" s="18" t="str">
        <f>IFERROR(INDEX(T_Referentiel[Statut],MATCH($N65,T_Referentiel[Valeur source],0)),"Absent du référentiel")</f>
        <v>Validé pour démo</v>
      </c>
      <c r="P65" s="18" t="str">
        <f>IF(COUNTIF(G65:M65,"&gt;1")&gt;0,"Doublon potentiel : à confirmer","")</f>
        <v/>
      </c>
    </row>
    <row r="66" ht="18" customHeight="1">
      <c r="A66" s="18" t="inlineStr">
        <is>
          <t>PERIM_B</t>
        </is>
      </c>
      <c r="B66" s="18" t="inlineStr">
        <is>
          <t>GRP_B1</t>
        </is>
      </c>
      <c r="C66" s="18" t="inlineStr">
        <is>
          <t>INST-023</t>
        </is>
      </c>
      <c r="D66" s="18" t="inlineStr">
        <is>
          <t>Installation W1</t>
        </is>
      </c>
      <c r="E66" s="19" t="str">
        <f>IFERROR(INDEX(T_Referentiel[Libellé affiché],MATCH($N66,T_Referentiel[Valeur source],0)),"À confirmer")</f>
        <v>Opération spécifique</v>
      </c>
      <c r="F66" s="20" t="inlineStr">
        <is>
          <t>2 ans</t>
        </is>
      </c>
      <c r="G66" s="21">
        <f>COUNTIFS(T_Programme[Code installation],$C66,T_Programme[Type opération source],$N66,T_Programme[Périodicité],$F66,T_Programme[Année],G$7)</f>
        <v>0</v>
      </c>
      <c r="H66" s="21">
        <f>COUNTIFS(T_Programme[Code installation],$C66,T_Programme[Type opération source],$N66,T_Programme[Périodicité],$F66,T_Programme[Année],H$7)</f>
        <v>0</v>
      </c>
      <c r="I66" s="21">
        <f>COUNTIFS(T_Programme[Code installation],$C66,T_Programme[Type opération source],$N66,T_Programme[Périodicité],$F66,T_Programme[Année],I$7)</f>
        <v>0</v>
      </c>
      <c r="J66" s="21">
        <f>COUNTIFS(T_Programme[Code installation],$C66,T_Programme[Type opération source],$N66,T_Programme[Périodicité],$F66,T_Programme[Année],J$7)</f>
        <v>0</v>
      </c>
      <c r="K66" s="21">
        <f>COUNTIFS(T_Programme[Code installation],$C66,T_Programme[Type opération source],$N66,T_Programme[Périodicité],$F66,T_Programme[Année],K$7)</f>
        <v>1</v>
      </c>
      <c r="L66" s="21">
        <f>COUNTIFS(T_Programme[Code installation],$C66,T_Programme[Type opération source],$N66,T_Programme[Périodicité],$F66,T_Programme[Année],L$7)</f>
        <v>0</v>
      </c>
      <c r="M66" s="21">
        <f>COUNTIFS(T_Programme[Code installation],$C66,T_Programme[Type opération source],$N66,T_Programme[Périodicité],$F66,T_Programme[Année],M$7)</f>
        <v>0</v>
      </c>
      <c r="N66" s="18" t="inlineStr">
        <is>
          <t>TYPE_E</t>
        </is>
      </c>
      <c r="O66" s="18" t="str">
        <f>IFERROR(INDEX(T_Referentiel[Statut],MATCH($N66,T_Referentiel[Valeur source],0)),"Absent du référentiel")</f>
        <v>À confirmer</v>
      </c>
      <c r="P66" s="18" t="str">
        <f>IF(COUNTIF(G66:M66,"&gt;1")&gt;0,"Doublon potentiel : à confirmer","")</f>
        <v/>
      </c>
    </row>
    <row r="67" ht="18" customHeight="1">
      <c r="A67" s="18" t="inlineStr">
        <is>
          <t>PERIM_B</t>
        </is>
      </c>
      <c r="B67" s="18" t="inlineStr">
        <is>
          <t>GRP_B1</t>
        </is>
      </c>
      <c r="C67" s="18" t="inlineStr">
        <is>
          <t>INST-024</t>
        </is>
      </c>
      <c r="D67" s="18" t="inlineStr">
        <is>
          <t>Installation X1</t>
        </is>
      </c>
      <c r="E67" s="19" t="str">
        <f>IFERROR(INDEX(T_Referentiel[Libellé affiché],MATCH($N67,T_Referentiel[Valeur source],0)),"À confirmer")</f>
        <v>Essai de conformité</v>
      </c>
      <c r="F67" s="20" t="inlineStr">
        <is>
          <t>2 ans</t>
        </is>
      </c>
      <c r="G67" s="21">
        <f>COUNTIFS(T_Programme[Code installation],$C67,T_Programme[Type opération source],$N67,T_Programme[Périodicité],$F67,T_Programme[Année],G$7)</f>
        <v>0</v>
      </c>
      <c r="H67" s="21">
        <f>COUNTIFS(T_Programme[Code installation],$C67,T_Programme[Type opération source],$N67,T_Programme[Périodicité],$F67,T_Programme[Année],H$7)</f>
        <v>1</v>
      </c>
      <c r="I67" s="21">
        <f>COUNTIFS(T_Programme[Code installation],$C67,T_Programme[Type opération source],$N67,T_Programme[Périodicité],$F67,T_Programme[Année],I$7)</f>
        <v>0</v>
      </c>
      <c r="J67" s="21">
        <f>COUNTIFS(T_Programme[Code installation],$C67,T_Programme[Type opération source],$N67,T_Programme[Périodicité],$F67,T_Programme[Année],J$7)</f>
        <v>0</v>
      </c>
      <c r="K67" s="21">
        <f>COUNTIFS(T_Programme[Code installation],$C67,T_Programme[Type opération source],$N67,T_Programme[Périodicité],$F67,T_Programme[Année],K$7)</f>
        <v>0</v>
      </c>
      <c r="L67" s="21">
        <f>COUNTIFS(T_Programme[Code installation],$C67,T_Programme[Type opération source],$N67,T_Programme[Périodicité],$F67,T_Programme[Année],L$7)</f>
        <v>0</v>
      </c>
      <c r="M67" s="21">
        <f>COUNTIFS(T_Programme[Code installation],$C67,T_Programme[Type opération source],$N67,T_Programme[Périodicité],$F67,T_Programme[Année],M$7)</f>
        <v>0</v>
      </c>
      <c r="N67" s="18" t="inlineStr">
        <is>
          <t>TYPE_B</t>
        </is>
      </c>
      <c r="O67" s="18" t="str">
        <f>IFERROR(INDEX(T_Referentiel[Statut],MATCH($N67,T_Referentiel[Valeur source],0)),"Absent du référentiel")</f>
        <v>Validé pour démo</v>
      </c>
      <c r="P67" s="18" t="str">
        <f>IF(COUNTIF(G67:M67,"&gt;1")&gt;0,"Doublon potentiel : à confirmer","")</f>
        <v/>
      </c>
    </row>
    <row r="68" ht="18" customHeight="1">
      <c r="A68" s="18" t="inlineStr">
        <is>
          <t>PERIM_B</t>
        </is>
      </c>
      <c r="B68" s="18" t="inlineStr">
        <is>
          <t>GRP_B1</t>
        </is>
      </c>
      <c r="C68" s="18" t="inlineStr">
        <is>
          <t>INST-024</t>
        </is>
      </c>
      <c r="D68" s="18" t="inlineStr">
        <is>
          <t>Installation X1</t>
        </is>
      </c>
      <c r="E68" s="19" t="str">
        <f>IFERROR(INDEX(T_Referentiel[Libellé affiché],MATCH($N68,T_Referentiel[Valeur source],0)),"À confirmer")</f>
        <v>Contrôle filtre</v>
      </c>
      <c r="F68" s="20" t="inlineStr">
        <is>
          <t>3 ans</t>
        </is>
      </c>
      <c r="G68" s="21">
        <f>COUNTIFS(T_Programme[Code installation],$C68,T_Programme[Type opération source],$N68,T_Programme[Périodicité],$F68,T_Programme[Année],G$7)</f>
        <v>0</v>
      </c>
      <c r="H68" s="21">
        <f>COUNTIFS(T_Programme[Code installation],$C68,T_Programme[Type opération source],$N68,T_Programme[Périodicité],$F68,T_Programme[Année],H$7)</f>
        <v>0</v>
      </c>
      <c r="I68" s="21">
        <f>COUNTIFS(T_Programme[Code installation],$C68,T_Programme[Type opération source],$N68,T_Programme[Périodicité],$F68,T_Programme[Année],I$7)</f>
        <v>0</v>
      </c>
      <c r="J68" s="21">
        <f>COUNTIFS(T_Programme[Code installation],$C68,T_Programme[Type opération source],$N68,T_Programme[Périodicité],$F68,T_Programme[Année],J$7)</f>
        <v>0</v>
      </c>
      <c r="K68" s="21">
        <f>COUNTIFS(T_Programme[Code installation],$C68,T_Programme[Type opération source],$N68,T_Programme[Périodicité],$F68,T_Programme[Année],K$7)</f>
        <v>0</v>
      </c>
      <c r="L68" s="21">
        <f>COUNTIFS(T_Programme[Code installation],$C68,T_Programme[Type opération source],$N68,T_Programme[Périodicité],$F68,T_Programme[Année],L$7)</f>
        <v>0</v>
      </c>
      <c r="M68" s="21">
        <f>COUNTIFS(T_Programme[Code installation],$C68,T_Programme[Type opération source],$N68,T_Programme[Périodicité],$F68,T_Programme[Année],M$7)</f>
        <v>1</v>
      </c>
      <c r="N68" s="18" t="inlineStr">
        <is>
          <t>TYPE_C</t>
        </is>
      </c>
      <c r="O68" s="18" t="str">
        <f>IFERROR(INDEX(T_Referentiel[Statut],MATCH($N68,T_Referentiel[Valeur source],0)),"Absent du référentiel")</f>
        <v>Validé pour démo</v>
      </c>
      <c r="P68" s="18" t="str">
        <f>IF(COUNTIF(G68:M68,"&gt;1")&gt;0,"Doublon potentiel : à confirmer","")</f>
        <v/>
      </c>
    </row>
    <row r="69" ht="18" customHeight="1">
      <c r="A69" s="18" t="inlineStr">
        <is>
          <t>PERIM_B</t>
        </is>
      </c>
      <c r="B69" s="18" t="inlineStr">
        <is>
          <t>GRP_B2</t>
        </is>
      </c>
      <c r="C69" s="18" t="inlineStr">
        <is>
          <t>INST-025</t>
        </is>
      </c>
      <c r="D69" s="18" t="inlineStr">
        <is>
          <t>Installation Y1</t>
        </is>
      </c>
      <c r="E69" s="19" t="str">
        <f>IFERROR(INDEX(T_Referentiel[Libellé affiché],MATCH($N69,T_Referentiel[Valeur source],0)),"À confirmer")</f>
        <v>Essai de conformité</v>
      </c>
      <c r="F69" s="20" t="inlineStr">
        <is>
          <t>2 ans</t>
        </is>
      </c>
      <c r="G69" s="21">
        <f>COUNTIFS(T_Programme[Code installation],$C69,T_Programme[Type opération source],$N69,T_Programme[Périodicité],$F69,T_Programme[Année],G$7)</f>
        <v>0</v>
      </c>
      <c r="H69" s="21">
        <f>COUNTIFS(T_Programme[Code installation],$C69,T_Programme[Type opération source],$N69,T_Programme[Périodicité],$F69,T_Programme[Année],H$7)</f>
        <v>1</v>
      </c>
      <c r="I69" s="21">
        <f>COUNTIFS(T_Programme[Code installation],$C69,T_Programme[Type opération source],$N69,T_Programme[Périodicité],$F69,T_Programme[Année],I$7)</f>
        <v>0</v>
      </c>
      <c r="J69" s="21">
        <f>COUNTIFS(T_Programme[Code installation],$C69,T_Programme[Type opération source],$N69,T_Programme[Périodicité],$F69,T_Programme[Année],J$7)</f>
        <v>0</v>
      </c>
      <c r="K69" s="21">
        <f>COUNTIFS(T_Programme[Code installation],$C69,T_Programme[Type opération source],$N69,T_Programme[Périodicité],$F69,T_Programme[Année],K$7)</f>
        <v>0</v>
      </c>
      <c r="L69" s="21">
        <f>COUNTIFS(T_Programme[Code installation],$C69,T_Programme[Type opération source],$N69,T_Programme[Périodicité],$F69,T_Programme[Année],L$7)</f>
        <v>0</v>
      </c>
      <c r="M69" s="21">
        <f>COUNTIFS(T_Programme[Code installation],$C69,T_Programme[Type opération source],$N69,T_Programme[Périodicité],$F69,T_Programme[Année],M$7)</f>
        <v>0</v>
      </c>
      <c r="N69" s="18" t="inlineStr">
        <is>
          <t>TYPE_B</t>
        </is>
      </c>
      <c r="O69" s="18" t="str">
        <f>IFERROR(INDEX(T_Referentiel[Statut],MATCH($N69,T_Referentiel[Valeur source],0)),"Absent du référentiel")</f>
        <v>Validé pour démo</v>
      </c>
      <c r="P69" s="18" t="str">
        <f>IF(COUNTIF(G69:M69,"&gt;1")&gt;0,"Doublon potentiel : à confirmer","")</f>
        <v/>
      </c>
    </row>
    <row r="70" ht="18" customHeight="1">
      <c r="A70" s="18" t="inlineStr">
        <is>
          <t>PERIM_B</t>
        </is>
      </c>
      <c r="B70" s="18" t="inlineStr">
        <is>
          <t>GRP_B2</t>
        </is>
      </c>
      <c r="C70" s="18" t="inlineStr">
        <is>
          <t>INST-025</t>
        </is>
      </c>
      <c r="D70" s="18" t="inlineStr">
        <is>
          <t>Installation Y1</t>
        </is>
      </c>
      <c r="E70" s="19" t="str">
        <f>IFERROR(INDEX(T_Referentiel[Libellé affiché],MATCH($N70,T_Referentiel[Valeur source],0)),"À confirmer")</f>
        <v>Révision</v>
      </c>
      <c r="F70" s="20" t="inlineStr">
        <is>
          <t>6 ans</t>
        </is>
      </c>
      <c r="G70" s="21">
        <f>COUNTIFS(T_Programme[Code installation],$C70,T_Programme[Type opération source],$N70,T_Programme[Périodicité],$F70,T_Programme[Année],G$7)</f>
        <v>0</v>
      </c>
      <c r="H70" s="21">
        <f>COUNTIFS(T_Programme[Code installation],$C70,T_Programme[Type opération source],$N70,T_Programme[Périodicité],$F70,T_Programme[Année],H$7)</f>
        <v>1</v>
      </c>
      <c r="I70" s="21">
        <f>COUNTIFS(T_Programme[Code installation],$C70,T_Programme[Type opération source],$N70,T_Programme[Périodicité],$F70,T_Programme[Année],I$7)</f>
        <v>0</v>
      </c>
      <c r="J70" s="21">
        <f>COUNTIFS(T_Programme[Code installation],$C70,T_Programme[Type opération source],$N70,T_Programme[Périodicité],$F70,T_Programme[Année],J$7)</f>
        <v>0</v>
      </c>
      <c r="K70" s="21">
        <f>COUNTIFS(T_Programme[Code installation],$C70,T_Programme[Type opération source],$N70,T_Programme[Périodicité],$F70,T_Programme[Année],K$7)</f>
        <v>0</v>
      </c>
      <c r="L70" s="21">
        <f>COUNTIFS(T_Programme[Code installation],$C70,T_Programme[Type opération source],$N70,T_Programme[Périodicité],$F70,T_Programme[Année],L$7)</f>
        <v>0</v>
      </c>
      <c r="M70" s="21">
        <f>COUNTIFS(T_Programme[Code installation],$C70,T_Programme[Type opération source],$N70,T_Programme[Périodicité],$F70,T_Programme[Année],M$7)</f>
        <v>0</v>
      </c>
      <c r="N70" s="18" t="inlineStr">
        <is>
          <t>TYPE_D</t>
        </is>
      </c>
      <c r="O70" s="18" t="str">
        <f>IFERROR(INDEX(T_Referentiel[Statut],MATCH($N70,T_Referentiel[Valeur source],0)),"Absent du référentiel")</f>
        <v>Validé pour démo</v>
      </c>
      <c r="P70" s="18" t="str">
        <f>IF(COUNTIF(G70:M70,"&gt;1")&gt;0,"Doublon potentiel : à confirmer","")</f>
        <v/>
      </c>
    </row>
    <row r="71" ht="18" customHeight="1">
      <c r="A71" s="18" t="inlineStr">
        <is>
          <t>PERIM_B</t>
        </is>
      </c>
      <c r="B71" s="18" t="inlineStr">
        <is>
          <t>GRP_B2</t>
        </is>
      </c>
      <c r="C71" s="18" t="inlineStr">
        <is>
          <t>INST-025</t>
        </is>
      </c>
      <c r="D71" s="18" t="inlineStr">
        <is>
          <t>Installation Y1</t>
        </is>
      </c>
      <c r="E71" s="19" t="str">
        <f>IFERROR(INDEX(T_Referentiel[Libellé affiché],MATCH($N71,T_Referentiel[Valeur source],0)),"À confirmer")</f>
        <v>Opération spécifique</v>
      </c>
      <c r="F71" s="20" t="inlineStr">
        <is>
          <t>2 ans</t>
        </is>
      </c>
      <c r="G71" s="21">
        <f>COUNTIFS(T_Programme[Code installation],$C71,T_Programme[Type opération source],$N71,T_Programme[Périodicité],$F71,T_Programme[Année],G$7)</f>
        <v>0</v>
      </c>
      <c r="H71" s="21">
        <f>COUNTIFS(T_Programme[Code installation],$C71,T_Programme[Type opération source],$N71,T_Programme[Périodicité],$F71,T_Programme[Année],H$7)</f>
        <v>1</v>
      </c>
      <c r="I71" s="21">
        <f>COUNTIFS(T_Programme[Code installation],$C71,T_Programme[Type opération source],$N71,T_Programme[Périodicité],$F71,T_Programme[Année],I$7)</f>
        <v>0</v>
      </c>
      <c r="J71" s="21">
        <f>COUNTIFS(T_Programme[Code installation],$C71,T_Programme[Type opération source],$N71,T_Programme[Périodicité],$F71,T_Programme[Année],J$7)</f>
        <v>0</v>
      </c>
      <c r="K71" s="21">
        <f>COUNTIFS(T_Programme[Code installation],$C71,T_Programme[Type opération source],$N71,T_Programme[Périodicité],$F71,T_Programme[Année],K$7)</f>
        <v>0</v>
      </c>
      <c r="L71" s="21">
        <f>COUNTIFS(T_Programme[Code installation],$C71,T_Programme[Type opération source],$N71,T_Programme[Périodicité],$F71,T_Programme[Année],L$7)</f>
        <v>0</v>
      </c>
      <c r="M71" s="21">
        <f>COUNTIFS(T_Programme[Code installation],$C71,T_Programme[Type opération source],$N71,T_Programme[Périodicité],$F71,T_Programme[Année],M$7)</f>
        <v>1</v>
      </c>
      <c r="N71" s="18" t="inlineStr">
        <is>
          <t>TYPE_E</t>
        </is>
      </c>
      <c r="O71" s="18" t="str">
        <f>IFERROR(INDEX(T_Referentiel[Statut],MATCH($N71,T_Referentiel[Valeur source],0)),"Absent du référentiel")</f>
        <v>À confirmer</v>
      </c>
      <c r="P71" s="18" t="str">
        <f>IF(COUNTIF(G71:M71,"&gt;1")&gt;0,"Doublon potentiel : à confirmer","")</f>
        <v/>
      </c>
    </row>
    <row r="72" ht="18" customHeight="1">
      <c r="A72" s="18" t="inlineStr">
        <is>
          <t>PERIM_B</t>
        </is>
      </c>
      <c r="B72" s="18" t="inlineStr">
        <is>
          <t>GRP_B2</t>
        </is>
      </c>
      <c r="C72" s="18" t="inlineStr">
        <is>
          <t>INST-026</t>
        </is>
      </c>
      <c r="D72" s="18" t="inlineStr">
        <is>
          <t>Installation Z1</t>
        </is>
      </c>
      <c r="E72" s="19" t="str">
        <f>IFERROR(INDEX(T_Referentiel[Libellé affiché],MATCH($N72,T_Referentiel[Valeur source],0)),"À confirmer")</f>
        <v>Essai de conformité</v>
      </c>
      <c r="F72" s="20" t="inlineStr">
        <is>
          <t>2 ans</t>
        </is>
      </c>
      <c r="G72" s="21">
        <f>COUNTIFS(T_Programme[Code installation],$C72,T_Programme[Type opération source],$N72,T_Programme[Périodicité],$F72,T_Programme[Année],G$7)</f>
        <v>0</v>
      </c>
      <c r="H72" s="21">
        <f>COUNTIFS(T_Programme[Code installation],$C72,T_Programme[Type opération source],$N72,T_Programme[Périodicité],$F72,T_Programme[Année],H$7)</f>
        <v>0</v>
      </c>
      <c r="I72" s="21">
        <f>COUNTIFS(T_Programme[Code installation],$C72,T_Programme[Type opération source],$N72,T_Programme[Périodicité],$F72,T_Programme[Année],I$7)</f>
        <v>1</v>
      </c>
      <c r="J72" s="21">
        <f>COUNTIFS(T_Programme[Code installation],$C72,T_Programme[Type opération source],$N72,T_Programme[Périodicité],$F72,T_Programme[Année],J$7)</f>
        <v>0</v>
      </c>
      <c r="K72" s="21">
        <f>COUNTIFS(T_Programme[Code installation],$C72,T_Programme[Type opération source],$N72,T_Programme[Périodicité],$F72,T_Programme[Année],K$7)</f>
        <v>0</v>
      </c>
      <c r="L72" s="21">
        <f>COUNTIFS(T_Programme[Code installation],$C72,T_Programme[Type opération source],$N72,T_Programme[Périodicité],$F72,T_Programme[Année],L$7)</f>
        <v>0</v>
      </c>
      <c r="M72" s="21">
        <f>COUNTIFS(T_Programme[Code installation],$C72,T_Programme[Type opération source],$N72,T_Programme[Périodicité],$F72,T_Programme[Année],M$7)</f>
        <v>0</v>
      </c>
      <c r="N72" s="18" t="inlineStr">
        <is>
          <t>TYPE_B</t>
        </is>
      </c>
      <c r="O72" s="18" t="str">
        <f>IFERROR(INDEX(T_Referentiel[Statut],MATCH($N72,T_Referentiel[Valeur source],0)),"Absent du référentiel")</f>
        <v>Validé pour démo</v>
      </c>
      <c r="P72" s="18" t="str">
        <f>IF(COUNTIF(G72:M72,"&gt;1")&gt;0,"Doublon potentiel : à confirmer","")</f>
        <v/>
      </c>
    </row>
    <row r="73" ht="18" customHeight="1">
      <c r="A73" s="18" t="inlineStr">
        <is>
          <t>PERIM_B</t>
        </is>
      </c>
      <c r="B73" s="18" t="inlineStr">
        <is>
          <t>GRP_B2</t>
        </is>
      </c>
      <c r="C73" s="18" t="inlineStr">
        <is>
          <t>INST-026</t>
        </is>
      </c>
      <c r="D73" s="18" t="inlineStr">
        <is>
          <t>Installation Z1</t>
        </is>
      </c>
      <c r="E73" s="19" t="str">
        <f>IFERROR(INDEX(T_Referentiel[Libellé affiché],MATCH($N73,T_Referentiel[Valeur source],0)),"À confirmer")</f>
        <v>Contrôle filtre</v>
      </c>
      <c r="F73" s="20" t="inlineStr">
        <is>
          <t>3 ans</t>
        </is>
      </c>
      <c r="G73" s="21">
        <f>COUNTIFS(T_Programme[Code installation],$C73,T_Programme[Type opération source],$N73,T_Programme[Périodicité],$F73,T_Programme[Année],G$7)</f>
        <v>0</v>
      </c>
      <c r="H73" s="21">
        <f>COUNTIFS(T_Programme[Code installation],$C73,T_Programme[Type opération source],$N73,T_Programme[Périodicité],$F73,T_Programme[Année],H$7)</f>
        <v>0</v>
      </c>
      <c r="I73" s="21">
        <f>COUNTIFS(T_Programme[Code installation],$C73,T_Programme[Type opération source],$N73,T_Programme[Périodicité],$F73,T_Programme[Année],I$7)</f>
        <v>0</v>
      </c>
      <c r="J73" s="21">
        <f>COUNTIFS(T_Programme[Code installation],$C73,T_Programme[Type opération source],$N73,T_Programme[Périodicité],$F73,T_Programme[Année],J$7)</f>
        <v>0</v>
      </c>
      <c r="K73" s="21">
        <f>COUNTIFS(T_Programme[Code installation],$C73,T_Programme[Type opération source],$N73,T_Programme[Périodicité],$F73,T_Programme[Année],K$7)</f>
        <v>0</v>
      </c>
      <c r="L73" s="21">
        <f>COUNTIFS(T_Programme[Code installation],$C73,T_Programme[Type opération source],$N73,T_Programme[Périodicité],$F73,T_Programme[Année],L$7)</f>
        <v>1</v>
      </c>
      <c r="M73" s="21">
        <f>COUNTIFS(T_Programme[Code installation],$C73,T_Programme[Type opération source],$N73,T_Programme[Périodicité],$F73,T_Programme[Année],M$7)</f>
        <v>0</v>
      </c>
      <c r="N73" s="18" t="inlineStr">
        <is>
          <t>TYPE_C</t>
        </is>
      </c>
      <c r="O73" s="18" t="str">
        <f>IFERROR(INDEX(T_Referentiel[Statut],MATCH($N73,T_Referentiel[Valeur source],0)),"Absent du référentiel")</f>
        <v>Validé pour démo</v>
      </c>
      <c r="P73" s="18" t="str">
        <f>IF(COUNTIF(G73:M73,"&gt;1")&gt;0,"Doublon potentiel : à confirmer","")</f>
        <v/>
      </c>
    </row>
    <row r="74" ht="18" customHeight="1">
      <c r="A74" s="18" t="inlineStr">
        <is>
          <t>PERIM_B</t>
        </is>
      </c>
      <c r="B74" s="18" t="inlineStr">
        <is>
          <t>GRP_B2</t>
        </is>
      </c>
      <c r="C74" s="18" t="inlineStr">
        <is>
          <t>INST-026</t>
        </is>
      </c>
      <c r="D74" s="18" t="inlineStr">
        <is>
          <t>Installation Z1</t>
        </is>
      </c>
      <c r="E74" s="19" t="str">
        <f>IFERROR(INDEX(T_Referentiel[Libellé affiché],MATCH($N74,T_Referentiel[Valeur source],0)),"À confirmer")</f>
        <v>Révision</v>
      </c>
      <c r="F74" s="20" t="inlineStr">
        <is>
          <t>6 ans</t>
        </is>
      </c>
      <c r="G74" s="21">
        <f>COUNTIFS(T_Programme[Code installation],$C74,T_Programme[Type opération source],$N74,T_Programme[Périodicité],$F74,T_Programme[Année],G$7)</f>
        <v>0</v>
      </c>
      <c r="H74" s="21">
        <f>COUNTIFS(T_Programme[Code installation],$C74,T_Programme[Type opération source],$N74,T_Programme[Périodicité],$F74,T_Programme[Année],H$7)</f>
        <v>0</v>
      </c>
      <c r="I74" s="21">
        <f>COUNTIFS(T_Programme[Code installation],$C74,T_Programme[Type opération source],$N74,T_Programme[Périodicité],$F74,T_Programme[Année],I$7)</f>
        <v>1</v>
      </c>
      <c r="J74" s="21">
        <f>COUNTIFS(T_Programme[Code installation],$C74,T_Programme[Type opération source],$N74,T_Programme[Périodicité],$F74,T_Programme[Année],J$7)</f>
        <v>0</v>
      </c>
      <c r="K74" s="21">
        <f>COUNTIFS(T_Programme[Code installation],$C74,T_Programme[Type opération source],$N74,T_Programme[Périodicité],$F74,T_Programme[Année],K$7)</f>
        <v>0</v>
      </c>
      <c r="L74" s="21">
        <f>COUNTIFS(T_Programme[Code installation],$C74,T_Programme[Type opération source],$N74,T_Programme[Périodicité],$F74,T_Programme[Année],L$7)</f>
        <v>0</v>
      </c>
      <c r="M74" s="21">
        <f>COUNTIFS(T_Programme[Code installation],$C74,T_Programme[Type opération source],$N74,T_Programme[Périodicité],$F74,T_Programme[Année],M$7)</f>
        <v>0</v>
      </c>
      <c r="N74" s="18" t="inlineStr">
        <is>
          <t>TYPE_D</t>
        </is>
      </c>
      <c r="O74" s="18" t="str">
        <f>IFERROR(INDEX(T_Referentiel[Statut],MATCH($N74,T_Referentiel[Valeur source],0)),"Absent du référentiel")</f>
        <v>Validé pour démo</v>
      </c>
      <c r="P74" s="18" t="str">
        <f>IF(COUNTIF(G74:M74,"&gt;1")&gt;0,"Doublon potentiel : à confirmer","")</f>
        <v/>
      </c>
    </row>
    <row r="75" ht="18" customHeight="1">
      <c r="A75" s="18" t="inlineStr">
        <is>
          <t>PERIM_B</t>
        </is>
      </c>
      <c r="B75" s="18" t="inlineStr">
        <is>
          <t>GRP_B2</t>
        </is>
      </c>
      <c r="C75" s="18" t="inlineStr">
        <is>
          <t>INST-027</t>
        </is>
      </c>
      <c r="D75" s="18" t="inlineStr">
        <is>
          <t>Installation A2</t>
        </is>
      </c>
      <c r="E75" s="19" t="str">
        <f>IFERROR(INDEX(T_Referentiel[Libellé affiché],MATCH($N75,T_Referentiel[Valeur source],0)),"À confirmer")</f>
        <v>Essai de conformité</v>
      </c>
      <c r="F75" s="20" t="inlineStr">
        <is>
          <t>2 ans</t>
        </is>
      </c>
      <c r="G75" s="21">
        <f>COUNTIFS(T_Programme[Code installation],$C75,T_Programme[Type opération source],$N75,T_Programme[Périodicité],$F75,T_Programme[Année],G$7)</f>
        <v>0</v>
      </c>
      <c r="H75" s="21">
        <f>COUNTIFS(T_Programme[Code installation],$C75,T_Programme[Type opération source],$N75,T_Programme[Périodicité],$F75,T_Programme[Année],H$7)</f>
        <v>0</v>
      </c>
      <c r="I75" s="21">
        <f>COUNTIFS(T_Programme[Code installation],$C75,T_Programme[Type opération source],$N75,T_Programme[Périodicité],$F75,T_Programme[Année],I$7)</f>
        <v>0</v>
      </c>
      <c r="J75" s="21">
        <f>COUNTIFS(T_Programme[Code installation],$C75,T_Programme[Type opération source],$N75,T_Programme[Périodicité],$F75,T_Programme[Année],J$7)</f>
        <v>1</v>
      </c>
      <c r="K75" s="21">
        <f>COUNTIFS(T_Programme[Code installation],$C75,T_Programme[Type opération source],$N75,T_Programme[Périodicité],$F75,T_Programme[Année],K$7)</f>
        <v>0</v>
      </c>
      <c r="L75" s="21">
        <f>COUNTIFS(T_Programme[Code installation],$C75,T_Programme[Type opération source],$N75,T_Programme[Périodicité],$F75,T_Programme[Année],L$7)</f>
        <v>0</v>
      </c>
      <c r="M75" s="21">
        <f>COUNTIFS(T_Programme[Code installation],$C75,T_Programme[Type opération source],$N75,T_Programme[Périodicité],$F75,T_Programme[Année],M$7)</f>
        <v>0</v>
      </c>
      <c r="N75" s="18" t="inlineStr">
        <is>
          <t>TYPE_B</t>
        </is>
      </c>
      <c r="O75" s="18" t="str">
        <f>IFERROR(INDEX(T_Referentiel[Statut],MATCH($N75,T_Referentiel[Valeur source],0)),"Absent du référentiel")</f>
        <v>Validé pour démo</v>
      </c>
      <c r="P75" s="18" t="str">
        <f>IF(COUNTIF(G75:M75,"&gt;1")&gt;0,"Doublon potentiel : à confirmer","")</f>
        <v/>
      </c>
    </row>
    <row r="76" ht="18" customHeight="1">
      <c r="A76" s="18" t="inlineStr">
        <is>
          <t>PERIM_B</t>
        </is>
      </c>
      <c r="B76" s="18" t="inlineStr">
        <is>
          <t>GRP_B2</t>
        </is>
      </c>
      <c r="C76" s="18" t="inlineStr">
        <is>
          <t>INST-027</t>
        </is>
      </c>
      <c r="D76" s="18" t="inlineStr">
        <is>
          <t>Installation A2</t>
        </is>
      </c>
      <c r="E76" s="19" t="str">
        <f>IFERROR(INDEX(T_Referentiel[Libellé affiché],MATCH($N76,T_Referentiel[Valeur source],0)),"À confirmer")</f>
        <v>Opération spécifique</v>
      </c>
      <c r="F76" s="20" t="inlineStr">
        <is>
          <t>2 ans</t>
        </is>
      </c>
      <c r="G76" s="21">
        <f>COUNTIFS(T_Programme[Code installation],$C76,T_Programme[Type opération source],$N76,T_Programme[Périodicité],$F76,T_Programme[Année],G$7)</f>
        <v>0</v>
      </c>
      <c r="H76" s="21">
        <f>COUNTIFS(T_Programme[Code installation],$C76,T_Programme[Type opération source],$N76,T_Programme[Périodicité],$F76,T_Programme[Année],H$7)</f>
        <v>0</v>
      </c>
      <c r="I76" s="21">
        <f>COUNTIFS(T_Programme[Code installation],$C76,T_Programme[Type opération source],$N76,T_Programme[Périodicité],$F76,T_Programme[Année],I$7)</f>
        <v>0</v>
      </c>
      <c r="J76" s="21">
        <f>COUNTIFS(T_Programme[Code installation],$C76,T_Programme[Type opération source],$N76,T_Programme[Périodicité],$F76,T_Programme[Année],J$7)</f>
        <v>0</v>
      </c>
      <c r="K76" s="21">
        <f>COUNTIFS(T_Programme[Code installation],$C76,T_Programme[Type opération source],$N76,T_Programme[Périodicité],$F76,T_Programme[Année],K$7)</f>
        <v>1</v>
      </c>
      <c r="L76" s="21">
        <f>COUNTIFS(T_Programme[Code installation],$C76,T_Programme[Type opération source],$N76,T_Programme[Périodicité],$F76,T_Programme[Année],L$7)</f>
        <v>0</v>
      </c>
      <c r="M76" s="21">
        <f>COUNTIFS(T_Programme[Code installation],$C76,T_Programme[Type opération source],$N76,T_Programme[Périodicité],$F76,T_Programme[Année],M$7)</f>
        <v>0</v>
      </c>
      <c r="N76" s="18" t="inlineStr">
        <is>
          <t>TYPE_E</t>
        </is>
      </c>
      <c r="O76" s="18" t="str">
        <f>IFERROR(INDEX(T_Referentiel[Statut],MATCH($N76,T_Referentiel[Valeur source],0)),"Absent du référentiel")</f>
        <v>À confirmer</v>
      </c>
      <c r="P76" s="18" t="str">
        <f>IF(COUNTIF(G76:M76,"&gt;1")&gt;0,"Doublon potentiel : à confirmer","")</f>
        <v/>
      </c>
    </row>
    <row r="77" ht="18" customHeight="1">
      <c r="A77" s="18" t="inlineStr">
        <is>
          <t>PERIM_B</t>
        </is>
      </c>
      <c r="B77" s="18" t="inlineStr">
        <is>
          <t>GRP_B2</t>
        </is>
      </c>
      <c r="C77" s="18" t="inlineStr">
        <is>
          <t>INST-028</t>
        </is>
      </c>
      <c r="D77" s="18" t="inlineStr">
        <is>
          <t>Installation B2</t>
        </is>
      </c>
      <c r="E77" s="19" t="str">
        <f>IFERROR(INDEX(T_Referentiel[Libellé affiché],MATCH($N77,T_Referentiel[Valeur source],0)),"À confirmer")</f>
        <v>Essai de conformité</v>
      </c>
      <c r="F77" s="20" t="inlineStr">
        <is>
          <t>2 ans</t>
        </is>
      </c>
      <c r="G77" s="21">
        <f>COUNTIFS(T_Programme[Code installation],$C77,T_Programme[Type opération source],$N77,T_Programme[Périodicité],$F77,T_Programme[Année],G$7)</f>
        <v>1</v>
      </c>
      <c r="H77" s="21">
        <f>COUNTIFS(T_Programme[Code installation],$C77,T_Programme[Type opération source],$N77,T_Programme[Périodicité],$F77,T_Programme[Année],H$7)</f>
        <v>0</v>
      </c>
      <c r="I77" s="21">
        <f>COUNTIFS(T_Programme[Code installation],$C77,T_Programme[Type opération source],$N77,T_Programme[Périodicité],$F77,T_Programme[Année],I$7)</f>
        <v>0</v>
      </c>
      <c r="J77" s="21">
        <f>COUNTIFS(T_Programme[Code installation],$C77,T_Programme[Type opération source],$N77,T_Programme[Périodicité],$F77,T_Programme[Année],J$7)</f>
        <v>0</v>
      </c>
      <c r="K77" s="21">
        <f>COUNTIFS(T_Programme[Code installation],$C77,T_Programme[Type opération source],$N77,T_Programme[Périodicité],$F77,T_Programme[Année],K$7)</f>
        <v>0</v>
      </c>
      <c r="L77" s="21">
        <f>COUNTIFS(T_Programme[Code installation],$C77,T_Programme[Type opération source],$N77,T_Programme[Périodicité],$F77,T_Programme[Année],L$7)</f>
        <v>0</v>
      </c>
      <c r="M77" s="21">
        <f>COUNTIFS(T_Programme[Code installation],$C77,T_Programme[Type opération source],$N77,T_Programme[Périodicité],$F77,T_Programme[Année],M$7)</f>
        <v>0</v>
      </c>
      <c r="N77" s="18" t="inlineStr">
        <is>
          <t>TYPE_B</t>
        </is>
      </c>
      <c r="O77" s="18" t="str">
        <f>IFERROR(INDEX(T_Referentiel[Statut],MATCH($N77,T_Referentiel[Valeur source],0)),"Absent du référentiel")</f>
        <v>Validé pour démo</v>
      </c>
      <c r="P77" s="18" t="str">
        <f>IF(COUNTIF(G77:M77,"&gt;1")&gt;0,"Doublon potentiel : à confirmer","")</f>
        <v/>
      </c>
    </row>
    <row r="78" ht="18" customHeight="1">
      <c r="A78" s="18" t="inlineStr">
        <is>
          <t>PERIM_B</t>
        </is>
      </c>
      <c r="B78" s="18" t="inlineStr">
        <is>
          <t>GRP_B2</t>
        </is>
      </c>
      <c r="C78" s="18" t="inlineStr">
        <is>
          <t>INST-028</t>
        </is>
      </c>
      <c r="D78" s="18" t="inlineStr">
        <is>
          <t>Installation B2</t>
        </is>
      </c>
      <c r="E78" s="19" t="str">
        <f>IFERROR(INDEX(T_Referentiel[Libellé affiché],MATCH($N78,T_Referentiel[Valeur source],0)),"À confirmer")</f>
        <v>Opération spécifique</v>
      </c>
      <c r="F78" s="20" t="inlineStr">
        <is>
          <t>2 ans</t>
        </is>
      </c>
      <c r="G78" s="21">
        <f>COUNTIFS(T_Programme[Code installation],$C78,T_Programme[Type opération source],$N78,T_Programme[Périodicité],$F78,T_Programme[Année],G$7)</f>
        <v>0</v>
      </c>
      <c r="H78" s="21">
        <f>COUNTIFS(T_Programme[Code installation],$C78,T_Programme[Type opération source],$N78,T_Programme[Périodicité],$F78,T_Programme[Année],H$7)</f>
        <v>0</v>
      </c>
      <c r="I78" s="21">
        <f>COUNTIFS(T_Programme[Code installation],$C78,T_Programme[Type opération source],$N78,T_Programme[Périodicité],$F78,T_Programme[Année],I$7)</f>
        <v>0</v>
      </c>
      <c r="J78" s="21">
        <f>COUNTIFS(T_Programme[Code installation],$C78,T_Programme[Type opération source],$N78,T_Programme[Périodicité],$F78,T_Programme[Année],J$7)</f>
        <v>0</v>
      </c>
      <c r="K78" s="21">
        <f>COUNTIFS(T_Programme[Code installation],$C78,T_Programme[Type opération source],$N78,T_Programme[Périodicité],$F78,T_Programme[Année],K$7)</f>
        <v>0</v>
      </c>
      <c r="L78" s="21">
        <f>COUNTIFS(T_Programme[Code installation],$C78,T_Programme[Type opération source],$N78,T_Programme[Périodicité],$F78,T_Programme[Année],L$7)</f>
        <v>0</v>
      </c>
      <c r="M78" s="21">
        <f>COUNTIFS(T_Programme[Code installation],$C78,T_Programme[Type opération source],$N78,T_Programme[Périodicité],$F78,T_Programme[Année],M$7)</f>
        <v>1</v>
      </c>
      <c r="N78" s="18" t="inlineStr">
        <is>
          <t>TYPE_E</t>
        </is>
      </c>
      <c r="O78" s="18" t="str">
        <f>IFERROR(INDEX(T_Referentiel[Statut],MATCH($N78,T_Referentiel[Valeur source],0)),"Absent du référentiel")</f>
        <v>À confirmer</v>
      </c>
      <c r="P78" s="18" t="str">
        <f>IF(COUNTIF(G78:M78,"&gt;1")&gt;0,"Doublon potentiel : à confirmer","")</f>
        <v/>
      </c>
    </row>
    <row r="79" ht="18" customHeight="1">
      <c r="A79" s="18" t="inlineStr">
        <is>
          <t>PERIM_B</t>
        </is>
      </c>
      <c r="B79" s="18" t="inlineStr">
        <is>
          <t>GRP_B2</t>
        </is>
      </c>
      <c r="C79" s="18" t="inlineStr">
        <is>
          <t>INST-029</t>
        </is>
      </c>
      <c r="D79" s="18" t="inlineStr">
        <is>
          <t>Installation C2</t>
        </is>
      </c>
      <c r="E79" s="19" t="str">
        <f>IFERROR(INDEX(T_Referentiel[Libellé affiché],MATCH($N79,T_Referentiel[Valeur source],0)),"À confirmer")</f>
        <v>Contrôle annuel</v>
      </c>
      <c r="F79" s="20" t="inlineStr">
        <is>
          <t>1 an</t>
        </is>
      </c>
      <c r="G79" s="21">
        <f>COUNTIFS(T_Programme[Code installation],$C79,T_Programme[Type opération source],$N79,T_Programme[Périodicité],$F79,T_Programme[Année],G$7)</f>
        <v>0</v>
      </c>
      <c r="H79" s="21">
        <f>COUNTIFS(T_Programme[Code installation],$C79,T_Programme[Type opération source],$N79,T_Programme[Périodicité],$F79,T_Programme[Année],H$7)</f>
        <v>0</v>
      </c>
      <c r="I79" s="21">
        <f>COUNTIFS(T_Programme[Code installation],$C79,T_Programme[Type opération source],$N79,T_Programme[Périodicité],$F79,T_Programme[Année],I$7)</f>
        <v>1</v>
      </c>
      <c r="J79" s="21">
        <f>COUNTIFS(T_Programme[Code installation],$C79,T_Programme[Type opération source],$N79,T_Programme[Périodicité],$F79,T_Programme[Année],J$7)</f>
        <v>0</v>
      </c>
      <c r="K79" s="21">
        <f>COUNTIFS(T_Programme[Code installation],$C79,T_Programme[Type opération source],$N79,T_Programme[Périodicité],$F79,T_Programme[Année],K$7)</f>
        <v>0</v>
      </c>
      <c r="L79" s="21">
        <f>COUNTIFS(T_Programme[Code installation],$C79,T_Programme[Type opération source],$N79,T_Programme[Périodicité],$F79,T_Programme[Année],L$7)</f>
        <v>0</v>
      </c>
      <c r="M79" s="21">
        <f>COUNTIFS(T_Programme[Code installation],$C79,T_Programme[Type opération source],$N79,T_Programme[Périodicité],$F79,T_Programme[Année],M$7)</f>
        <v>0</v>
      </c>
      <c r="N79" s="18" t="inlineStr">
        <is>
          <t>TYPE_A</t>
        </is>
      </c>
      <c r="O79" s="18" t="str">
        <f>IFERROR(INDEX(T_Referentiel[Statut],MATCH($N79,T_Referentiel[Valeur source],0)),"Absent du référentiel")</f>
        <v>Validé pour démo</v>
      </c>
      <c r="P79" s="18" t="str">
        <f>IF(COUNTIF(G79:M79,"&gt;1")&gt;0,"Doublon potentiel : à confirmer","")</f>
        <v/>
      </c>
    </row>
    <row r="80" ht="18" customHeight="1">
      <c r="A80" s="18" t="inlineStr">
        <is>
          <t>PERIM_B</t>
        </is>
      </c>
      <c r="B80" s="18" t="inlineStr">
        <is>
          <t>GRP_B2</t>
        </is>
      </c>
      <c r="C80" s="18" t="inlineStr">
        <is>
          <t>INST-029</t>
        </is>
      </c>
      <c r="D80" s="18" t="inlineStr">
        <is>
          <t>Installation C2</t>
        </is>
      </c>
      <c r="E80" s="19" t="str">
        <f>IFERROR(INDEX(T_Referentiel[Libellé affiché],MATCH($N80,T_Referentiel[Valeur source],0)),"À confirmer")</f>
        <v>Essai de conformité</v>
      </c>
      <c r="F80" s="20" t="inlineStr">
        <is>
          <t>2 ans</t>
        </is>
      </c>
      <c r="G80" s="21">
        <f>COUNTIFS(T_Programme[Code installation],$C80,T_Programme[Type opération source],$N80,T_Programme[Périodicité],$F80,T_Programme[Année],G$7)</f>
        <v>0</v>
      </c>
      <c r="H80" s="21">
        <f>COUNTIFS(T_Programme[Code installation],$C80,T_Programme[Type opération source],$N80,T_Programme[Périodicité],$F80,T_Programme[Année],H$7)</f>
        <v>1</v>
      </c>
      <c r="I80" s="21">
        <f>COUNTIFS(T_Programme[Code installation],$C80,T_Programme[Type opération source],$N80,T_Programme[Périodicité],$F80,T_Programme[Année],I$7)</f>
        <v>0</v>
      </c>
      <c r="J80" s="21">
        <f>COUNTIFS(T_Programme[Code installation],$C80,T_Programme[Type opération source],$N80,T_Programme[Périodicité],$F80,T_Programme[Année],J$7)</f>
        <v>0</v>
      </c>
      <c r="K80" s="21">
        <f>COUNTIFS(T_Programme[Code installation],$C80,T_Programme[Type opération source],$N80,T_Programme[Périodicité],$F80,T_Programme[Année],K$7)</f>
        <v>0</v>
      </c>
      <c r="L80" s="21">
        <f>COUNTIFS(T_Programme[Code installation],$C80,T_Programme[Type opération source],$N80,T_Programme[Périodicité],$F80,T_Programme[Année],L$7)</f>
        <v>0</v>
      </c>
      <c r="M80" s="21">
        <f>COUNTIFS(T_Programme[Code installation],$C80,T_Programme[Type opération source],$N80,T_Programme[Périodicité],$F80,T_Programme[Année],M$7)</f>
        <v>0</v>
      </c>
      <c r="N80" s="18" t="inlineStr">
        <is>
          <t>TYPE_B</t>
        </is>
      </c>
      <c r="O80" s="18" t="str">
        <f>IFERROR(INDEX(T_Referentiel[Statut],MATCH($N80,T_Referentiel[Valeur source],0)),"Absent du référentiel")</f>
        <v>Validé pour démo</v>
      </c>
      <c r="P80" s="18" t="str">
        <f>IF(COUNTIF(G80:M80,"&gt;1")&gt;0,"Doublon potentiel : à confirmer","")</f>
        <v/>
      </c>
    </row>
    <row r="81" ht="18" customHeight="1">
      <c r="A81" s="18" t="inlineStr">
        <is>
          <t>PERIM_B</t>
        </is>
      </c>
      <c r="B81" s="18" t="inlineStr">
        <is>
          <t>GRP_B2</t>
        </is>
      </c>
      <c r="C81" s="18" t="inlineStr">
        <is>
          <t>INST-029</t>
        </is>
      </c>
      <c r="D81" s="18" t="inlineStr">
        <is>
          <t>Installation C2</t>
        </is>
      </c>
      <c r="E81" s="19" t="str">
        <f>IFERROR(INDEX(T_Referentiel[Libellé affiché],MATCH($N81,T_Referentiel[Valeur source],0)),"À confirmer")</f>
        <v>Contrôle filtre</v>
      </c>
      <c r="F81" s="20" t="inlineStr">
        <is>
          <t>3 ans</t>
        </is>
      </c>
      <c r="G81" s="21">
        <f>COUNTIFS(T_Programme[Code installation],$C81,T_Programme[Type opération source],$N81,T_Programme[Périodicité],$F81,T_Programme[Année],G$7)</f>
        <v>0</v>
      </c>
      <c r="H81" s="21">
        <f>COUNTIFS(T_Programme[Code installation],$C81,T_Programme[Type opération source],$N81,T_Programme[Périodicité],$F81,T_Programme[Année],H$7)</f>
        <v>0</v>
      </c>
      <c r="I81" s="21">
        <f>COUNTIFS(T_Programme[Code installation],$C81,T_Programme[Type opération source],$N81,T_Programme[Périodicité],$F81,T_Programme[Année],I$7)</f>
        <v>0</v>
      </c>
      <c r="J81" s="21">
        <f>COUNTIFS(T_Programme[Code installation],$C81,T_Programme[Type opération source],$N81,T_Programme[Périodicité],$F81,T_Programme[Année],J$7)</f>
        <v>1</v>
      </c>
      <c r="K81" s="21">
        <f>COUNTIFS(T_Programme[Code installation],$C81,T_Programme[Type opération source],$N81,T_Programme[Périodicité],$F81,T_Programme[Année],K$7)</f>
        <v>0</v>
      </c>
      <c r="L81" s="21">
        <f>COUNTIFS(T_Programme[Code installation],$C81,T_Programme[Type opération source],$N81,T_Programme[Périodicité],$F81,T_Programme[Année],L$7)</f>
        <v>0</v>
      </c>
      <c r="M81" s="21">
        <f>COUNTIFS(T_Programme[Code installation],$C81,T_Programme[Type opération source],$N81,T_Programme[Périodicité],$F81,T_Programme[Année],M$7)</f>
        <v>0</v>
      </c>
      <c r="N81" s="18" t="inlineStr">
        <is>
          <t>TYPE_C</t>
        </is>
      </c>
      <c r="O81" s="18" t="str">
        <f>IFERROR(INDEX(T_Referentiel[Statut],MATCH($N81,T_Referentiel[Valeur source],0)),"Absent du référentiel")</f>
        <v>Validé pour démo</v>
      </c>
      <c r="P81" s="18" t="str">
        <f>IF(COUNTIF(G81:M81,"&gt;1")&gt;0,"Doublon potentiel : à confirmer","")</f>
        <v/>
      </c>
    </row>
    <row r="82" ht="18" customHeight="1">
      <c r="A82" s="18" t="inlineStr">
        <is>
          <t>PERIM_B</t>
        </is>
      </c>
      <c r="B82" s="18" t="inlineStr">
        <is>
          <t>GRP_B2</t>
        </is>
      </c>
      <c r="C82" s="18" t="inlineStr">
        <is>
          <t>INST-029</t>
        </is>
      </c>
      <c r="D82" s="18" t="inlineStr">
        <is>
          <t>Installation C2</t>
        </is>
      </c>
      <c r="E82" s="19" t="str">
        <f>IFERROR(INDEX(T_Referentiel[Libellé affiché],MATCH($N82,T_Referentiel[Valeur source],0)),"À confirmer")</f>
        <v>Opération spécifique</v>
      </c>
      <c r="F82" s="20" t="inlineStr">
        <is>
          <t>2 ans</t>
        </is>
      </c>
      <c r="G82" s="21">
        <f>COUNTIFS(T_Programme[Code installation],$C82,T_Programme[Type opération source],$N82,T_Programme[Périodicité],$F82,T_Programme[Année],G$7)</f>
        <v>0</v>
      </c>
      <c r="H82" s="21">
        <f>COUNTIFS(T_Programme[Code installation],$C82,T_Programme[Type opération source],$N82,T_Programme[Périodicité],$F82,T_Programme[Année],H$7)</f>
        <v>0</v>
      </c>
      <c r="I82" s="21">
        <f>COUNTIFS(T_Programme[Code installation],$C82,T_Programme[Type opération source],$N82,T_Programme[Périodicité],$F82,T_Programme[Année],I$7)</f>
        <v>0</v>
      </c>
      <c r="J82" s="21">
        <f>COUNTIFS(T_Programme[Code installation],$C82,T_Programme[Type opération source],$N82,T_Programme[Périodicité],$F82,T_Programme[Année],J$7)</f>
        <v>0</v>
      </c>
      <c r="K82" s="21">
        <f>COUNTIFS(T_Programme[Code installation],$C82,T_Programme[Type opération source],$N82,T_Programme[Périodicité],$F82,T_Programme[Année],K$7)</f>
        <v>0</v>
      </c>
      <c r="L82" s="21">
        <f>COUNTIFS(T_Programme[Code installation],$C82,T_Programme[Type opération source],$N82,T_Programme[Périodicité],$F82,T_Programme[Année],L$7)</f>
        <v>1</v>
      </c>
      <c r="M82" s="21">
        <f>COUNTIFS(T_Programme[Code installation],$C82,T_Programme[Type opération source],$N82,T_Programme[Périodicité],$F82,T_Programme[Année],M$7)</f>
        <v>0</v>
      </c>
      <c r="N82" s="18" t="inlineStr">
        <is>
          <t>TYPE_E</t>
        </is>
      </c>
      <c r="O82" s="18" t="str">
        <f>IFERROR(INDEX(T_Referentiel[Statut],MATCH($N82,T_Referentiel[Valeur source],0)),"Absent du référentiel")</f>
        <v>À confirmer</v>
      </c>
      <c r="P82" s="18" t="str">
        <f>IF(COUNTIF(G82:M82,"&gt;1")&gt;0,"Doublon potentiel : à confirmer","")</f>
        <v/>
      </c>
    </row>
    <row r="83" ht="18" customHeight="1">
      <c r="A83" s="18" t="inlineStr">
        <is>
          <t>PERIM_B</t>
        </is>
      </c>
      <c r="B83" s="18" t="inlineStr">
        <is>
          <t>GRP_B2</t>
        </is>
      </c>
      <c r="C83" s="18" t="inlineStr">
        <is>
          <t>INST-030</t>
        </is>
      </c>
      <c r="D83" s="18" t="inlineStr">
        <is>
          <t>Installation D2</t>
        </is>
      </c>
      <c r="E83" s="19" t="str">
        <f>IFERROR(INDEX(T_Referentiel[Libellé affiché],MATCH($N83,T_Referentiel[Valeur source],0)),"À confirmer")</f>
        <v>Contrôle annuel</v>
      </c>
      <c r="F83" s="20" t="inlineStr">
        <is>
          <t>1 an</t>
        </is>
      </c>
      <c r="G83" s="21">
        <f>COUNTIFS(T_Programme[Code installation],$C83,T_Programme[Type opération source],$N83,T_Programme[Périodicité],$F83,T_Programme[Année],G$7)</f>
        <v>0</v>
      </c>
      <c r="H83" s="21">
        <f>COUNTIFS(T_Programme[Code installation],$C83,T_Programme[Type opération source],$N83,T_Programme[Périodicité],$F83,T_Programme[Année],H$7)</f>
        <v>0</v>
      </c>
      <c r="I83" s="21">
        <f>COUNTIFS(T_Programme[Code installation],$C83,T_Programme[Type opération source],$N83,T_Programme[Périodicité],$F83,T_Programme[Année],I$7)</f>
        <v>1</v>
      </c>
      <c r="J83" s="21">
        <f>COUNTIFS(T_Programme[Code installation],$C83,T_Programme[Type opération source],$N83,T_Programme[Périodicité],$F83,T_Programme[Année],J$7)</f>
        <v>0</v>
      </c>
      <c r="K83" s="21">
        <f>COUNTIFS(T_Programme[Code installation],$C83,T_Programme[Type opération source],$N83,T_Programme[Périodicité],$F83,T_Programme[Année],K$7)</f>
        <v>0</v>
      </c>
      <c r="L83" s="21">
        <f>COUNTIFS(T_Programme[Code installation],$C83,T_Programme[Type opération source],$N83,T_Programme[Périodicité],$F83,T_Programme[Année],L$7)</f>
        <v>0</v>
      </c>
      <c r="M83" s="21">
        <f>COUNTIFS(T_Programme[Code installation],$C83,T_Programme[Type opération source],$N83,T_Programme[Périodicité],$F83,T_Programme[Année],M$7)</f>
        <v>0</v>
      </c>
      <c r="N83" s="18" t="inlineStr">
        <is>
          <t>TYPE_A</t>
        </is>
      </c>
      <c r="O83" s="18" t="str">
        <f>IFERROR(INDEX(T_Referentiel[Statut],MATCH($N83,T_Referentiel[Valeur source],0)),"Absent du référentiel")</f>
        <v>Validé pour démo</v>
      </c>
      <c r="P83" s="18" t="str">
        <f>IF(COUNTIF(G83:M83,"&gt;1")&gt;0,"Doublon potentiel : à confirmer","")</f>
        <v/>
      </c>
    </row>
    <row r="84" ht="18" customHeight="1">
      <c r="A84" s="18" t="inlineStr">
        <is>
          <t>PERIM_B</t>
        </is>
      </c>
      <c r="B84" s="18" t="inlineStr">
        <is>
          <t>GRP_B2</t>
        </is>
      </c>
      <c r="C84" s="18" t="inlineStr">
        <is>
          <t>INST-030</t>
        </is>
      </c>
      <c r="D84" s="18" t="inlineStr">
        <is>
          <t>Installation D2</t>
        </is>
      </c>
      <c r="E84" s="19" t="str">
        <f>IFERROR(INDEX(T_Referentiel[Libellé affiché],MATCH($N84,T_Referentiel[Valeur source],0)),"À confirmer")</f>
        <v>Contrôle filtre</v>
      </c>
      <c r="F84" s="20" t="inlineStr">
        <is>
          <t>3 ans</t>
        </is>
      </c>
      <c r="G84" s="21">
        <f>COUNTIFS(T_Programme[Code installation],$C84,T_Programme[Type opération source],$N84,T_Programme[Périodicité],$F84,T_Programme[Année],G$7)</f>
        <v>0</v>
      </c>
      <c r="H84" s="21">
        <f>COUNTIFS(T_Programme[Code installation],$C84,T_Programme[Type opération source],$N84,T_Programme[Périodicité],$F84,T_Programme[Année],H$7)</f>
        <v>0</v>
      </c>
      <c r="I84" s="21">
        <f>COUNTIFS(T_Programme[Code installation],$C84,T_Programme[Type opération source],$N84,T_Programme[Périodicité],$F84,T_Programme[Année],I$7)</f>
        <v>0</v>
      </c>
      <c r="J84" s="21">
        <f>COUNTIFS(T_Programme[Code installation],$C84,T_Programme[Type opération source],$N84,T_Programme[Périodicité],$F84,T_Programme[Année],J$7)</f>
        <v>1</v>
      </c>
      <c r="K84" s="21">
        <f>COUNTIFS(T_Programme[Code installation],$C84,T_Programme[Type opération source],$N84,T_Programme[Périodicité],$F84,T_Programme[Année],K$7)</f>
        <v>0</v>
      </c>
      <c r="L84" s="21">
        <f>COUNTIFS(T_Programme[Code installation],$C84,T_Programme[Type opération source],$N84,T_Programme[Périodicité],$F84,T_Programme[Année],L$7)</f>
        <v>0</v>
      </c>
      <c r="M84" s="21">
        <f>COUNTIFS(T_Programme[Code installation],$C84,T_Programme[Type opération source],$N84,T_Programme[Périodicité],$F84,T_Programme[Année],M$7)</f>
        <v>0</v>
      </c>
      <c r="N84" s="18" t="inlineStr">
        <is>
          <t>TYPE_C</t>
        </is>
      </c>
      <c r="O84" s="18" t="str">
        <f>IFERROR(INDEX(T_Referentiel[Statut],MATCH($N84,T_Referentiel[Valeur source],0)),"Absent du référentiel")</f>
        <v>Validé pour démo</v>
      </c>
      <c r="P84" s="18" t="str">
        <f>IF(COUNTIF(G84:M84,"&gt;1")&gt;0,"Doublon potentiel : à confirmer","")</f>
        <v/>
      </c>
    </row>
    <row r="85" ht="18" customHeight="1">
      <c r="A85" s="18" t="inlineStr">
        <is>
          <t>PERIM_B</t>
        </is>
      </c>
      <c r="B85" s="18" t="inlineStr">
        <is>
          <t>GRP_B2</t>
        </is>
      </c>
      <c r="C85" s="18" t="inlineStr">
        <is>
          <t>INST-030</t>
        </is>
      </c>
      <c r="D85" s="18" t="inlineStr">
        <is>
          <t>Installation D2</t>
        </is>
      </c>
      <c r="E85" s="19" t="str">
        <f>IFERROR(INDEX(T_Referentiel[Libellé affiché],MATCH($N85,T_Referentiel[Valeur source],0)),"À confirmer")</f>
        <v>Révision</v>
      </c>
      <c r="F85" s="20" t="inlineStr">
        <is>
          <t>6 ans</t>
        </is>
      </c>
      <c r="G85" s="21">
        <f>COUNTIFS(T_Programme[Code installation],$C85,T_Programme[Type opération source],$N85,T_Programme[Périodicité],$F85,T_Programme[Année],G$7)</f>
        <v>0</v>
      </c>
      <c r="H85" s="21">
        <f>COUNTIFS(T_Programme[Code installation],$C85,T_Programme[Type opération source],$N85,T_Programme[Périodicité],$F85,T_Programme[Année],H$7)</f>
        <v>0</v>
      </c>
      <c r="I85" s="21">
        <f>COUNTIFS(T_Programme[Code installation],$C85,T_Programme[Type opération source],$N85,T_Programme[Périodicité],$F85,T_Programme[Année],I$7)</f>
        <v>0</v>
      </c>
      <c r="J85" s="21">
        <f>COUNTIFS(T_Programme[Code installation],$C85,T_Programme[Type opération source],$N85,T_Programme[Périodicité],$F85,T_Programme[Année],J$7)</f>
        <v>0</v>
      </c>
      <c r="K85" s="21">
        <f>COUNTIFS(T_Programme[Code installation],$C85,T_Programme[Type opération source],$N85,T_Programme[Périodicité],$F85,T_Programme[Année],K$7)</f>
        <v>1</v>
      </c>
      <c r="L85" s="21">
        <f>COUNTIFS(T_Programme[Code installation],$C85,T_Programme[Type opération source],$N85,T_Programme[Périodicité],$F85,T_Programme[Année],L$7)</f>
        <v>0</v>
      </c>
      <c r="M85" s="21">
        <f>COUNTIFS(T_Programme[Code installation],$C85,T_Programme[Type opération source],$N85,T_Programme[Périodicité],$F85,T_Programme[Année],M$7)</f>
        <v>0</v>
      </c>
      <c r="N85" s="18" t="inlineStr">
        <is>
          <t>TYPE_D</t>
        </is>
      </c>
      <c r="O85" s="18" t="str">
        <f>IFERROR(INDEX(T_Referentiel[Statut],MATCH($N85,T_Referentiel[Valeur source],0)),"Absent du référentiel")</f>
        <v>Validé pour démo</v>
      </c>
      <c r="P85" s="18" t="str">
        <f>IF(COUNTIF(G85:M85,"&gt;1")&gt;0,"Doublon potentiel : à confirmer","")</f>
        <v/>
      </c>
    </row>
    <row r="86" ht="18" customHeight="1">
      <c r="A86" s="18" t="inlineStr">
        <is>
          <t>PERIM_B</t>
        </is>
      </c>
      <c r="B86" s="18" t="inlineStr">
        <is>
          <t>GRP_B2</t>
        </is>
      </c>
      <c r="C86" s="18" t="inlineStr">
        <is>
          <t>INST-030</t>
        </is>
      </c>
      <c r="D86" s="18" t="inlineStr">
        <is>
          <t>Installation D2</t>
        </is>
      </c>
      <c r="E86" s="19" t="str">
        <f>IFERROR(INDEX(T_Referentiel[Libellé affiché],MATCH($N86,T_Referentiel[Valeur source],0)),"À confirmer")</f>
        <v>Opération spécifique</v>
      </c>
      <c r="F86" s="20" t="inlineStr">
        <is>
          <t>2 ans</t>
        </is>
      </c>
      <c r="G86" s="21">
        <f>COUNTIFS(T_Programme[Code installation],$C86,T_Programme[Type opération source],$N86,T_Programme[Périodicité],$F86,T_Programme[Année],G$7)</f>
        <v>0</v>
      </c>
      <c r="H86" s="21">
        <f>COUNTIFS(T_Programme[Code installation],$C86,T_Programme[Type opération source],$N86,T_Programme[Périodicité],$F86,T_Programme[Année],H$7)</f>
        <v>0</v>
      </c>
      <c r="I86" s="21">
        <f>COUNTIFS(T_Programme[Code installation],$C86,T_Programme[Type opération source],$N86,T_Programme[Périodicité],$F86,T_Programme[Année],I$7)</f>
        <v>0</v>
      </c>
      <c r="J86" s="21">
        <f>COUNTIFS(T_Programme[Code installation],$C86,T_Programme[Type opération source],$N86,T_Programme[Périodicité],$F86,T_Programme[Année],J$7)</f>
        <v>0</v>
      </c>
      <c r="K86" s="21">
        <f>COUNTIFS(T_Programme[Code installation],$C86,T_Programme[Type opération source],$N86,T_Programme[Périodicité],$F86,T_Programme[Année],K$7)</f>
        <v>0</v>
      </c>
      <c r="L86" s="21">
        <f>COUNTIFS(T_Programme[Code installation],$C86,T_Programme[Type opération source],$N86,T_Programme[Périodicité],$F86,T_Programme[Année],L$7)</f>
        <v>0</v>
      </c>
      <c r="M86" s="21">
        <f>COUNTIFS(T_Programme[Code installation],$C86,T_Programme[Type opération source],$N86,T_Programme[Périodicité],$F86,T_Programme[Année],M$7)</f>
        <v>1</v>
      </c>
      <c r="N86" s="18" t="inlineStr">
        <is>
          <t>TYPE_E</t>
        </is>
      </c>
      <c r="O86" s="18" t="str">
        <f>IFERROR(INDEX(T_Referentiel[Statut],MATCH($N86,T_Referentiel[Valeur source],0)),"Absent du référentiel")</f>
        <v>À confirmer</v>
      </c>
      <c r="P86" s="18" t="str">
        <f>IF(COUNTIF(G86:M86,"&gt;1")&gt;0,"Doublon potentiel : à confirmer","")</f>
        <v/>
      </c>
    </row>
    <row r="87" ht="18" customHeight="1">
      <c r="A87" s="18" t="inlineStr">
        <is>
          <t>PERIM_B</t>
        </is>
      </c>
      <c r="B87" s="18" t="inlineStr">
        <is>
          <t>GRP_B2</t>
        </is>
      </c>
      <c r="C87" s="18" t="inlineStr">
        <is>
          <t>INST-031</t>
        </is>
      </c>
      <c r="D87" s="18" t="inlineStr">
        <is>
          <t>Installation E2</t>
        </is>
      </c>
      <c r="E87" s="19" t="str">
        <f>IFERROR(INDEX(T_Referentiel[Libellé affiché],MATCH($N87,T_Referentiel[Valeur source],0)),"À confirmer")</f>
        <v>Essai de conformité</v>
      </c>
      <c r="F87" s="20" t="inlineStr">
        <is>
          <t>2 ans</t>
        </is>
      </c>
      <c r="G87" s="21">
        <f>COUNTIFS(T_Programme[Code installation],$C87,T_Programme[Type opération source],$N87,T_Programme[Périodicité],$F87,T_Programme[Année],G$7)</f>
        <v>0</v>
      </c>
      <c r="H87" s="21">
        <f>COUNTIFS(T_Programme[Code installation],$C87,T_Programme[Type opération source],$N87,T_Programme[Périodicité],$F87,T_Programme[Année],H$7)</f>
        <v>0</v>
      </c>
      <c r="I87" s="21">
        <f>COUNTIFS(T_Programme[Code installation],$C87,T_Programme[Type opération source],$N87,T_Programme[Périodicité],$F87,T_Programme[Année],I$7)</f>
        <v>0</v>
      </c>
      <c r="J87" s="21">
        <f>COUNTIFS(T_Programme[Code installation],$C87,T_Programme[Type opération source],$N87,T_Programme[Périodicité],$F87,T_Programme[Année],J$7)</f>
        <v>0</v>
      </c>
      <c r="K87" s="21">
        <f>COUNTIFS(T_Programme[Code installation],$C87,T_Programme[Type opération source],$N87,T_Programme[Périodicité],$F87,T_Programme[Année],K$7)</f>
        <v>0</v>
      </c>
      <c r="L87" s="21">
        <f>COUNTIFS(T_Programme[Code installation],$C87,T_Programme[Type opération source],$N87,T_Programme[Périodicité],$F87,T_Programme[Année],L$7)</f>
        <v>0</v>
      </c>
      <c r="M87" s="21">
        <f>COUNTIFS(T_Programme[Code installation],$C87,T_Programme[Type opération source],$N87,T_Programme[Périodicité],$F87,T_Programme[Année],M$7)</f>
        <v>1</v>
      </c>
      <c r="N87" s="18" t="inlineStr">
        <is>
          <t>TYPE_B</t>
        </is>
      </c>
      <c r="O87" s="18" t="str">
        <f>IFERROR(INDEX(T_Referentiel[Statut],MATCH($N87,T_Referentiel[Valeur source],0)),"Absent du référentiel")</f>
        <v>Validé pour démo</v>
      </c>
      <c r="P87" s="18" t="str">
        <f>IF(COUNTIF(G87:M87,"&gt;1")&gt;0,"Doublon potentiel : à confirmer","")</f>
        <v/>
      </c>
    </row>
    <row r="88" ht="18" customHeight="1">
      <c r="A88" s="18" t="inlineStr">
        <is>
          <t>PERIM_B</t>
        </is>
      </c>
      <c r="B88" s="18" t="inlineStr">
        <is>
          <t>GRP_B2</t>
        </is>
      </c>
      <c r="C88" s="18" t="inlineStr">
        <is>
          <t>INST-031</t>
        </is>
      </c>
      <c r="D88" s="18" t="inlineStr">
        <is>
          <t>Installation E2</t>
        </is>
      </c>
      <c r="E88" s="19" t="str">
        <f>IFERROR(INDEX(T_Referentiel[Libellé affiché],MATCH($N88,T_Referentiel[Valeur source],0)),"À confirmer")</f>
        <v>Révision</v>
      </c>
      <c r="F88" s="20" t="inlineStr">
        <is>
          <t>6 ans</t>
        </is>
      </c>
      <c r="G88" s="21">
        <f>COUNTIFS(T_Programme[Code installation],$C88,T_Programme[Type opération source],$N88,T_Programme[Périodicité],$F88,T_Programme[Année],G$7)</f>
        <v>0</v>
      </c>
      <c r="H88" s="21">
        <f>COUNTIFS(T_Programme[Code installation],$C88,T_Programme[Type opération source],$N88,T_Programme[Périodicité],$F88,T_Programme[Année],H$7)</f>
        <v>1</v>
      </c>
      <c r="I88" s="21">
        <f>COUNTIFS(T_Programme[Code installation],$C88,T_Programme[Type opération source],$N88,T_Programme[Périodicité],$F88,T_Programme[Année],I$7)</f>
        <v>0</v>
      </c>
      <c r="J88" s="21">
        <f>COUNTIFS(T_Programme[Code installation],$C88,T_Programme[Type opération source],$N88,T_Programme[Périodicité],$F88,T_Programme[Année],J$7)</f>
        <v>0</v>
      </c>
      <c r="K88" s="21">
        <f>COUNTIFS(T_Programme[Code installation],$C88,T_Programme[Type opération source],$N88,T_Programme[Périodicité],$F88,T_Programme[Année],K$7)</f>
        <v>0</v>
      </c>
      <c r="L88" s="21">
        <f>COUNTIFS(T_Programme[Code installation],$C88,T_Programme[Type opération source],$N88,T_Programme[Périodicité],$F88,T_Programme[Année],L$7)</f>
        <v>0</v>
      </c>
      <c r="M88" s="21">
        <f>COUNTIFS(T_Programme[Code installation],$C88,T_Programme[Type opération source],$N88,T_Programme[Périodicité],$F88,T_Programme[Année],M$7)</f>
        <v>0</v>
      </c>
      <c r="N88" s="18" t="inlineStr">
        <is>
          <t>TYPE_D</t>
        </is>
      </c>
      <c r="O88" s="18" t="str">
        <f>IFERROR(INDEX(T_Referentiel[Statut],MATCH($N88,T_Referentiel[Valeur source],0)),"Absent du référentiel")</f>
        <v>Validé pour démo</v>
      </c>
      <c r="P88" s="18" t="str">
        <f>IF(COUNTIF(G88:M88,"&gt;1")&gt;0,"Doublon potentiel : à confirmer","")</f>
        <v/>
      </c>
    </row>
    <row r="89" ht="18" customHeight="1">
      <c r="A89" s="18" t="inlineStr">
        <is>
          <t>PERIM_B</t>
        </is>
      </c>
      <c r="B89" s="18" t="inlineStr">
        <is>
          <t>GRP_B2</t>
        </is>
      </c>
      <c r="C89" s="18" t="inlineStr">
        <is>
          <t>INST-031</t>
        </is>
      </c>
      <c r="D89" s="18" t="inlineStr">
        <is>
          <t>Installation E2</t>
        </is>
      </c>
      <c r="E89" s="19" t="str">
        <f>IFERROR(INDEX(T_Referentiel[Libellé affiché],MATCH($N89,T_Referentiel[Valeur source],0)),"À confirmer")</f>
        <v>Opération spécifique</v>
      </c>
      <c r="F89" s="20" t="inlineStr">
        <is>
          <t>2 ans</t>
        </is>
      </c>
      <c r="G89" s="21">
        <f>COUNTIFS(T_Programme[Code installation],$C89,T_Programme[Type opération source],$N89,T_Programme[Périodicité],$F89,T_Programme[Année],G$7)</f>
        <v>0</v>
      </c>
      <c r="H89" s="21">
        <f>COUNTIFS(T_Programme[Code installation],$C89,T_Programme[Type opération source],$N89,T_Programme[Périodicité],$F89,T_Programme[Année],H$7)</f>
        <v>0</v>
      </c>
      <c r="I89" s="21">
        <f>COUNTIFS(T_Programme[Code installation],$C89,T_Programme[Type opération source],$N89,T_Programme[Périodicité],$F89,T_Programme[Année],I$7)</f>
        <v>1</v>
      </c>
      <c r="J89" s="21">
        <f>COUNTIFS(T_Programme[Code installation],$C89,T_Programme[Type opération source],$N89,T_Programme[Périodicité],$F89,T_Programme[Année],J$7)</f>
        <v>0</v>
      </c>
      <c r="K89" s="21">
        <f>COUNTIFS(T_Programme[Code installation],$C89,T_Programme[Type opération source],$N89,T_Programme[Périodicité],$F89,T_Programme[Année],K$7)</f>
        <v>0</v>
      </c>
      <c r="L89" s="21">
        <f>COUNTIFS(T_Programme[Code installation],$C89,T_Programme[Type opération source],$N89,T_Programme[Périodicité],$F89,T_Programme[Année],L$7)</f>
        <v>0</v>
      </c>
      <c r="M89" s="21">
        <f>COUNTIFS(T_Programme[Code installation],$C89,T_Programme[Type opération source],$N89,T_Programme[Périodicité],$F89,T_Programme[Année],M$7)</f>
        <v>0</v>
      </c>
      <c r="N89" s="18" t="inlineStr">
        <is>
          <t>TYPE_E</t>
        </is>
      </c>
      <c r="O89" s="18" t="str">
        <f>IFERROR(INDEX(T_Referentiel[Statut],MATCH($N89,T_Referentiel[Valeur source],0)),"Absent du référentiel")</f>
        <v>À confirmer</v>
      </c>
      <c r="P89" s="18" t="str">
        <f>IF(COUNTIF(G89:M89,"&gt;1")&gt;0,"Doublon potentiel : à confirmer","")</f>
        <v/>
      </c>
    </row>
    <row r="90" ht="18" customHeight="1">
      <c r="A90" s="18" t="inlineStr">
        <is>
          <t>PERIM_B</t>
        </is>
      </c>
      <c r="B90" s="18" t="inlineStr">
        <is>
          <t>GRP_B2</t>
        </is>
      </c>
      <c r="C90" s="18" t="inlineStr">
        <is>
          <t>INST-032</t>
        </is>
      </c>
      <c r="D90" s="18" t="inlineStr">
        <is>
          <t>Installation F2</t>
        </is>
      </c>
      <c r="E90" s="19" t="str">
        <f>IFERROR(INDEX(T_Referentiel[Libellé affiché],MATCH($N90,T_Referentiel[Valeur source],0)),"À confirmer")</f>
        <v>Contrôle annuel</v>
      </c>
      <c r="F90" s="20" t="inlineStr">
        <is>
          <t>1 an</t>
        </is>
      </c>
      <c r="G90" s="21">
        <f>COUNTIFS(T_Programme[Code installation],$C90,T_Programme[Type opération source],$N90,T_Programme[Périodicité],$F90,T_Programme[Année],G$7)</f>
        <v>0</v>
      </c>
      <c r="H90" s="21">
        <f>COUNTIFS(T_Programme[Code installation],$C90,T_Programme[Type opération source],$N90,T_Programme[Périodicité],$F90,T_Programme[Année],H$7)</f>
        <v>1</v>
      </c>
      <c r="I90" s="21">
        <f>COUNTIFS(T_Programme[Code installation],$C90,T_Programme[Type opération source],$N90,T_Programme[Périodicité],$F90,T_Programme[Année],I$7)</f>
        <v>0</v>
      </c>
      <c r="J90" s="21">
        <f>COUNTIFS(T_Programme[Code installation],$C90,T_Programme[Type opération source],$N90,T_Programme[Périodicité],$F90,T_Programme[Année],J$7)</f>
        <v>0</v>
      </c>
      <c r="K90" s="21">
        <f>COUNTIFS(T_Programme[Code installation],$C90,T_Programme[Type opération source],$N90,T_Programme[Périodicité],$F90,T_Programme[Année],K$7)</f>
        <v>0</v>
      </c>
      <c r="L90" s="21">
        <f>COUNTIFS(T_Programme[Code installation],$C90,T_Programme[Type opération source],$N90,T_Programme[Périodicité],$F90,T_Programme[Année],L$7)</f>
        <v>0</v>
      </c>
      <c r="M90" s="21">
        <f>COUNTIFS(T_Programme[Code installation],$C90,T_Programme[Type opération source],$N90,T_Programme[Périodicité],$F90,T_Programme[Année],M$7)</f>
        <v>0</v>
      </c>
      <c r="N90" s="18" t="inlineStr">
        <is>
          <t>TYPE_A</t>
        </is>
      </c>
      <c r="O90" s="18" t="str">
        <f>IFERROR(INDEX(T_Referentiel[Statut],MATCH($N90,T_Referentiel[Valeur source],0)),"Absent du référentiel")</f>
        <v>Validé pour démo</v>
      </c>
      <c r="P90" s="18" t="str">
        <f>IF(COUNTIF(G90:M90,"&gt;1")&gt;0,"Doublon potentiel : à confirmer","")</f>
        <v/>
      </c>
    </row>
    <row r="91" ht="18" customHeight="1">
      <c r="A91" s="18" t="inlineStr">
        <is>
          <t>PERIM_B</t>
        </is>
      </c>
      <c r="B91" s="18" t="inlineStr">
        <is>
          <t>GRP_B2</t>
        </is>
      </c>
      <c r="C91" s="18" t="inlineStr">
        <is>
          <t>INST-032</t>
        </is>
      </c>
      <c r="D91" s="18" t="inlineStr">
        <is>
          <t>Installation F2</t>
        </is>
      </c>
      <c r="E91" s="19" t="str">
        <f>IFERROR(INDEX(T_Referentiel[Libellé affiché],MATCH($N91,T_Referentiel[Valeur source],0)),"À confirmer")</f>
        <v>Essai de conformité</v>
      </c>
      <c r="F91" s="20" t="inlineStr">
        <is>
          <t>2 ans</t>
        </is>
      </c>
      <c r="G91" s="21">
        <f>COUNTIFS(T_Programme[Code installation],$C91,T_Programme[Type opération source],$N91,T_Programme[Périodicité],$F91,T_Programme[Année],G$7)</f>
        <v>0</v>
      </c>
      <c r="H91" s="21">
        <f>COUNTIFS(T_Programme[Code installation],$C91,T_Programme[Type opération source],$N91,T_Programme[Périodicité],$F91,T_Programme[Année],H$7)</f>
        <v>0</v>
      </c>
      <c r="I91" s="21">
        <f>COUNTIFS(T_Programme[Code installation],$C91,T_Programme[Type opération source],$N91,T_Programme[Périodicité],$F91,T_Programme[Année],I$7)</f>
        <v>0</v>
      </c>
      <c r="J91" s="21">
        <f>COUNTIFS(T_Programme[Code installation],$C91,T_Programme[Type opération source],$N91,T_Programme[Périodicité],$F91,T_Programme[Année],J$7)</f>
        <v>1</v>
      </c>
      <c r="K91" s="21">
        <f>COUNTIFS(T_Programme[Code installation],$C91,T_Programme[Type opération source],$N91,T_Programme[Périodicité],$F91,T_Programme[Année],K$7)</f>
        <v>0</v>
      </c>
      <c r="L91" s="21">
        <f>COUNTIFS(T_Programme[Code installation],$C91,T_Programme[Type opération source],$N91,T_Programme[Périodicité],$F91,T_Programme[Année],L$7)</f>
        <v>0</v>
      </c>
      <c r="M91" s="21">
        <f>COUNTIFS(T_Programme[Code installation],$C91,T_Programme[Type opération source],$N91,T_Programme[Périodicité],$F91,T_Programme[Année],M$7)</f>
        <v>0</v>
      </c>
      <c r="N91" s="18" t="inlineStr">
        <is>
          <t>TYPE_B</t>
        </is>
      </c>
      <c r="O91" s="18" t="str">
        <f>IFERROR(INDEX(T_Referentiel[Statut],MATCH($N91,T_Referentiel[Valeur source],0)),"Absent du référentiel")</f>
        <v>Validé pour démo</v>
      </c>
      <c r="P91" s="18" t="str">
        <f>IF(COUNTIF(G91:M91,"&gt;1")&gt;0,"Doublon potentiel : à confirmer","")</f>
        <v/>
      </c>
    </row>
    <row r="92" ht="18" customHeight="1">
      <c r="A92" s="18" t="inlineStr">
        <is>
          <t>PERIM_C</t>
        </is>
      </c>
      <c r="B92" s="18" t="inlineStr">
        <is>
          <t>GRP_C1</t>
        </is>
      </c>
      <c r="C92" s="18" t="inlineStr">
        <is>
          <t>INST-033</t>
        </is>
      </c>
      <c r="D92" s="18" t="inlineStr">
        <is>
          <t>Installation G2</t>
        </is>
      </c>
      <c r="E92" s="19" t="str">
        <f>IFERROR(INDEX(T_Referentiel[Libellé affiché],MATCH($N92,T_Referentiel[Valeur source],0)),"À confirmer")</f>
        <v>Essai de conformité</v>
      </c>
      <c r="F92" s="20" t="inlineStr">
        <is>
          <t>2 ans</t>
        </is>
      </c>
      <c r="G92" s="21">
        <f>COUNTIFS(T_Programme[Code installation],$C92,T_Programme[Type opération source],$N92,T_Programme[Périodicité],$F92,T_Programme[Année],G$7)</f>
        <v>0</v>
      </c>
      <c r="H92" s="21">
        <f>COUNTIFS(T_Programme[Code installation],$C92,T_Programme[Type opération source],$N92,T_Programme[Périodicité],$F92,T_Programme[Année],H$7)</f>
        <v>0</v>
      </c>
      <c r="I92" s="21">
        <f>COUNTIFS(T_Programme[Code installation],$C92,T_Programme[Type opération source],$N92,T_Programme[Périodicité],$F92,T_Programme[Année],I$7)</f>
        <v>0</v>
      </c>
      <c r="J92" s="21">
        <f>COUNTIFS(T_Programme[Code installation],$C92,T_Programme[Type opération source],$N92,T_Programme[Périodicité],$F92,T_Programme[Année],J$7)</f>
        <v>0</v>
      </c>
      <c r="K92" s="21">
        <f>COUNTIFS(T_Programme[Code installation],$C92,T_Programme[Type opération source],$N92,T_Programme[Périodicité],$F92,T_Programme[Année],K$7)</f>
        <v>1</v>
      </c>
      <c r="L92" s="21">
        <f>COUNTIFS(T_Programme[Code installation],$C92,T_Programme[Type opération source],$N92,T_Programme[Périodicité],$F92,T_Programme[Année],L$7)</f>
        <v>0</v>
      </c>
      <c r="M92" s="21">
        <f>COUNTIFS(T_Programme[Code installation],$C92,T_Programme[Type opération source],$N92,T_Programme[Périodicité],$F92,T_Programme[Année],M$7)</f>
        <v>0</v>
      </c>
      <c r="N92" s="18" t="inlineStr">
        <is>
          <t>TYPE_B</t>
        </is>
      </c>
      <c r="O92" s="18" t="str">
        <f>IFERROR(INDEX(T_Referentiel[Statut],MATCH($N92,T_Referentiel[Valeur source],0)),"Absent du référentiel")</f>
        <v>Validé pour démo</v>
      </c>
      <c r="P92" s="18" t="str">
        <f>IF(COUNTIF(G92:M92,"&gt;1")&gt;0,"Doublon potentiel : à confirmer","")</f>
        <v/>
      </c>
    </row>
    <row r="93" ht="18" customHeight="1">
      <c r="A93" s="18" t="inlineStr">
        <is>
          <t>PERIM_C</t>
        </is>
      </c>
      <c r="B93" s="18" t="inlineStr">
        <is>
          <t>GRP_C1</t>
        </is>
      </c>
      <c r="C93" s="18" t="inlineStr">
        <is>
          <t>INST-033</t>
        </is>
      </c>
      <c r="D93" s="18" t="inlineStr">
        <is>
          <t>Installation G2</t>
        </is>
      </c>
      <c r="E93" s="19" t="str">
        <f>IFERROR(INDEX(T_Referentiel[Libellé affiché],MATCH($N93,T_Referentiel[Valeur source],0)),"À confirmer")</f>
        <v>Contrôle filtre</v>
      </c>
      <c r="F93" s="20" t="inlineStr">
        <is>
          <t>3 ans</t>
        </is>
      </c>
      <c r="G93" s="21">
        <f>COUNTIFS(T_Programme[Code installation],$C93,T_Programme[Type opération source],$N93,T_Programme[Périodicité],$F93,T_Programme[Année],G$7)</f>
        <v>1</v>
      </c>
      <c r="H93" s="21">
        <f>COUNTIFS(T_Programme[Code installation],$C93,T_Programme[Type opération source],$N93,T_Programme[Périodicité],$F93,T_Programme[Année],H$7)</f>
        <v>0</v>
      </c>
      <c r="I93" s="21">
        <f>COUNTIFS(T_Programme[Code installation],$C93,T_Programme[Type opération source],$N93,T_Programme[Périodicité],$F93,T_Programme[Année],I$7)</f>
        <v>0</v>
      </c>
      <c r="J93" s="21">
        <f>COUNTIFS(T_Programme[Code installation],$C93,T_Programme[Type opération source],$N93,T_Programme[Périodicité],$F93,T_Programme[Année],J$7)</f>
        <v>0</v>
      </c>
      <c r="K93" s="21">
        <f>COUNTIFS(T_Programme[Code installation],$C93,T_Programme[Type opération source],$N93,T_Programme[Périodicité],$F93,T_Programme[Année],K$7)</f>
        <v>0</v>
      </c>
      <c r="L93" s="21">
        <f>COUNTIFS(T_Programme[Code installation],$C93,T_Programme[Type opération source],$N93,T_Programme[Périodicité],$F93,T_Programme[Année],L$7)</f>
        <v>0</v>
      </c>
      <c r="M93" s="21">
        <f>COUNTIFS(T_Programme[Code installation],$C93,T_Programme[Type opération source],$N93,T_Programme[Périodicité],$F93,T_Programme[Année],M$7)</f>
        <v>0</v>
      </c>
      <c r="N93" s="18" t="inlineStr">
        <is>
          <t>TYPE_C</t>
        </is>
      </c>
      <c r="O93" s="18" t="str">
        <f>IFERROR(INDEX(T_Referentiel[Statut],MATCH($N93,T_Referentiel[Valeur source],0)),"Absent du référentiel")</f>
        <v>Validé pour démo</v>
      </c>
      <c r="P93" s="18" t="str">
        <f>IF(COUNTIF(G93:M93,"&gt;1")&gt;0,"Doublon potentiel : à confirmer","")</f>
        <v/>
      </c>
    </row>
    <row r="94" ht="18" customHeight="1">
      <c r="A94" s="18" t="inlineStr">
        <is>
          <t>PERIM_C</t>
        </is>
      </c>
      <c r="B94" s="18" t="inlineStr">
        <is>
          <t>GRP_C1</t>
        </is>
      </c>
      <c r="C94" s="18" t="inlineStr">
        <is>
          <t>INST-033</t>
        </is>
      </c>
      <c r="D94" s="18" t="inlineStr">
        <is>
          <t>Installation G2</t>
        </is>
      </c>
      <c r="E94" s="19" t="str">
        <f>IFERROR(INDEX(T_Referentiel[Libellé affiché],MATCH($N94,T_Referentiel[Valeur source],0)),"À confirmer")</f>
        <v>Révision</v>
      </c>
      <c r="F94" s="20" t="inlineStr">
        <is>
          <t>6 ans</t>
        </is>
      </c>
      <c r="G94" s="21">
        <f>COUNTIFS(T_Programme[Code installation],$C94,T_Programme[Type opération source],$N94,T_Programme[Périodicité],$F94,T_Programme[Année],G$7)</f>
        <v>0</v>
      </c>
      <c r="H94" s="21">
        <f>COUNTIFS(T_Programme[Code installation],$C94,T_Programme[Type opération source],$N94,T_Programme[Périodicité],$F94,T_Programme[Année],H$7)</f>
        <v>1</v>
      </c>
      <c r="I94" s="21">
        <f>COUNTIFS(T_Programme[Code installation],$C94,T_Programme[Type opération source],$N94,T_Programme[Périodicité],$F94,T_Programme[Année],I$7)</f>
        <v>0</v>
      </c>
      <c r="J94" s="21">
        <f>COUNTIFS(T_Programme[Code installation],$C94,T_Programme[Type opération source],$N94,T_Programme[Périodicité],$F94,T_Programme[Année],J$7)</f>
        <v>0</v>
      </c>
      <c r="K94" s="21">
        <f>COUNTIFS(T_Programme[Code installation],$C94,T_Programme[Type opération source],$N94,T_Programme[Périodicité],$F94,T_Programme[Année],K$7)</f>
        <v>0</v>
      </c>
      <c r="L94" s="21">
        <f>COUNTIFS(T_Programme[Code installation],$C94,T_Programme[Type opération source],$N94,T_Programme[Périodicité],$F94,T_Programme[Année],L$7)</f>
        <v>0</v>
      </c>
      <c r="M94" s="21">
        <f>COUNTIFS(T_Programme[Code installation],$C94,T_Programme[Type opération source],$N94,T_Programme[Périodicité],$F94,T_Programme[Année],M$7)</f>
        <v>0</v>
      </c>
      <c r="N94" s="18" t="inlineStr">
        <is>
          <t>TYPE_D</t>
        </is>
      </c>
      <c r="O94" s="18" t="str">
        <f>IFERROR(INDEX(T_Referentiel[Statut],MATCH($N94,T_Referentiel[Valeur source],0)),"Absent du référentiel")</f>
        <v>Validé pour démo</v>
      </c>
      <c r="P94" s="18" t="str">
        <f>IF(COUNTIF(G94:M94,"&gt;1")&gt;0,"Doublon potentiel : à confirmer","")</f>
        <v/>
      </c>
    </row>
    <row r="95" ht="18" customHeight="1">
      <c r="A95" s="18" t="inlineStr">
        <is>
          <t>PERIM_C</t>
        </is>
      </c>
      <c r="B95" s="18" t="inlineStr">
        <is>
          <t>GRP_C1</t>
        </is>
      </c>
      <c r="C95" s="18" t="inlineStr">
        <is>
          <t>INST-034</t>
        </is>
      </c>
      <c r="D95" s="18" t="inlineStr">
        <is>
          <t>Installation H2</t>
        </is>
      </c>
      <c r="E95" s="19" t="str">
        <f>IFERROR(INDEX(T_Referentiel[Libellé affiché],MATCH($N95,T_Referentiel[Valeur source],0)),"À confirmer")</f>
        <v>Contrôle annuel</v>
      </c>
      <c r="F95" s="20" t="inlineStr">
        <is>
          <t>1 an</t>
        </is>
      </c>
      <c r="G95" s="21">
        <f>COUNTIFS(T_Programme[Code installation],$C95,T_Programme[Type opération source],$N95,T_Programme[Périodicité],$F95,T_Programme[Année],G$7)</f>
        <v>0</v>
      </c>
      <c r="H95" s="21">
        <f>COUNTIFS(T_Programme[Code installation],$C95,T_Programme[Type opération source],$N95,T_Programme[Périodicité],$F95,T_Programme[Année],H$7)</f>
        <v>0</v>
      </c>
      <c r="I95" s="21">
        <f>COUNTIFS(T_Programme[Code installation],$C95,T_Programme[Type opération source],$N95,T_Programme[Périodicité],$F95,T_Programme[Année],I$7)</f>
        <v>1</v>
      </c>
      <c r="J95" s="21">
        <f>COUNTIFS(T_Programme[Code installation],$C95,T_Programme[Type opération source],$N95,T_Programme[Périodicité],$F95,T_Programme[Année],J$7)</f>
        <v>0</v>
      </c>
      <c r="K95" s="21">
        <f>COUNTIFS(T_Programme[Code installation],$C95,T_Programme[Type opération source],$N95,T_Programme[Périodicité],$F95,T_Programme[Année],K$7)</f>
        <v>0</v>
      </c>
      <c r="L95" s="21">
        <f>COUNTIFS(T_Programme[Code installation],$C95,T_Programme[Type opération source],$N95,T_Programme[Périodicité],$F95,T_Programme[Année],L$7)</f>
        <v>0</v>
      </c>
      <c r="M95" s="21">
        <f>COUNTIFS(T_Programme[Code installation],$C95,T_Programme[Type opération source],$N95,T_Programme[Périodicité],$F95,T_Programme[Année],M$7)</f>
        <v>0</v>
      </c>
      <c r="N95" s="18" t="inlineStr">
        <is>
          <t>TYPE_A</t>
        </is>
      </c>
      <c r="O95" s="18" t="str">
        <f>IFERROR(INDEX(T_Referentiel[Statut],MATCH($N95,T_Referentiel[Valeur source],0)),"Absent du référentiel")</f>
        <v>Validé pour démo</v>
      </c>
      <c r="P95" s="18" t="str">
        <f>IF(COUNTIF(G95:M95,"&gt;1")&gt;0,"Doublon potentiel : à confirmer","")</f>
        <v/>
      </c>
    </row>
    <row r="96" ht="18" customHeight="1">
      <c r="A96" s="18" t="inlineStr">
        <is>
          <t>PERIM_C</t>
        </is>
      </c>
      <c r="B96" s="18" t="inlineStr">
        <is>
          <t>GRP_C1</t>
        </is>
      </c>
      <c r="C96" s="18" t="inlineStr">
        <is>
          <t>INST-034</t>
        </is>
      </c>
      <c r="D96" s="18" t="inlineStr">
        <is>
          <t>Installation H2</t>
        </is>
      </c>
      <c r="E96" s="19" t="str">
        <f>IFERROR(INDEX(T_Referentiel[Libellé affiché],MATCH($N96,T_Referentiel[Valeur source],0)),"À confirmer")</f>
        <v>Opération spécifique</v>
      </c>
      <c r="F96" s="20" t="inlineStr">
        <is>
          <t>2 ans</t>
        </is>
      </c>
      <c r="G96" s="21">
        <f>COUNTIFS(T_Programme[Code installation],$C96,T_Programme[Type opération source],$N96,T_Programme[Périodicité],$F96,T_Programme[Année],G$7)</f>
        <v>1</v>
      </c>
      <c r="H96" s="21">
        <f>COUNTIFS(T_Programme[Code installation],$C96,T_Programme[Type opération source],$N96,T_Programme[Périodicité],$F96,T_Programme[Année],H$7)</f>
        <v>0</v>
      </c>
      <c r="I96" s="21">
        <f>COUNTIFS(T_Programme[Code installation],$C96,T_Programme[Type opération source],$N96,T_Programme[Périodicité],$F96,T_Programme[Année],I$7)</f>
        <v>0</v>
      </c>
      <c r="J96" s="21">
        <f>COUNTIFS(T_Programme[Code installation],$C96,T_Programme[Type opération source],$N96,T_Programme[Périodicité],$F96,T_Programme[Année],J$7)</f>
        <v>0</v>
      </c>
      <c r="K96" s="21">
        <f>COUNTIFS(T_Programme[Code installation],$C96,T_Programme[Type opération source],$N96,T_Programme[Périodicité],$F96,T_Programme[Année],K$7)</f>
        <v>0</v>
      </c>
      <c r="L96" s="21">
        <f>COUNTIFS(T_Programme[Code installation],$C96,T_Programme[Type opération source],$N96,T_Programme[Périodicité],$F96,T_Programme[Année],L$7)</f>
        <v>0</v>
      </c>
      <c r="M96" s="21">
        <f>COUNTIFS(T_Programme[Code installation],$C96,T_Programme[Type opération source],$N96,T_Programme[Périodicité],$F96,T_Programme[Année],M$7)</f>
        <v>0</v>
      </c>
      <c r="N96" s="18" t="inlineStr">
        <is>
          <t>TYPE_E</t>
        </is>
      </c>
      <c r="O96" s="18" t="str">
        <f>IFERROR(INDEX(T_Referentiel[Statut],MATCH($N96,T_Referentiel[Valeur source],0)),"Absent du référentiel")</f>
        <v>À confirmer</v>
      </c>
      <c r="P96" s="18" t="str">
        <f>IF(COUNTIF(G96:M96,"&gt;1")&gt;0,"Doublon potentiel : à confirmer","")</f>
        <v/>
      </c>
    </row>
    <row r="97" ht="18" customHeight="1">
      <c r="A97" s="18" t="inlineStr">
        <is>
          <t>PERIM_C</t>
        </is>
      </c>
      <c r="B97" s="18" t="inlineStr">
        <is>
          <t>GRP_C1</t>
        </is>
      </c>
      <c r="C97" s="18" t="inlineStr">
        <is>
          <t>INST-035</t>
        </is>
      </c>
      <c r="D97" s="18" t="inlineStr">
        <is>
          <t>Installation I2</t>
        </is>
      </c>
      <c r="E97" s="19" t="str">
        <f>IFERROR(INDEX(T_Referentiel[Libellé affiché],MATCH($N97,T_Referentiel[Valeur source],0)),"À confirmer")</f>
        <v>Contrôle filtre</v>
      </c>
      <c r="F97" s="20" t="inlineStr">
        <is>
          <t>3 ans</t>
        </is>
      </c>
      <c r="G97" s="21">
        <f>COUNTIFS(T_Programme[Code installation],$C97,T_Programme[Type opération source],$N97,T_Programme[Périodicité],$F97,T_Programme[Année],G$7)</f>
        <v>0</v>
      </c>
      <c r="H97" s="21">
        <f>COUNTIFS(T_Programme[Code installation],$C97,T_Programme[Type opération source],$N97,T_Programme[Périodicité],$F97,T_Programme[Année],H$7)</f>
        <v>0</v>
      </c>
      <c r="I97" s="21">
        <f>COUNTIFS(T_Programme[Code installation],$C97,T_Programme[Type opération source],$N97,T_Programme[Périodicité],$F97,T_Programme[Année],I$7)</f>
        <v>0</v>
      </c>
      <c r="J97" s="21">
        <f>COUNTIFS(T_Programme[Code installation],$C97,T_Programme[Type opération source],$N97,T_Programme[Périodicité],$F97,T_Programme[Année],J$7)</f>
        <v>0</v>
      </c>
      <c r="K97" s="21">
        <f>COUNTIFS(T_Programme[Code installation],$C97,T_Programme[Type opération source],$N97,T_Programme[Périodicité],$F97,T_Programme[Année],K$7)</f>
        <v>0</v>
      </c>
      <c r="L97" s="21">
        <f>COUNTIFS(T_Programme[Code installation],$C97,T_Programme[Type opération source],$N97,T_Programme[Périodicité],$F97,T_Programme[Année],L$7)</f>
        <v>0</v>
      </c>
      <c r="M97" s="21">
        <f>COUNTIFS(T_Programme[Code installation],$C97,T_Programme[Type opération source],$N97,T_Programme[Périodicité],$F97,T_Programme[Année],M$7)</f>
        <v>1</v>
      </c>
      <c r="N97" s="18" t="inlineStr">
        <is>
          <t>TYPE_C</t>
        </is>
      </c>
      <c r="O97" s="18" t="str">
        <f>IFERROR(INDEX(T_Referentiel[Statut],MATCH($N97,T_Referentiel[Valeur source],0)),"Absent du référentiel")</f>
        <v>Validé pour démo</v>
      </c>
      <c r="P97" s="18" t="str">
        <f>IF(COUNTIF(G97:M97,"&gt;1")&gt;0,"Doublon potentiel : à confirmer","")</f>
        <v/>
      </c>
    </row>
    <row r="98" ht="18" customHeight="1">
      <c r="A98" s="18" t="inlineStr">
        <is>
          <t>PERIM_C</t>
        </is>
      </c>
      <c r="B98" s="18" t="inlineStr">
        <is>
          <t>GRP_C1</t>
        </is>
      </c>
      <c r="C98" s="18" t="inlineStr">
        <is>
          <t>INST-035</t>
        </is>
      </c>
      <c r="D98" s="18" t="inlineStr">
        <is>
          <t>Installation I2</t>
        </is>
      </c>
      <c r="E98" s="19" t="str">
        <f>IFERROR(INDEX(T_Referentiel[Libellé affiché],MATCH($N98,T_Referentiel[Valeur source],0)),"À confirmer")</f>
        <v>Révision</v>
      </c>
      <c r="F98" s="20" t="inlineStr">
        <is>
          <t>6 ans</t>
        </is>
      </c>
      <c r="G98" s="21">
        <f>COUNTIFS(T_Programme[Code installation],$C98,T_Programme[Type opération source],$N98,T_Programme[Périodicité],$F98,T_Programme[Année],G$7)</f>
        <v>0</v>
      </c>
      <c r="H98" s="21">
        <f>COUNTIFS(T_Programme[Code installation],$C98,T_Programme[Type opération source],$N98,T_Programme[Périodicité],$F98,T_Programme[Année],H$7)</f>
        <v>0</v>
      </c>
      <c r="I98" s="21">
        <f>COUNTIFS(T_Programme[Code installation],$C98,T_Programme[Type opération source],$N98,T_Programme[Périodicité],$F98,T_Programme[Année],I$7)</f>
        <v>0</v>
      </c>
      <c r="J98" s="21">
        <f>COUNTIFS(T_Programme[Code installation],$C98,T_Programme[Type opération source],$N98,T_Programme[Périodicité],$F98,T_Programme[Année],J$7)</f>
        <v>0</v>
      </c>
      <c r="K98" s="21">
        <f>COUNTIFS(T_Programme[Code installation],$C98,T_Programme[Type opération source],$N98,T_Programme[Périodicité],$F98,T_Programme[Année],K$7)</f>
        <v>0</v>
      </c>
      <c r="L98" s="21">
        <f>COUNTIFS(T_Programme[Code installation],$C98,T_Programme[Type opération source],$N98,T_Programme[Périodicité],$F98,T_Programme[Année],L$7)</f>
        <v>1</v>
      </c>
      <c r="M98" s="21">
        <f>COUNTIFS(T_Programme[Code installation],$C98,T_Programme[Type opération source],$N98,T_Programme[Périodicité],$F98,T_Programme[Année],M$7)</f>
        <v>0</v>
      </c>
      <c r="N98" s="18" t="inlineStr">
        <is>
          <t>TYPE_D</t>
        </is>
      </c>
      <c r="O98" s="18" t="str">
        <f>IFERROR(INDEX(T_Referentiel[Statut],MATCH($N98,T_Referentiel[Valeur source],0)),"Absent du référentiel")</f>
        <v>Validé pour démo</v>
      </c>
      <c r="P98" s="18" t="str">
        <f>IF(COUNTIF(G98:M98,"&gt;1")&gt;0,"Doublon potentiel : à confirmer","")</f>
        <v/>
      </c>
    </row>
    <row r="99" ht="18" customHeight="1">
      <c r="A99" s="18" t="inlineStr">
        <is>
          <t>PERIM_C</t>
        </is>
      </c>
      <c r="B99" s="18" t="inlineStr">
        <is>
          <t>GRP_C1</t>
        </is>
      </c>
      <c r="C99" s="18" t="inlineStr">
        <is>
          <t>INST-036</t>
        </is>
      </c>
      <c r="D99" s="18" t="inlineStr">
        <is>
          <t>Installation J2</t>
        </is>
      </c>
      <c r="E99" s="19" t="str">
        <f>IFERROR(INDEX(T_Referentiel[Libellé affiché],MATCH($N99,T_Referentiel[Valeur source],0)),"À confirmer")</f>
        <v>Essai de conformité</v>
      </c>
      <c r="F99" s="20" t="inlineStr">
        <is>
          <t>2 ans</t>
        </is>
      </c>
      <c r="G99" s="21">
        <f>COUNTIFS(T_Programme[Code installation],$C99,T_Programme[Type opération source],$N99,T_Programme[Périodicité],$F99,T_Programme[Année],G$7)</f>
        <v>0</v>
      </c>
      <c r="H99" s="21">
        <f>COUNTIFS(T_Programme[Code installation],$C99,T_Programme[Type opération source],$N99,T_Programme[Périodicité],$F99,T_Programme[Année],H$7)</f>
        <v>0</v>
      </c>
      <c r="I99" s="21">
        <f>COUNTIFS(T_Programme[Code installation],$C99,T_Programme[Type opération source],$N99,T_Programme[Périodicité],$F99,T_Programme[Année],I$7)</f>
        <v>0</v>
      </c>
      <c r="J99" s="21">
        <f>COUNTIFS(T_Programme[Code installation],$C99,T_Programme[Type opération source],$N99,T_Programme[Périodicité],$F99,T_Programme[Année],J$7)</f>
        <v>0</v>
      </c>
      <c r="K99" s="21">
        <f>COUNTIFS(T_Programme[Code installation],$C99,T_Programme[Type opération source],$N99,T_Programme[Périodicité],$F99,T_Programme[Année],K$7)</f>
        <v>1</v>
      </c>
      <c r="L99" s="21">
        <f>COUNTIFS(T_Programme[Code installation],$C99,T_Programme[Type opération source],$N99,T_Programme[Périodicité],$F99,T_Programme[Année],L$7)</f>
        <v>0</v>
      </c>
      <c r="M99" s="21">
        <f>COUNTIFS(T_Programme[Code installation],$C99,T_Programme[Type opération source],$N99,T_Programme[Périodicité],$F99,T_Programme[Année],M$7)</f>
        <v>0</v>
      </c>
      <c r="N99" s="18" t="inlineStr">
        <is>
          <t>TYPE_B</t>
        </is>
      </c>
      <c r="O99" s="18" t="str">
        <f>IFERROR(INDEX(T_Referentiel[Statut],MATCH($N99,T_Referentiel[Valeur source],0)),"Absent du référentiel")</f>
        <v>Validé pour démo</v>
      </c>
      <c r="P99" s="18" t="str">
        <f>IF(COUNTIF(G99:M99,"&gt;1")&gt;0,"Doublon potentiel : à confirmer","")</f>
        <v/>
      </c>
    </row>
    <row r="100" ht="18" customHeight="1">
      <c r="A100" s="18" t="inlineStr">
        <is>
          <t>PERIM_C</t>
        </is>
      </c>
      <c r="B100" s="18" t="inlineStr">
        <is>
          <t>GRP_C1</t>
        </is>
      </c>
      <c r="C100" s="18" t="inlineStr">
        <is>
          <t>INST-036</t>
        </is>
      </c>
      <c r="D100" s="18" t="inlineStr">
        <is>
          <t>Installation J2</t>
        </is>
      </c>
      <c r="E100" s="19" t="str">
        <f>IFERROR(INDEX(T_Referentiel[Libellé affiché],MATCH($N100,T_Referentiel[Valeur source],0)),"À confirmer")</f>
        <v>Contrôle filtre</v>
      </c>
      <c r="F100" s="20" t="inlineStr">
        <is>
          <t>3 ans</t>
        </is>
      </c>
      <c r="G100" s="21">
        <f>COUNTIFS(T_Programme[Code installation],$C100,T_Programme[Type opération source],$N100,T_Programme[Périodicité],$F100,T_Programme[Année],G$7)</f>
        <v>0</v>
      </c>
      <c r="H100" s="21">
        <f>COUNTIFS(T_Programme[Code installation],$C100,T_Programme[Type opération source],$N100,T_Programme[Périodicité],$F100,T_Programme[Année],H$7)</f>
        <v>0</v>
      </c>
      <c r="I100" s="21">
        <f>COUNTIFS(T_Programme[Code installation],$C100,T_Programme[Type opération source],$N100,T_Programme[Périodicité],$F100,T_Programme[Année],I$7)</f>
        <v>1</v>
      </c>
      <c r="J100" s="21">
        <f>COUNTIFS(T_Programme[Code installation],$C100,T_Programme[Type opération source],$N100,T_Programme[Périodicité],$F100,T_Programme[Année],J$7)</f>
        <v>0</v>
      </c>
      <c r="K100" s="21">
        <f>COUNTIFS(T_Programme[Code installation],$C100,T_Programme[Type opération source],$N100,T_Programme[Périodicité],$F100,T_Programme[Année],K$7)</f>
        <v>0</v>
      </c>
      <c r="L100" s="21">
        <f>COUNTIFS(T_Programme[Code installation],$C100,T_Programme[Type opération source],$N100,T_Programme[Périodicité],$F100,T_Programme[Année],L$7)</f>
        <v>0</v>
      </c>
      <c r="M100" s="21">
        <f>COUNTIFS(T_Programme[Code installation],$C100,T_Programme[Type opération source],$N100,T_Programme[Périodicité],$F100,T_Programme[Année],M$7)</f>
        <v>0</v>
      </c>
      <c r="N100" s="18" t="inlineStr">
        <is>
          <t>TYPE_C</t>
        </is>
      </c>
      <c r="O100" s="18" t="str">
        <f>IFERROR(INDEX(T_Referentiel[Statut],MATCH($N100,T_Referentiel[Valeur source],0)),"Absent du référentiel")</f>
        <v>Validé pour démo</v>
      </c>
      <c r="P100" s="18" t="str">
        <f>IF(COUNTIF(G100:M100,"&gt;1")&gt;0,"Doublon potentiel : à confirmer","")</f>
        <v/>
      </c>
    </row>
    <row r="101" ht="18" customHeight="1">
      <c r="A101" s="18" t="inlineStr">
        <is>
          <t>PERIM_C</t>
        </is>
      </c>
      <c r="B101" s="18" t="inlineStr">
        <is>
          <t>GRP_C1</t>
        </is>
      </c>
      <c r="C101" s="18" t="inlineStr">
        <is>
          <t>INST-037</t>
        </is>
      </c>
      <c r="D101" s="18" t="inlineStr">
        <is>
          <t>Installation K2</t>
        </is>
      </c>
      <c r="E101" s="19" t="str">
        <f>IFERROR(INDEX(T_Referentiel[Libellé affiché],MATCH($N101,T_Referentiel[Valeur source],0)),"À confirmer")</f>
        <v>Essai de conformité</v>
      </c>
      <c r="F101" s="20" t="inlineStr">
        <is>
          <t>2 ans</t>
        </is>
      </c>
      <c r="G101" s="21">
        <f>COUNTIFS(T_Programme[Code installation],$C101,T_Programme[Type opération source],$N101,T_Programme[Périodicité],$F101,T_Programme[Année],G$7)</f>
        <v>0</v>
      </c>
      <c r="H101" s="21">
        <f>COUNTIFS(T_Programme[Code installation],$C101,T_Programme[Type opération source],$N101,T_Programme[Périodicité],$F101,T_Programme[Année],H$7)</f>
        <v>0</v>
      </c>
      <c r="I101" s="21">
        <f>COUNTIFS(T_Programme[Code installation],$C101,T_Programme[Type opération source],$N101,T_Programme[Périodicité],$F101,T_Programme[Année],I$7)</f>
        <v>0</v>
      </c>
      <c r="J101" s="21">
        <f>COUNTIFS(T_Programme[Code installation],$C101,T_Programme[Type opération source],$N101,T_Programme[Périodicité],$F101,T_Programme[Année],J$7)</f>
        <v>1</v>
      </c>
      <c r="K101" s="21">
        <f>COUNTIFS(T_Programme[Code installation],$C101,T_Programme[Type opération source],$N101,T_Programme[Périodicité],$F101,T_Programme[Année],K$7)</f>
        <v>0</v>
      </c>
      <c r="L101" s="21">
        <f>COUNTIFS(T_Programme[Code installation],$C101,T_Programme[Type opération source],$N101,T_Programme[Périodicité],$F101,T_Programme[Année],L$7)</f>
        <v>0</v>
      </c>
      <c r="M101" s="21">
        <f>COUNTIFS(T_Programme[Code installation],$C101,T_Programme[Type opération source],$N101,T_Programme[Périodicité],$F101,T_Programme[Année],M$7)</f>
        <v>0</v>
      </c>
      <c r="N101" s="18" t="inlineStr">
        <is>
          <t>TYPE_B</t>
        </is>
      </c>
      <c r="O101" s="18" t="str">
        <f>IFERROR(INDEX(T_Referentiel[Statut],MATCH($N101,T_Referentiel[Valeur source],0)),"Absent du référentiel")</f>
        <v>Validé pour démo</v>
      </c>
      <c r="P101" s="18" t="str">
        <f>IF(COUNTIF(G101:M101,"&gt;1")&gt;0,"Doublon potentiel : à confirmer","")</f>
        <v/>
      </c>
    </row>
    <row r="102" ht="18" customHeight="1">
      <c r="A102" s="18" t="inlineStr">
        <is>
          <t>PERIM_C</t>
        </is>
      </c>
      <c r="B102" s="18" t="inlineStr">
        <is>
          <t>GRP_C1</t>
        </is>
      </c>
      <c r="C102" s="18" t="inlineStr">
        <is>
          <t>INST-037</t>
        </is>
      </c>
      <c r="D102" s="18" t="inlineStr">
        <is>
          <t>Installation K2</t>
        </is>
      </c>
      <c r="E102" s="19" t="str">
        <f>IFERROR(INDEX(T_Referentiel[Libellé affiché],MATCH($N102,T_Referentiel[Valeur source],0)),"À confirmer")</f>
        <v>Contrôle filtre</v>
      </c>
      <c r="F102" s="20" t="inlineStr">
        <is>
          <t>3 ans</t>
        </is>
      </c>
      <c r="G102" s="21">
        <f>COUNTIFS(T_Programme[Code installation],$C102,T_Programme[Type opération source],$N102,T_Programme[Périodicité],$F102,T_Programme[Année],G$7)</f>
        <v>0</v>
      </c>
      <c r="H102" s="21">
        <f>COUNTIFS(T_Programme[Code installation],$C102,T_Programme[Type opération source],$N102,T_Programme[Périodicité],$F102,T_Programme[Année],H$7)</f>
        <v>0</v>
      </c>
      <c r="I102" s="21">
        <f>COUNTIFS(T_Programme[Code installation],$C102,T_Programme[Type opération source],$N102,T_Programme[Périodicité],$F102,T_Programme[Année],I$7)</f>
        <v>1</v>
      </c>
      <c r="J102" s="21">
        <f>COUNTIFS(T_Programme[Code installation],$C102,T_Programme[Type opération source],$N102,T_Programme[Périodicité],$F102,T_Programme[Année],J$7)</f>
        <v>0</v>
      </c>
      <c r="K102" s="21">
        <f>COUNTIFS(T_Programme[Code installation],$C102,T_Programme[Type opération source],$N102,T_Programme[Périodicité],$F102,T_Programme[Année],K$7)</f>
        <v>0</v>
      </c>
      <c r="L102" s="21">
        <f>COUNTIFS(T_Programme[Code installation],$C102,T_Programme[Type opération source],$N102,T_Programme[Périodicité],$F102,T_Programme[Année],L$7)</f>
        <v>0</v>
      </c>
      <c r="M102" s="21">
        <f>COUNTIFS(T_Programme[Code installation],$C102,T_Programme[Type opération source],$N102,T_Programme[Périodicité],$F102,T_Programme[Année],M$7)</f>
        <v>0</v>
      </c>
      <c r="N102" s="18" t="inlineStr">
        <is>
          <t>TYPE_C</t>
        </is>
      </c>
      <c r="O102" s="18" t="str">
        <f>IFERROR(INDEX(T_Referentiel[Statut],MATCH($N102,T_Referentiel[Valeur source],0)),"Absent du référentiel")</f>
        <v>Validé pour démo</v>
      </c>
      <c r="P102" s="18" t="str">
        <f>IF(COUNTIF(G102:M102,"&gt;1")&gt;0,"Doublon potentiel : à confirmer","")</f>
        <v/>
      </c>
    </row>
    <row r="103" ht="18" customHeight="1">
      <c r="A103" s="18" t="inlineStr">
        <is>
          <t>PERIM_C</t>
        </is>
      </c>
      <c r="B103" s="18" t="inlineStr">
        <is>
          <t>GRP_C1</t>
        </is>
      </c>
      <c r="C103" s="18" t="inlineStr">
        <is>
          <t>INST-037</t>
        </is>
      </c>
      <c r="D103" s="18" t="inlineStr">
        <is>
          <t>Installation K2</t>
        </is>
      </c>
      <c r="E103" s="19" t="str">
        <f>IFERROR(INDEX(T_Referentiel[Libellé affiché],MATCH($N103,T_Referentiel[Valeur source],0)),"À confirmer")</f>
        <v>Opération spécifique</v>
      </c>
      <c r="F103" s="20" t="inlineStr">
        <is>
          <t>2 ans</t>
        </is>
      </c>
      <c r="G103" s="21">
        <f>COUNTIFS(T_Programme[Code installation],$C103,T_Programme[Type opération source],$N103,T_Programme[Périodicité],$F103,T_Programme[Année],G$7)</f>
        <v>0</v>
      </c>
      <c r="H103" s="21">
        <f>COUNTIFS(T_Programme[Code installation],$C103,T_Programme[Type opération source],$N103,T_Programme[Périodicité],$F103,T_Programme[Année],H$7)</f>
        <v>0</v>
      </c>
      <c r="I103" s="21">
        <f>COUNTIFS(T_Programme[Code installation],$C103,T_Programme[Type opération source],$N103,T_Programme[Périodicité],$F103,T_Programme[Année],I$7)</f>
        <v>0</v>
      </c>
      <c r="J103" s="21">
        <f>COUNTIFS(T_Programme[Code installation],$C103,T_Programme[Type opération source],$N103,T_Programme[Périodicité],$F103,T_Programme[Année],J$7)</f>
        <v>0</v>
      </c>
      <c r="K103" s="21">
        <f>COUNTIFS(T_Programme[Code installation],$C103,T_Programme[Type opération source],$N103,T_Programme[Périodicité],$F103,T_Programme[Année],K$7)</f>
        <v>1</v>
      </c>
      <c r="L103" s="21">
        <f>COUNTIFS(T_Programme[Code installation],$C103,T_Programme[Type opération source],$N103,T_Programme[Périodicité],$F103,T_Programme[Année],L$7)</f>
        <v>0</v>
      </c>
      <c r="M103" s="21">
        <f>COUNTIFS(T_Programme[Code installation],$C103,T_Programme[Type opération source],$N103,T_Programme[Périodicité],$F103,T_Programme[Année],M$7)</f>
        <v>1</v>
      </c>
      <c r="N103" s="18" t="inlineStr">
        <is>
          <t>TYPE_E</t>
        </is>
      </c>
      <c r="O103" s="18" t="str">
        <f>IFERROR(INDEX(T_Referentiel[Statut],MATCH($N103,T_Referentiel[Valeur source],0)),"Absent du référentiel")</f>
        <v>À confirmer</v>
      </c>
      <c r="P103" s="18" t="str">
        <f>IF(COUNTIF(G103:M103,"&gt;1")&gt;0,"Doublon potentiel : à confirmer","")</f>
        <v/>
      </c>
    </row>
    <row r="104" ht="18" customHeight="1">
      <c r="A104" s="18" t="inlineStr">
        <is>
          <t>PERIM_C</t>
        </is>
      </c>
      <c r="B104" s="18" t="inlineStr">
        <is>
          <t>GRP_C1</t>
        </is>
      </c>
      <c r="C104" s="18" t="inlineStr">
        <is>
          <t>INST-038</t>
        </is>
      </c>
      <c r="D104" s="18" t="inlineStr">
        <is>
          <t>Installation L2</t>
        </is>
      </c>
      <c r="E104" s="19" t="str">
        <f>IFERROR(INDEX(T_Referentiel[Libellé affiché],MATCH($N104,T_Referentiel[Valeur source],0)),"À confirmer")</f>
        <v>Contrôle annuel</v>
      </c>
      <c r="F104" s="20" t="inlineStr">
        <is>
          <t>1 an</t>
        </is>
      </c>
      <c r="G104" s="21">
        <f>COUNTIFS(T_Programme[Code installation],$C104,T_Programme[Type opération source],$N104,T_Programme[Périodicité],$F104,T_Programme[Année],G$7)</f>
        <v>0</v>
      </c>
      <c r="H104" s="21">
        <f>COUNTIFS(T_Programme[Code installation],$C104,T_Programme[Type opération source],$N104,T_Programme[Périodicité],$F104,T_Programme[Année],H$7)</f>
        <v>1</v>
      </c>
      <c r="I104" s="21">
        <f>COUNTIFS(T_Programme[Code installation],$C104,T_Programme[Type opération source],$N104,T_Programme[Périodicité],$F104,T_Programme[Année],I$7)</f>
        <v>0</v>
      </c>
      <c r="J104" s="21">
        <f>COUNTIFS(T_Programme[Code installation],$C104,T_Programme[Type opération source],$N104,T_Programme[Périodicité],$F104,T_Programme[Année],J$7)</f>
        <v>0</v>
      </c>
      <c r="K104" s="21">
        <f>COUNTIFS(T_Programme[Code installation],$C104,T_Programme[Type opération source],$N104,T_Programme[Périodicité],$F104,T_Programme[Année],K$7)</f>
        <v>0</v>
      </c>
      <c r="L104" s="21">
        <f>COUNTIFS(T_Programme[Code installation],$C104,T_Programme[Type opération source],$N104,T_Programme[Périodicité],$F104,T_Programme[Année],L$7)</f>
        <v>0</v>
      </c>
      <c r="M104" s="21">
        <f>COUNTIFS(T_Programme[Code installation],$C104,T_Programme[Type opération source],$N104,T_Programme[Périodicité],$F104,T_Programme[Année],M$7)</f>
        <v>0</v>
      </c>
      <c r="N104" s="18" t="inlineStr">
        <is>
          <t>TYPE_A</t>
        </is>
      </c>
      <c r="O104" s="18" t="str">
        <f>IFERROR(INDEX(T_Referentiel[Statut],MATCH($N104,T_Referentiel[Valeur source],0)),"Absent du référentiel")</f>
        <v>Validé pour démo</v>
      </c>
      <c r="P104" s="18" t="str">
        <f>IF(COUNTIF(G104:M104,"&gt;1")&gt;0,"Doublon potentiel : à confirmer","")</f>
        <v/>
      </c>
    </row>
    <row r="105" ht="18" customHeight="1">
      <c r="A105" s="18" t="inlineStr">
        <is>
          <t>PERIM_C</t>
        </is>
      </c>
      <c r="B105" s="18" t="inlineStr">
        <is>
          <t>GRP_C1</t>
        </is>
      </c>
      <c r="C105" s="18" t="inlineStr">
        <is>
          <t>INST-038</t>
        </is>
      </c>
      <c r="D105" s="18" t="inlineStr">
        <is>
          <t>Installation L2</t>
        </is>
      </c>
      <c r="E105" s="19" t="str">
        <f>IFERROR(INDEX(T_Referentiel[Libellé affiché],MATCH($N105,T_Referentiel[Valeur source],0)),"À confirmer")</f>
        <v>Essai de conformité</v>
      </c>
      <c r="F105" s="20" t="inlineStr">
        <is>
          <t>2 ans</t>
        </is>
      </c>
      <c r="G105" s="21">
        <f>COUNTIFS(T_Programme[Code installation],$C105,T_Programme[Type opération source],$N105,T_Programme[Périodicité],$F105,T_Programme[Année],G$7)</f>
        <v>0</v>
      </c>
      <c r="H105" s="21">
        <f>COUNTIFS(T_Programme[Code installation],$C105,T_Programme[Type opération source],$N105,T_Programme[Périodicité],$F105,T_Programme[Année],H$7)</f>
        <v>0</v>
      </c>
      <c r="I105" s="21">
        <f>COUNTIFS(T_Programme[Code installation],$C105,T_Programme[Type opération source],$N105,T_Programme[Périodicité],$F105,T_Programme[Année],I$7)</f>
        <v>0</v>
      </c>
      <c r="J105" s="21">
        <f>COUNTIFS(T_Programme[Code installation],$C105,T_Programme[Type opération source],$N105,T_Programme[Périodicité],$F105,T_Programme[Année],J$7)</f>
        <v>0</v>
      </c>
      <c r="K105" s="21">
        <f>COUNTIFS(T_Programme[Code installation],$C105,T_Programme[Type opération source],$N105,T_Programme[Périodicité],$F105,T_Programme[Année],K$7)</f>
        <v>0</v>
      </c>
      <c r="L105" s="21">
        <f>COUNTIFS(T_Programme[Code installation],$C105,T_Programme[Type opération source],$N105,T_Programme[Périodicité],$F105,T_Programme[Année],L$7)</f>
        <v>0</v>
      </c>
      <c r="M105" s="21">
        <f>COUNTIFS(T_Programme[Code installation],$C105,T_Programme[Type opération source],$N105,T_Programme[Périodicité],$F105,T_Programme[Année],M$7)</f>
        <v>1</v>
      </c>
      <c r="N105" s="18" t="inlineStr">
        <is>
          <t>TYPE_B</t>
        </is>
      </c>
      <c r="O105" s="18" t="str">
        <f>IFERROR(INDEX(T_Referentiel[Statut],MATCH($N105,T_Referentiel[Valeur source],0)),"Absent du référentiel")</f>
        <v>Validé pour démo</v>
      </c>
      <c r="P105" s="18" t="str">
        <f>IF(COUNTIF(G105:M105,"&gt;1")&gt;0,"Doublon potentiel : à confirmer","")</f>
        <v/>
      </c>
    </row>
    <row r="106" ht="18" customHeight="1">
      <c r="A106" s="18" t="inlineStr">
        <is>
          <t>PERIM_C</t>
        </is>
      </c>
      <c r="B106" s="18" t="inlineStr">
        <is>
          <t>GRP_C1</t>
        </is>
      </c>
      <c r="C106" s="18" t="inlineStr">
        <is>
          <t>INST-038</t>
        </is>
      </c>
      <c r="D106" s="18" t="inlineStr">
        <is>
          <t>Installation L2</t>
        </is>
      </c>
      <c r="E106" s="19" t="str">
        <f>IFERROR(INDEX(T_Referentiel[Libellé affiché],MATCH($N106,T_Referentiel[Valeur source],0)),"À confirmer")</f>
        <v>Opération spécifique</v>
      </c>
      <c r="F106" s="20" t="inlineStr">
        <is>
          <t>2 ans</t>
        </is>
      </c>
      <c r="G106" s="21">
        <f>COUNTIFS(T_Programme[Code installation],$C106,T_Programme[Type opération source],$N106,T_Programme[Périodicité],$F106,T_Programme[Année],G$7)</f>
        <v>0</v>
      </c>
      <c r="H106" s="21">
        <f>COUNTIFS(T_Programme[Code installation],$C106,T_Programme[Type opération source],$N106,T_Programme[Périodicité],$F106,T_Programme[Année],H$7)</f>
        <v>0</v>
      </c>
      <c r="I106" s="21">
        <f>COUNTIFS(T_Programme[Code installation],$C106,T_Programme[Type opération source],$N106,T_Programme[Périodicité],$F106,T_Programme[Année],I$7)</f>
        <v>0</v>
      </c>
      <c r="J106" s="21">
        <f>COUNTIFS(T_Programme[Code installation],$C106,T_Programme[Type opération source],$N106,T_Programme[Périodicité],$F106,T_Programme[Année],J$7)</f>
        <v>0</v>
      </c>
      <c r="K106" s="21">
        <f>COUNTIFS(T_Programme[Code installation],$C106,T_Programme[Type opération source],$N106,T_Programme[Périodicité],$F106,T_Programme[Année],K$7)</f>
        <v>0</v>
      </c>
      <c r="L106" s="21">
        <f>COUNTIFS(T_Programme[Code installation],$C106,T_Programme[Type opération source],$N106,T_Programme[Périodicité],$F106,T_Programme[Année],L$7)</f>
        <v>1</v>
      </c>
      <c r="M106" s="21">
        <f>COUNTIFS(T_Programme[Code installation],$C106,T_Programme[Type opération source],$N106,T_Programme[Périodicité],$F106,T_Programme[Année],M$7)</f>
        <v>0</v>
      </c>
      <c r="N106" s="18" t="inlineStr">
        <is>
          <t>TYPE_E</t>
        </is>
      </c>
      <c r="O106" s="18" t="str">
        <f>IFERROR(INDEX(T_Referentiel[Statut],MATCH($N106,T_Referentiel[Valeur source],0)),"Absent du référentiel")</f>
        <v>À confirmer</v>
      </c>
      <c r="P106" s="18" t="str">
        <f>IF(COUNTIF(G106:M106,"&gt;1")&gt;0,"Doublon potentiel : à confirmer","")</f>
        <v/>
      </c>
    </row>
    <row r="107" ht="18" customHeight="1">
      <c r="A107" s="18" t="inlineStr">
        <is>
          <t>PERIM_C</t>
        </is>
      </c>
      <c r="B107" s="18" t="inlineStr">
        <is>
          <t>GRP_C1</t>
        </is>
      </c>
      <c r="C107" s="18" t="inlineStr">
        <is>
          <t>INST-039</t>
        </is>
      </c>
      <c r="D107" s="18" t="inlineStr">
        <is>
          <t>Installation M2</t>
        </is>
      </c>
      <c r="E107" s="19" t="str">
        <f>IFERROR(INDEX(T_Referentiel[Libellé affiché],MATCH($N107,T_Referentiel[Valeur source],0)),"À confirmer")</f>
        <v>Contrôle annuel</v>
      </c>
      <c r="F107" s="20" t="inlineStr">
        <is>
          <t>1 an</t>
        </is>
      </c>
      <c r="G107" s="21">
        <f>COUNTIFS(T_Programme[Code installation],$C107,T_Programme[Type opération source],$N107,T_Programme[Périodicité],$F107,T_Programme[Année],G$7)</f>
        <v>0</v>
      </c>
      <c r="H107" s="21">
        <f>COUNTIFS(T_Programme[Code installation],$C107,T_Programme[Type opération source],$N107,T_Programme[Périodicité],$F107,T_Programme[Année],H$7)</f>
        <v>0</v>
      </c>
      <c r="I107" s="21">
        <f>COUNTIFS(T_Programme[Code installation],$C107,T_Programme[Type opération source],$N107,T_Programme[Périodicité],$F107,T_Programme[Année],I$7)</f>
        <v>0</v>
      </c>
      <c r="J107" s="21">
        <f>COUNTIFS(T_Programme[Code installation],$C107,T_Programme[Type opération source],$N107,T_Programme[Périodicité],$F107,T_Programme[Année],J$7)</f>
        <v>1</v>
      </c>
      <c r="K107" s="21">
        <f>COUNTIFS(T_Programme[Code installation],$C107,T_Programme[Type opération source],$N107,T_Programme[Périodicité],$F107,T_Programme[Année],K$7)</f>
        <v>1</v>
      </c>
      <c r="L107" s="21">
        <f>COUNTIFS(T_Programme[Code installation],$C107,T_Programme[Type opération source],$N107,T_Programme[Périodicité],$F107,T_Programme[Année],L$7)</f>
        <v>0</v>
      </c>
      <c r="M107" s="21">
        <f>COUNTIFS(T_Programme[Code installation],$C107,T_Programme[Type opération source],$N107,T_Programme[Périodicité],$F107,T_Programme[Année],M$7)</f>
        <v>0</v>
      </c>
      <c r="N107" s="18" t="inlineStr">
        <is>
          <t>TYPE_A</t>
        </is>
      </c>
      <c r="O107" s="18" t="str">
        <f>IFERROR(INDEX(T_Referentiel[Statut],MATCH($N107,T_Referentiel[Valeur source],0)),"Absent du référentiel")</f>
        <v>Validé pour démo</v>
      </c>
      <c r="P107" s="18" t="str">
        <f>IF(COUNTIF(G107:M107,"&gt;1")&gt;0,"Doublon potentiel : à confirmer","")</f>
        <v/>
      </c>
    </row>
    <row r="108" ht="18" customHeight="1">
      <c r="A108" s="18" t="inlineStr">
        <is>
          <t>PERIM_C</t>
        </is>
      </c>
      <c r="B108" s="18" t="inlineStr">
        <is>
          <t>GRP_C1</t>
        </is>
      </c>
      <c r="C108" s="18" t="inlineStr">
        <is>
          <t>INST-039</t>
        </is>
      </c>
      <c r="D108" s="18" t="inlineStr">
        <is>
          <t>Installation M2</t>
        </is>
      </c>
      <c r="E108" s="19" t="str">
        <f>IFERROR(INDEX(T_Referentiel[Libellé affiché],MATCH($N108,T_Referentiel[Valeur source],0)),"À confirmer")</f>
        <v>Essai de conformité</v>
      </c>
      <c r="F108" s="20" t="inlineStr">
        <is>
          <t>2 ans</t>
        </is>
      </c>
      <c r="G108" s="21">
        <f>COUNTIFS(T_Programme[Code installation],$C108,T_Programme[Type opération source],$N108,T_Programme[Périodicité],$F108,T_Programme[Année],G$7)</f>
        <v>0</v>
      </c>
      <c r="H108" s="21">
        <f>COUNTIFS(T_Programme[Code installation],$C108,T_Programme[Type opération source],$N108,T_Programme[Périodicité],$F108,T_Programme[Année],H$7)</f>
        <v>1</v>
      </c>
      <c r="I108" s="21">
        <f>COUNTIFS(T_Programme[Code installation],$C108,T_Programme[Type opération source],$N108,T_Programme[Périodicité],$F108,T_Programme[Année],I$7)</f>
        <v>0</v>
      </c>
      <c r="J108" s="21">
        <f>COUNTIFS(T_Programme[Code installation],$C108,T_Programme[Type opération source],$N108,T_Programme[Périodicité],$F108,T_Programme[Année],J$7)</f>
        <v>0</v>
      </c>
      <c r="K108" s="21">
        <f>COUNTIFS(T_Programme[Code installation],$C108,T_Programme[Type opération source],$N108,T_Programme[Périodicité],$F108,T_Programme[Année],K$7)</f>
        <v>0</v>
      </c>
      <c r="L108" s="21">
        <f>COUNTIFS(T_Programme[Code installation],$C108,T_Programme[Type opération source],$N108,T_Programme[Périodicité],$F108,T_Programme[Année],L$7)</f>
        <v>0</v>
      </c>
      <c r="M108" s="21">
        <f>COUNTIFS(T_Programme[Code installation],$C108,T_Programme[Type opération source],$N108,T_Programme[Périodicité],$F108,T_Programme[Année],M$7)</f>
        <v>0</v>
      </c>
      <c r="N108" s="18" t="inlineStr">
        <is>
          <t>TYPE_B</t>
        </is>
      </c>
      <c r="O108" s="18" t="str">
        <f>IFERROR(INDEX(T_Referentiel[Statut],MATCH($N108,T_Referentiel[Valeur source],0)),"Absent du référentiel")</f>
        <v>Validé pour démo</v>
      </c>
      <c r="P108" s="18" t="str">
        <f>IF(COUNTIF(G108:M108,"&gt;1")&gt;0,"Doublon potentiel : à confirmer","")</f>
        <v/>
      </c>
    </row>
    <row r="109" ht="18" customHeight="1">
      <c r="A109" s="18" t="inlineStr">
        <is>
          <t>PERIM_C</t>
        </is>
      </c>
      <c r="B109" s="18" t="inlineStr">
        <is>
          <t>GRP_C1</t>
        </is>
      </c>
      <c r="C109" s="18" t="inlineStr">
        <is>
          <t>INST-039</t>
        </is>
      </c>
      <c r="D109" s="18" t="inlineStr">
        <is>
          <t>Installation M2</t>
        </is>
      </c>
      <c r="E109" s="19" t="str">
        <f>IFERROR(INDEX(T_Referentiel[Libellé affiché],MATCH($N109,T_Referentiel[Valeur source],0)),"À confirmer")</f>
        <v>Contrôle filtre</v>
      </c>
      <c r="F109" s="20" t="inlineStr">
        <is>
          <t>3 ans</t>
        </is>
      </c>
      <c r="G109" s="21">
        <f>COUNTIFS(T_Programme[Code installation],$C109,T_Programme[Type opération source],$N109,T_Programme[Périodicité],$F109,T_Programme[Année],G$7)</f>
        <v>0</v>
      </c>
      <c r="H109" s="21">
        <f>COUNTIFS(T_Programme[Code installation],$C109,T_Programme[Type opération source],$N109,T_Programme[Périodicité],$F109,T_Programme[Année],H$7)</f>
        <v>0</v>
      </c>
      <c r="I109" s="21">
        <f>COUNTIFS(T_Programme[Code installation],$C109,T_Programme[Type opération source],$N109,T_Programme[Périodicité],$F109,T_Programme[Année],I$7)</f>
        <v>1</v>
      </c>
      <c r="J109" s="21">
        <f>COUNTIFS(T_Programme[Code installation],$C109,T_Programme[Type opération source],$N109,T_Programme[Périodicité],$F109,T_Programme[Année],J$7)</f>
        <v>0</v>
      </c>
      <c r="K109" s="21">
        <f>COUNTIFS(T_Programme[Code installation],$C109,T_Programme[Type opération source],$N109,T_Programme[Périodicité],$F109,T_Programme[Année],K$7)</f>
        <v>0</v>
      </c>
      <c r="L109" s="21">
        <f>COUNTIFS(T_Programme[Code installation],$C109,T_Programme[Type opération source],$N109,T_Programme[Périodicité],$F109,T_Programme[Année],L$7)</f>
        <v>0</v>
      </c>
      <c r="M109" s="21">
        <f>COUNTIFS(T_Programme[Code installation],$C109,T_Programme[Type opération source],$N109,T_Programme[Périodicité],$F109,T_Programme[Année],M$7)</f>
        <v>0</v>
      </c>
      <c r="N109" s="18" t="inlineStr">
        <is>
          <t>TYPE_C</t>
        </is>
      </c>
      <c r="O109" s="18" t="str">
        <f>IFERROR(INDEX(T_Referentiel[Statut],MATCH($N109,T_Referentiel[Valeur source],0)),"Absent du référentiel")</f>
        <v>Validé pour démo</v>
      </c>
      <c r="P109" s="18" t="str">
        <f>IF(COUNTIF(G109:M109,"&gt;1")&gt;0,"Doublon potentiel : à confirmer","")</f>
        <v/>
      </c>
    </row>
    <row r="110" ht="18" customHeight="1">
      <c r="A110" s="18" t="inlineStr">
        <is>
          <t>PERIM_C</t>
        </is>
      </c>
      <c r="B110" s="18" t="inlineStr">
        <is>
          <t>GRP_C1</t>
        </is>
      </c>
      <c r="C110" s="18" t="inlineStr">
        <is>
          <t>INST-040</t>
        </is>
      </c>
      <c r="D110" s="18" t="inlineStr">
        <is>
          <t>Installation N2</t>
        </is>
      </c>
      <c r="E110" s="19" t="str">
        <f>IFERROR(INDEX(T_Referentiel[Libellé affiché],MATCH($N110,T_Referentiel[Valeur source],0)),"À confirmer")</f>
        <v>Contrôle annuel</v>
      </c>
      <c r="F110" s="20" t="inlineStr">
        <is>
          <t>1 an</t>
        </is>
      </c>
      <c r="G110" s="21">
        <f>COUNTIFS(T_Programme[Code installation],$C110,T_Programme[Type opération source],$N110,T_Programme[Périodicité],$F110,T_Programme[Année],G$7)</f>
        <v>0</v>
      </c>
      <c r="H110" s="21">
        <f>COUNTIFS(T_Programme[Code installation],$C110,T_Programme[Type opération source],$N110,T_Programme[Périodicité],$F110,T_Programme[Année],H$7)</f>
        <v>1</v>
      </c>
      <c r="I110" s="21">
        <f>COUNTIFS(T_Programme[Code installation],$C110,T_Programme[Type opération source],$N110,T_Programme[Périodicité],$F110,T_Programme[Année],I$7)</f>
        <v>2</v>
      </c>
      <c r="J110" s="21">
        <f>COUNTIFS(T_Programme[Code installation],$C110,T_Programme[Type opération source],$N110,T_Programme[Périodicité],$F110,T_Programme[Année],J$7)</f>
        <v>0</v>
      </c>
      <c r="K110" s="21">
        <f>COUNTIFS(T_Programme[Code installation],$C110,T_Programme[Type opération source],$N110,T_Programme[Périodicité],$F110,T_Programme[Année],K$7)</f>
        <v>0</v>
      </c>
      <c r="L110" s="21">
        <f>COUNTIFS(T_Programme[Code installation],$C110,T_Programme[Type opération source],$N110,T_Programme[Périodicité],$F110,T_Programme[Année],L$7)</f>
        <v>0</v>
      </c>
      <c r="M110" s="21">
        <f>COUNTIFS(T_Programme[Code installation],$C110,T_Programme[Type opération source],$N110,T_Programme[Périodicité],$F110,T_Programme[Année],M$7)</f>
        <v>0</v>
      </c>
      <c r="N110" s="18" t="inlineStr">
        <is>
          <t>TYPE_A</t>
        </is>
      </c>
      <c r="O110" s="18" t="str">
        <f>IFERROR(INDEX(T_Referentiel[Statut],MATCH($N110,T_Referentiel[Valeur source],0)),"Absent du référentiel")</f>
        <v>Validé pour démo</v>
      </c>
      <c r="P110" s="18" t="str">
        <f>IF(COUNTIF(G110:M110,"&gt;1")&gt;0,"Doublon potentiel : à confirmer","")</f>
        <v>Doublon potentiel : à confirmer</v>
      </c>
    </row>
    <row r="111" ht="18" customHeight="1">
      <c r="A111" s="18" t="inlineStr">
        <is>
          <t>PERIM_C</t>
        </is>
      </c>
      <c r="B111" s="18" t="inlineStr">
        <is>
          <t>GRP_C1</t>
        </is>
      </c>
      <c r="C111" s="18" t="inlineStr">
        <is>
          <t>INST-040</t>
        </is>
      </c>
      <c r="D111" s="18" t="inlineStr">
        <is>
          <t>Installation N2</t>
        </is>
      </c>
      <c r="E111" s="19" t="str">
        <f>IFERROR(INDEX(T_Referentiel[Libellé affiché],MATCH($N111,T_Referentiel[Valeur source],0)),"À confirmer")</f>
        <v>Contrôle filtre</v>
      </c>
      <c r="F111" s="20" t="inlineStr">
        <is>
          <t>3 ans</t>
        </is>
      </c>
      <c r="G111" s="21">
        <f>COUNTIFS(T_Programme[Code installation],$C111,T_Programme[Type opération source],$N111,T_Programme[Périodicité],$F111,T_Programme[Année],G$7)</f>
        <v>0</v>
      </c>
      <c r="H111" s="21">
        <f>COUNTIFS(T_Programme[Code installation],$C111,T_Programme[Type opération source],$N111,T_Programme[Périodicité],$F111,T_Programme[Année],H$7)</f>
        <v>1</v>
      </c>
      <c r="I111" s="21">
        <f>COUNTIFS(T_Programme[Code installation],$C111,T_Programme[Type opération source],$N111,T_Programme[Périodicité],$F111,T_Programme[Année],I$7)</f>
        <v>0</v>
      </c>
      <c r="J111" s="21">
        <f>COUNTIFS(T_Programme[Code installation],$C111,T_Programme[Type opération source],$N111,T_Programme[Périodicité],$F111,T_Programme[Année],J$7)</f>
        <v>0</v>
      </c>
      <c r="K111" s="21">
        <f>COUNTIFS(T_Programme[Code installation],$C111,T_Programme[Type opération source],$N111,T_Programme[Périodicité],$F111,T_Programme[Année],K$7)</f>
        <v>0</v>
      </c>
      <c r="L111" s="21">
        <f>COUNTIFS(T_Programme[Code installation],$C111,T_Programme[Type opération source],$N111,T_Programme[Périodicité],$F111,T_Programme[Année],L$7)</f>
        <v>0</v>
      </c>
      <c r="M111" s="21">
        <f>COUNTIFS(T_Programme[Code installation],$C111,T_Programme[Type opération source],$N111,T_Programme[Périodicité],$F111,T_Programme[Année],M$7)</f>
        <v>0</v>
      </c>
      <c r="N111" s="18" t="inlineStr">
        <is>
          <t>TYPE_C</t>
        </is>
      </c>
      <c r="O111" s="18" t="str">
        <f>IFERROR(INDEX(T_Referentiel[Statut],MATCH($N111,T_Referentiel[Valeur source],0)),"Absent du référentiel")</f>
        <v>Validé pour démo</v>
      </c>
      <c r="P111" s="18" t="str">
        <f>IF(COUNTIF(G111:M111,"&gt;1")&gt;0,"Doublon potentiel : à confirmer","")</f>
        <v/>
      </c>
    </row>
  </sheetData>
  <mergeCells count="13">
    <mergeCell ref="A4:B4"/>
    <mergeCell ref="F4:G4"/>
    <mergeCell ref="C6:H6"/>
    <mergeCell ref="K4:M4"/>
    <mergeCell ref="K5:M5"/>
    <mergeCell ref="H5:J5"/>
    <mergeCell ref="F5:G5"/>
    <mergeCell ref="C5:D5"/>
    <mergeCell ref="A5:B5"/>
    <mergeCell ref="H4:J4"/>
    <mergeCell ref="N5:O5"/>
    <mergeCell ref="N4:O4"/>
    <mergeCell ref="C4:D4"/>
  </mergeCells>
  <conditionalFormatting sqref="G7:M7">
    <cfRule type="expression" priority="1" dxfId="0" stopIfTrue="1">
      <formula>VALUE(G7)=P_Annee</formula>
    </cfRule>
  </conditionalFormatting>
  <conditionalFormatting sqref="E8:P111">
    <cfRule type="expression" priority="2" dxfId="0" stopIfTrue="1">
      <formula>OR(E8="À confirmer",E8="Absent du référentiel")</formula>
    </cfRule>
  </conditionalFormatting>
  <conditionalFormatting sqref="P8:P111">
    <cfRule type="expression" priority="3" dxfId="0" stopIfTrue="1">
      <formula>LEN($P8)&gt;0</formula>
    </cfRule>
  </conditionalFormatting>
  <conditionalFormatting sqref="G8:M111">
    <cfRule type="expression" priority="4" dxfId="1">
      <formula>VALUE(G$7)=P_Annee</formula>
    </cfRule>
  </conditionalFormatting>
  <conditionalFormatting sqref="A8:P111">
    <cfRule type="expression" priority="5" dxfId="2">
      <formula>MOD(SUBTOTAL(103,$C$8:$C8),2)=0</formula>
    </cfRule>
  </conditionalFormatting>
  <conditionalFormatting sqref="C6">
    <cfRule type="expression" priority="6" dxfId="3">
      <formula>ISNUMBER(SEARCH("ACTUALISER",$C$6))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FFC600"/>
    <outlinePr summaryBelow="1" summaryRight="1"/>
    <pageSetUpPr fitToPage="1"/>
  </sheetPr>
  <dimension ref="A1:K9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Couverture OT préventifs (GMAO)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inlineStr">
        <is>
          <t>PROTOTYPE V0.3</t>
        </is>
      </c>
    </row>
    <row r="2" ht="18" customHeight="1">
      <c r="A2" s="5" t="inlineStr">
        <is>
          <t>Nombre d'OT distincts par site, équipe, poste et activité. Complément du plan : aucun rapprochement automatique avec le programme.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7" t="inlineStr">
        <is>
          <t>Données 100 % fictives</t>
        </is>
      </c>
    </row>
    <row r="3" ht="3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 ht="24" customHeight="1">
      <c r="A4" s="9" t="str">
        <f>"OT distincts "&amp;P_Annee</f>
        <v>OT distincts 2027</v>
      </c>
      <c r="B4" s="10" t="n"/>
      <c r="C4" s="9" t="str">
        <f>"Postes avec OT "&amp;P_Annee</f>
        <v>Postes avec OT 2027</v>
      </c>
      <c r="D4" s="11" t="n"/>
      <c r="E4" s="9" t="str">
        <f>INDEX(T_Ref_Activites[Activité],1)</f>
        <v>PIS</v>
      </c>
      <c r="F4" s="9" t="str">
        <f>INDEX(T_Ref_Activites[Activité],2)</f>
        <v>EC</v>
      </c>
      <c r="G4" s="9" t="str">
        <f>INDEX(T_Ref_Activites[Activité],3)</f>
        <v>PILOTAGE</v>
      </c>
      <c r="H4" s="9" t="str">
        <f>INDEX(T_Ref_Activites[Activité],4)</f>
        <v>FILTRE</v>
      </c>
      <c r="I4" s="22" t="str">
        <f>INDEX(T_Ref_Activites[Activité],5)</f>
        <v>REV</v>
      </c>
      <c r="J4" s="22" t="inlineStr">
        <is>
          <t>OT toutes années</t>
        </is>
      </c>
      <c r="K4" s="9" t="inlineStr">
        <is>
          <t>Contrôles à vérifier</t>
        </is>
      </c>
    </row>
    <row r="5" ht="26" customHeight="1">
      <c r="A5" s="12">
        <f>IFERROR(SUMIFS(INDEX('02_COUVERTURE_OT'!$A$9:$AZ$200000,0,MATCH("OT distincts (toutes activités)",'02_COUVERTURE_OT'!$A$8:$AZ$8,0)),'02_COUVERTURE_OT'!$A$9:$A$200000,P_Annee),0)</f>
        <v>18</v>
      </c>
      <c r="B5" s="10" t="n"/>
      <c r="C5" s="12">
        <f>COUNTIFS('02_COUVERTURE_OT'!$A$9:$A$200000,P_Annee)</f>
        <v>18</v>
      </c>
      <c r="D5" s="11" t="n"/>
      <c r="E5" s="12">
        <f>IFERROR(SUMIFS(INDEX('02_COUVERTURE_OT'!$A$9:$AZ$200000,0,MATCH(INDEX(T_Ref_Activites[Activité],1),'02_COUVERTURE_OT'!$A$8:$AZ$8,0)),'02_COUVERTURE_OT'!$A$9:$A$200000,P_Annee),0)</f>
        <v>10</v>
      </c>
      <c r="F5" s="12">
        <f>IFERROR(SUMIFS(INDEX('02_COUVERTURE_OT'!$A$9:$AZ$200000,0,MATCH(INDEX(T_Ref_Activites[Activité],2),'02_COUVERTURE_OT'!$A$8:$AZ$8,0)),'02_COUVERTURE_OT'!$A$9:$A$200000,P_Annee),0)</f>
        <v>14</v>
      </c>
      <c r="G5" s="12">
        <f>IFERROR(SUMIFS(INDEX('02_COUVERTURE_OT'!$A$9:$AZ$200000,0,MATCH(INDEX(T_Ref_Activites[Activité],3),'02_COUVERTURE_OT'!$A$8:$AZ$8,0)),'02_COUVERTURE_OT'!$A$9:$A$200000,P_Annee),0)</f>
        <v>5</v>
      </c>
      <c r="H5" s="12">
        <f>IFERROR(SUMIFS(INDEX('02_COUVERTURE_OT'!$A$9:$AZ$200000,0,MATCH(INDEX(T_Ref_Activites[Activité],4),'02_COUVERTURE_OT'!$A$8:$AZ$8,0)),'02_COUVERTURE_OT'!$A$9:$A$200000,P_Annee),0)</f>
        <v>10</v>
      </c>
      <c r="I5" s="23">
        <f>IFERROR(SUMIFS(INDEX('02_COUVERTURE_OT'!$A$9:$AZ$200000,0,MATCH(INDEX(T_Ref_Activites[Activité],5),'02_COUVERTURE_OT'!$A$8:$AZ$8,0)),'02_COUVERTURE_OT'!$A$9:$A$200000,P_Annee),0)</f>
        <v>6</v>
      </c>
      <c r="J5" s="23">
        <f>IFERROR(SUM(INDEX('02_COUVERTURE_OT'!$A$9:$AZ$200000,0,MATCH("OT distincts (toutes activités)",'02_COUVERTURE_OT'!$A$8:$AZ$8,0))),0)</f>
        <v>90</v>
      </c>
      <c r="K5" s="12">
        <f>COUNTIF('08_PARAMETRES'!$G$21:$G$80,"À VÉRIFIER")</f>
        <v>0</v>
      </c>
    </row>
    <row r="6" ht="20" customHeight="1">
      <c r="A6" s="13" t="inlineStr">
        <is>
          <t>Année d'analyse</t>
        </is>
      </c>
      <c r="B6" s="14">
        <f>P_Annee</f>
        <v>2027</v>
      </c>
      <c r="C6" s="15" t="str">
        <f>"Source : "&amp;IFERROR(INDEX('04_DETAIL_OT'!$A$2:$AZ$2,MATCH("Fichier source",'04_DETAIL_OT'!$A$1:$AZ$1,0)),"")</f>
        <v>Source : Instantané de démonstration – MODELE_GMAO_PREV_ANONYMISE.csv</v>
      </c>
      <c r="J6" s="13" t="inlineStr">
        <is>
          <t>Actualisé le</t>
        </is>
      </c>
      <c r="K6" s="24">
        <f>IFERROR(INDEX('04_DETAIL_OT'!$A$2:$AZ$2,MATCH("Importé le",'04_DETAIL_OT'!$A$1:$AZ$1,0)),"")</f>
        <v>46309.50763888889</v>
      </c>
    </row>
    <row r="7" ht="18" customHeight="1">
      <c r="A7" s="25" t="inlineStr">
        <is>
          <t>Chaque chiffre = nombre d'OT distincts. Un OT à plusieurs activités compte une fois dans chacune de ses colonnes, et une seule fois dans « OT distincts (toutes activités) ».</t>
        </is>
      </c>
    </row>
    <row r="8" ht="34" customHeight="1">
      <c r="A8" s="17" t="inlineStr">
        <is>
          <t>Année planifiée</t>
        </is>
      </c>
      <c r="B8" s="17" t="inlineStr">
        <is>
          <t>Site</t>
        </is>
      </c>
      <c r="C8" s="17" t="inlineStr">
        <is>
          <t>Équipe</t>
        </is>
      </c>
      <c r="D8" s="17" t="inlineStr">
        <is>
          <t>Code poste</t>
        </is>
      </c>
      <c r="E8" s="17" t="inlineStr">
        <is>
          <t>PIS</t>
        </is>
      </c>
      <c r="F8" s="17" t="inlineStr">
        <is>
          <t>EC</t>
        </is>
      </c>
      <c r="G8" s="17" t="inlineStr">
        <is>
          <t>PILOTAGE</t>
        </is>
      </c>
      <c r="H8" s="17" t="inlineStr">
        <is>
          <t>FILTRE</t>
        </is>
      </c>
      <c r="I8" s="17" t="inlineStr">
        <is>
          <t>REV</t>
        </is>
      </c>
      <c r="J8" s="17" t="inlineStr">
        <is>
          <t>OT distincts (toutes activités)</t>
        </is>
      </c>
      <c r="K8" s="17" t="inlineStr">
        <is>
          <t>OT avec point de contrôle</t>
        </is>
      </c>
    </row>
    <row r="9" ht="18" customHeight="1">
      <c r="A9" s="26" t="n">
        <v>2026</v>
      </c>
      <c r="B9" s="18" t="inlineStr">
        <is>
          <t>SITE01</t>
        </is>
      </c>
      <c r="C9" s="18" t="inlineStr">
        <is>
          <t>EQ1</t>
        </is>
      </c>
      <c r="D9" s="18" t="inlineStr">
        <is>
          <t>G-I-A1100</t>
        </is>
      </c>
      <c r="E9" s="26" t="n">
        <v>1</v>
      </c>
      <c r="F9" s="26" t="n">
        <v>1</v>
      </c>
      <c r="G9" s="26" t="n">
        <v>0</v>
      </c>
      <c r="H9" s="26" t="n">
        <v>0</v>
      </c>
      <c r="I9" s="26" t="n">
        <v>0</v>
      </c>
      <c r="J9" s="14" t="n">
        <v>1</v>
      </c>
      <c r="K9" s="14" t="n">
        <v>0</v>
      </c>
    </row>
    <row r="10" ht="18" customHeight="1">
      <c r="A10" s="26" t="n">
        <v>2026</v>
      </c>
      <c r="B10" s="18" t="inlineStr">
        <is>
          <t>SITE01</t>
        </is>
      </c>
      <c r="C10" s="18" t="inlineStr">
        <is>
          <t>EQ1</t>
        </is>
      </c>
      <c r="D10" s="18" t="inlineStr">
        <is>
          <t>G-I-A1200</t>
        </is>
      </c>
      <c r="E10" s="26" t="n">
        <v>0</v>
      </c>
      <c r="F10" s="26" t="n">
        <v>1</v>
      </c>
      <c r="G10" s="26" t="n">
        <v>0</v>
      </c>
      <c r="H10" s="26" t="n">
        <v>0</v>
      </c>
      <c r="I10" s="26" t="n">
        <v>1</v>
      </c>
      <c r="J10" s="14" t="n">
        <v>1</v>
      </c>
      <c r="K10" s="14" t="n">
        <v>0</v>
      </c>
    </row>
    <row r="11" ht="18" customHeight="1">
      <c r="A11" s="26" t="n">
        <v>2026</v>
      </c>
      <c r="B11" s="18" t="inlineStr">
        <is>
          <t>SITE01</t>
        </is>
      </c>
      <c r="C11" s="18" t="inlineStr">
        <is>
          <t>EQ1</t>
        </is>
      </c>
      <c r="D11" s="18" t="inlineStr">
        <is>
          <t>G-I-A1300</t>
        </is>
      </c>
      <c r="E11" s="26" t="n">
        <v>1</v>
      </c>
      <c r="F11" s="26" t="n">
        <v>1</v>
      </c>
      <c r="G11" s="26" t="n">
        <v>1</v>
      </c>
      <c r="H11" s="26" t="n">
        <v>1</v>
      </c>
      <c r="I11" s="26" t="n">
        <v>0</v>
      </c>
      <c r="J11" s="14" t="n">
        <v>1</v>
      </c>
      <c r="K11" s="14" t="n">
        <v>0</v>
      </c>
    </row>
    <row r="12" ht="18" customHeight="1">
      <c r="A12" s="26" t="n">
        <v>2026</v>
      </c>
      <c r="B12" s="18" t="inlineStr">
        <is>
          <t>SITE01</t>
        </is>
      </c>
      <c r="C12" s="18" t="inlineStr">
        <is>
          <t>EQ2</t>
        </is>
      </c>
      <c r="D12" s="18" t="inlineStr">
        <is>
          <t>G-I-A2100</t>
        </is>
      </c>
      <c r="E12" s="26" t="n">
        <v>0</v>
      </c>
      <c r="F12" s="26" t="n">
        <v>1</v>
      </c>
      <c r="G12" s="26" t="n">
        <v>0</v>
      </c>
      <c r="H12" s="26" t="n">
        <v>0</v>
      </c>
      <c r="I12" s="26" t="n">
        <v>1</v>
      </c>
      <c r="J12" s="14" t="n">
        <v>1</v>
      </c>
      <c r="K12" s="14" t="n">
        <v>0</v>
      </c>
    </row>
    <row r="13" ht="18" customHeight="1">
      <c r="A13" s="26" t="n">
        <v>2026</v>
      </c>
      <c r="B13" s="18" t="inlineStr">
        <is>
          <t>SITE01</t>
        </is>
      </c>
      <c r="C13" s="18" t="inlineStr">
        <is>
          <t>EQ2</t>
        </is>
      </c>
      <c r="D13" s="18" t="inlineStr">
        <is>
          <t>G-I-A2200</t>
        </is>
      </c>
      <c r="E13" s="26" t="n">
        <v>1</v>
      </c>
      <c r="F13" s="26" t="n">
        <v>1</v>
      </c>
      <c r="G13" s="26" t="n">
        <v>1</v>
      </c>
      <c r="H13" s="26" t="n">
        <v>1</v>
      </c>
      <c r="I13" s="26" t="n">
        <v>0</v>
      </c>
      <c r="J13" s="14" t="n">
        <v>1</v>
      </c>
      <c r="K13" s="14" t="n">
        <v>0</v>
      </c>
    </row>
    <row r="14" ht="18" customHeight="1">
      <c r="A14" s="26" t="n">
        <v>2026</v>
      </c>
      <c r="B14" s="18" t="inlineStr">
        <is>
          <t>SITE01</t>
        </is>
      </c>
      <c r="C14" s="18" t="inlineStr">
        <is>
          <t>EQ2</t>
        </is>
      </c>
      <c r="D14" s="18" t="inlineStr">
        <is>
          <t>G-I-A2300</t>
        </is>
      </c>
      <c r="E14" s="26" t="n">
        <v>0</v>
      </c>
      <c r="F14" s="26" t="n">
        <v>1</v>
      </c>
      <c r="G14" s="26" t="n">
        <v>0</v>
      </c>
      <c r="H14" s="26" t="n">
        <v>1</v>
      </c>
      <c r="I14" s="26" t="n">
        <v>0</v>
      </c>
      <c r="J14" s="14" t="n">
        <v>1</v>
      </c>
      <c r="K14" s="14" t="n">
        <v>0</v>
      </c>
    </row>
    <row r="15" ht="18" customHeight="1">
      <c r="A15" s="26" t="n">
        <v>2026</v>
      </c>
      <c r="B15" s="18" t="inlineStr">
        <is>
          <t>SITE01</t>
        </is>
      </c>
      <c r="C15" s="18" t="inlineStr">
        <is>
          <t>EQ3</t>
        </is>
      </c>
      <c r="D15" s="18" t="inlineStr">
        <is>
          <t>G-I-A3100</t>
        </is>
      </c>
      <c r="E15" s="26" t="n">
        <v>1</v>
      </c>
      <c r="F15" s="26" t="n">
        <v>1</v>
      </c>
      <c r="G15" s="26" t="n">
        <v>1</v>
      </c>
      <c r="H15" s="26" t="n">
        <v>1</v>
      </c>
      <c r="I15" s="26" t="n">
        <v>0</v>
      </c>
      <c r="J15" s="14" t="n">
        <v>1</v>
      </c>
      <c r="K15" s="14" t="n">
        <v>0</v>
      </c>
    </row>
    <row r="16" ht="18" customHeight="1">
      <c r="A16" s="26" t="n">
        <v>2026</v>
      </c>
      <c r="B16" s="18" t="inlineStr">
        <is>
          <t>SITE01</t>
        </is>
      </c>
      <c r="C16" s="18" t="inlineStr">
        <is>
          <t>EQ3</t>
        </is>
      </c>
      <c r="D16" s="18" t="inlineStr">
        <is>
          <t>G-I-A3200</t>
        </is>
      </c>
      <c r="E16" s="26" t="n">
        <v>0</v>
      </c>
      <c r="F16" s="26" t="n">
        <v>1</v>
      </c>
      <c r="G16" s="26" t="n">
        <v>0</v>
      </c>
      <c r="H16" s="26" t="n">
        <v>1</v>
      </c>
      <c r="I16" s="26" t="n">
        <v>0</v>
      </c>
      <c r="J16" s="14" t="n">
        <v>1</v>
      </c>
      <c r="K16" s="14" t="n">
        <v>0</v>
      </c>
    </row>
    <row r="17" ht="18" customHeight="1">
      <c r="A17" s="26" t="n">
        <v>2026</v>
      </c>
      <c r="B17" s="18" t="inlineStr">
        <is>
          <t>SITE01</t>
        </is>
      </c>
      <c r="C17" s="18" t="inlineStr">
        <is>
          <t>EQ3</t>
        </is>
      </c>
      <c r="D17" s="18" t="inlineStr">
        <is>
          <t>G-I-A3300</t>
        </is>
      </c>
      <c r="E17" s="26" t="n">
        <v>1</v>
      </c>
      <c r="F17" s="26" t="n">
        <v>0</v>
      </c>
      <c r="G17" s="26" t="n">
        <v>0</v>
      </c>
      <c r="H17" s="26" t="n">
        <v>0</v>
      </c>
      <c r="I17" s="26" t="n">
        <v>1</v>
      </c>
      <c r="J17" s="14" t="n">
        <v>1</v>
      </c>
      <c r="K17" s="14" t="n">
        <v>0</v>
      </c>
    </row>
    <row r="18" ht="18" customHeight="1">
      <c r="A18" s="26" t="n">
        <v>2026</v>
      </c>
      <c r="B18" s="18" t="inlineStr">
        <is>
          <t>SITE02</t>
        </is>
      </c>
      <c r="C18" s="18" t="inlineStr">
        <is>
          <t>EQ1</t>
        </is>
      </c>
      <c r="D18" s="18" t="inlineStr">
        <is>
          <t>G-I-B1100</t>
        </is>
      </c>
      <c r="E18" s="26" t="n">
        <v>0</v>
      </c>
      <c r="F18" s="26" t="n">
        <v>1</v>
      </c>
      <c r="G18" s="26" t="n">
        <v>0</v>
      </c>
      <c r="H18" s="26" t="n">
        <v>0</v>
      </c>
      <c r="I18" s="26" t="n">
        <v>1</v>
      </c>
      <c r="J18" s="14" t="n">
        <v>1</v>
      </c>
      <c r="K18" s="14" t="n">
        <v>0</v>
      </c>
    </row>
    <row r="19" ht="18" customHeight="1">
      <c r="A19" s="26" t="n">
        <v>2026</v>
      </c>
      <c r="B19" s="18" t="inlineStr">
        <is>
          <t>SITE02</t>
        </is>
      </c>
      <c r="C19" s="18" t="inlineStr">
        <is>
          <t>EQ1</t>
        </is>
      </c>
      <c r="D19" s="18" t="inlineStr">
        <is>
          <t>G-I-B1200</t>
        </is>
      </c>
      <c r="E19" s="26" t="n">
        <v>1</v>
      </c>
      <c r="F19" s="26" t="n">
        <v>1</v>
      </c>
      <c r="G19" s="26" t="n">
        <v>1</v>
      </c>
      <c r="H19" s="26" t="n">
        <v>1</v>
      </c>
      <c r="I19" s="26" t="n">
        <v>0</v>
      </c>
      <c r="J19" s="14" t="n">
        <v>1</v>
      </c>
      <c r="K19" s="14" t="n">
        <v>0</v>
      </c>
    </row>
    <row r="20" ht="18" customHeight="1">
      <c r="A20" s="26" t="n">
        <v>2026</v>
      </c>
      <c r="B20" s="18" t="inlineStr">
        <is>
          <t>SITE02</t>
        </is>
      </c>
      <c r="C20" s="18" t="inlineStr">
        <is>
          <t>EQ1</t>
        </is>
      </c>
      <c r="D20" s="18" t="inlineStr">
        <is>
          <t>G-I-B1300</t>
        </is>
      </c>
      <c r="E20" s="26" t="n">
        <v>0</v>
      </c>
      <c r="F20" s="26" t="n">
        <v>1</v>
      </c>
      <c r="G20" s="26" t="n">
        <v>0</v>
      </c>
      <c r="H20" s="26" t="n">
        <v>1</v>
      </c>
      <c r="I20" s="26" t="n">
        <v>0</v>
      </c>
      <c r="J20" s="14" t="n">
        <v>1</v>
      </c>
      <c r="K20" s="14" t="n">
        <v>0</v>
      </c>
    </row>
    <row r="21" ht="18" customHeight="1">
      <c r="A21" s="26" t="n">
        <v>2026</v>
      </c>
      <c r="B21" s="18" t="inlineStr">
        <is>
          <t>SITE02</t>
        </is>
      </c>
      <c r="C21" s="18" t="inlineStr">
        <is>
          <t>EQ2</t>
        </is>
      </c>
      <c r="D21" s="18" t="inlineStr">
        <is>
          <t>G-I-B2100</t>
        </is>
      </c>
      <c r="E21" s="26" t="n">
        <v>1</v>
      </c>
      <c r="F21" s="26" t="n">
        <v>1</v>
      </c>
      <c r="G21" s="26" t="n">
        <v>1</v>
      </c>
      <c r="H21" s="26" t="n">
        <v>1</v>
      </c>
      <c r="I21" s="26" t="n">
        <v>0</v>
      </c>
      <c r="J21" s="14" t="n">
        <v>1</v>
      </c>
      <c r="K21" s="14" t="n">
        <v>0</v>
      </c>
    </row>
    <row r="22" ht="18" customHeight="1">
      <c r="A22" s="26" t="n">
        <v>2026</v>
      </c>
      <c r="B22" s="18" t="inlineStr">
        <is>
          <t>SITE02</t>
        </is>
      </c>
      <c r="C22" s="18" t="inlineStr">
        <is>
          <t>EQ2</t>
        </is>
      </c>
      <c r="D22" s="18" t="inlineStr">
        <is>
          <t>G-I-B2200</t>
        </is>
      </c>
      <c r="E22" s="26" t="n">
        <v>0</v>
      </c>
      <c r="F22" s="26" t="n">
        <v>1</v>
      </c>
      <c r="G22" s="26" t="n">
        <v>0</v>
      </c>
      <c r="H22" s="26" t="n">
        <v>1</v>
      </c>
      <c r="I22" s="26" t="n">
        <v>0</v>
      </c>
      <c r="J22" s="14" t="n">
        <v>1</v>
      </c>
      <c r="K22" s="14" t="n">
        <v>0</v>
      </c>
    </row>
    <row r="23" ht="18" customHeight="1">
      <c r="A23" s="26" t="n">
        <v>2026</v>
      </c>
      <c r="B23" s="18" t="inlineStr">
        <is>
          <t>SITE02</t>
        </is>
      </c>
      <c r="C23" s="18" t="inlineStr">
        <is>
          <t>EQ2</t>
        </is>
      </c>
      <c r="D23" s="18" t="inlineStr">
        <is>
          <t>G-I-B2300</t>
        </is>
      </c>
      <c r="E23" s="26" t="n">
        <v>1</v>
      </c>
      <c r="F23" s="26" t="n">
        <v>0</v>
      </c>
      <c r="G23" s="26" t="n">
        <v>0</v>
      </c>
      <c r="H23" s="26" t="n">
        <v>0</v>
      </c>
      <c r="I23" s="26" t="n">
        <v>1</v>
      </c>
      <c r="J23" s="14" t="n">
        <v>1</v>
      </c>
      <c r="K23" s="14" t="n">
        <v>0</v>
      </c>
    </row>
    <row r="24" ht="18" customHeight="1">
      <c r="A24" s="26" t="n">
        <v>2026</v>
      </c>
      <c r="B24" s="18" t="inlineStr">
        <is>
          <t>SITE02</t>
        </is>
      </c>
      <c r="C24" s="18" t="inlineStr">
        <is>
          <t>EQ3</t>
        </is>
      </c>
      <c r="D24" s="18" t="inlineStr">
        <is>
          <t>G-I-B3100</t>
        </is>
      </c>
      <c r="E24" s="26" t="n">
        <v>0</v>
      </c>
      <c r="F24" s="26" t="n">
        <v>1</v>
      </c>
      <c r="G24" s="26" t="n">
        <v>0</v>
      </c>
      <c r="H24" s="26" t="n">
        <v>1</v>
      </c>
      <c r="I24" s="26" t="n">
        <v>0</v>
      </c>
      <c r="J24" s="14" t="n">
        <v>1</v>
      </c>
      <c r="K24" s="14" t="n">
        <v>0</v>
      </c>
    </row>
    <row r="25" ht="18" customHeight="1">
      <c r="A25" s="26" t="n">
        <v>2026</v>
      </c>
      <c r="B25" s="18" t="inlineStr">
        <is>
          <t>SITE02</t>
        </is>
      </c>
      <c r="C25" s="18" t="inlineStr">
        <is>
          <t>EQ3</t>
        </is>
      </c>
      <c r="D25" s="18" t="inlineStr">
        <is>
          <t>G-I-B3200</t>
        </is>
      </c>
      <c r="E25" s="26" t="n">
        <v>1</v>
      </c>
      <c r="F25" s="26" t="n">
        <v>0</v>
      </c>
      <c r="G25" s="26" t="n">
        <v>0</v>
      </c>
      <c r="H25" s="26" t="n">
        <v>0</v>
      </c>
      <c r="I25" s="26" t="n">
        <v>1</v>
      </c>
      <c r="J25" s="14" t="n">
        <v>1</v>
      </c>
      <c r="K25" s="14" t="n">
        <v>0</v>
      </c>
    </row>
    <row r="26" ht="18" customHeight="1">
      <c r="A26" s="26" t="n">
        <v>2026</v>
      </c>
      <c r="B26" s="18" t="inlineStr">
        <is>
          <t>SITE02</t>
        </is>
      </c>
      <c r="C26" s="18" t="inlineStr">
        <is>
          <t>EQ3</t>
        </is>
      </c>
      <c r="D26" s="18" t="inlineStr">
        <is>
          <t>G-I-B3300</t>
        </is>
      </c>
      <c r="E26" s="26" t="n">
        <v>1</v>
      </c>
      <c r="F26" s="26" t="n">
        <v>0</v>
      </c>
      <c r="G26" s="26" t="n">
        <v>0</v>
      </c>
      <c r="H26" s="26" t="n">
        <v>0</v>
      </c>
      <c r="I26" s="26" t="n">
        <v>0</v>
      </c>
      <c r="J26" s="14" t="n">
        <v>1</v>
      </c>
      <c r="K26" s="14" t="n">
        <v>0</v>
      </c>
    </row>
    <row r="27" ht="18" customHeight="1">
      <c r="A27" s="26" t="n">
        <v>2026</v>
      </c>
      <c r="B27" s="18" t="inlineStr">
        <is>
          <t>SITE03</t>
        </is>
      </c>
      <c r="C27" s="18" t="inlineStr">
        <is>
          <t>EQ1</t>
        </is>
      </c>
      <c r="D27" s="18" t="inlineStr">
        <is>
          <t>G-I-C1100</t>
        </is>
      </c>
      <c r="E27" s="26" t="n">
        <v>1</v>
      </c>
      <c r="F27" s="26" t="n">
        <v>1</v>
      </c>
      <c r="G27" s="26" t="n">
        <v>1</v>
      </c>
      <c r="H27" s="26" t="n">
        <v>1</v>
      </c>
      <c r="I27" s="26" t="n">
        <v>0</v>
      </c>
      <c r="J27" s="14" t="n">
        <v>1</v>
      </c>
      <c r="K27" s="14" t="n">
        <v>0</v>
      </c>
    </row>
    <row r="28" ht="18" customHeight="1">
      <c r="A28" s="26" t="n">
        <v>2026</v>
      </c>
      <c r="B28" s="18" t="inlineStr">
        <is>
          <t>SITE03</t>
        </is>
      </c>
      <c r="C28" s="18" t="inlineStr">
        <is>
          <t>EQ1</t>
        </is>
      </c>
      <c r="D28" s="18" t="inlineStr">
        <is>
          <t>G-I-C1200</t>
        </is>
      </c>
      <c r="E28" s="26" t="n">
        <v>0</v>
      </c>
      <c r="F28" s="26" t="n">
        <v>1</v>
      </c>
      <c r="G28" s="26" t="n">
        <v>0</v>
      </c>
      <c r="H28" s="26" t="n">
        <v>1</v>
      </c>
      <c r="I28" s="26" t="n">
        <v>0</v>
      </c>
      <c r="J28" s="14" t="n">
        <v>1</v>
      </c>
      <c r="K28" s="14" t="n">
        <v>0</v>
      </c>
    </row>
    <row r="29" ht="18" customHeight="1">
      <c r="A29" s="26" t="n">
        <v>2026</v>
      </c>
      <c r="B29" s="18" t="inlineStr">
        <is>
          <t>SITE03</t>
        </is>
      </c>
      <c r="C29" s="18" t="inlineStr">
        <is>
          <t>EQ1</t>
        </is>
      </c>
      <c r="D29" s="18" t="inlineStr">
        <is>
          <t>G-I-C1300</t>
        </is>
      </c>
      <c r="E29" s="26" t="n">
        <v>1</v>
      </c>
      <c r="F29" s="26" t="n">
        <v>0</v>
      </c>
      <c r="G29" s="26" t="n">
        <v>0</v>
      </c>
      <c r="H29" s="26" t="n">
        <v>0</v>
      </c>
      <c r="I29" s="26" t="n">
        <v>1</v>
      </c>
      <c r="J29" s="14" t="n">
        <v>1</v>
      </c>
      <c r="K29" s="14" t="n">
        <v>0</v>
      </c>
    </row>
    <row r="30" ht="18" customHeight="1">
      <c r="A30" s="26" t="n">
        <v>2026</v>
      </c>
      <c r="B30" s="18" t="inlineStr">
        <is>
          <t>SITE03</t>
        </is>
      </c>
      <c r="C30" s="18" t="inlineStr">
        <is>
          <t>EQ2</t>
        </is>
      </c>
      <c r="D30" s="18" t="inlineStr">
        <is>
          <t>G-I-C2100</t>
        </is>
      </c>
      <c r="E30" s="26" t="n">
        <v>0</v>
      </c>
      <c r="F30" s="26" t="n">
        <v>1</v>
      </c>
      <c r="G30" s="26" t="n">
        <v>0</v>
      </c>
      <c r="H30" s="26" t="n">
        <v>1</v>
      </c>
      <c r="I30" s="26" t="n">
        <v>0</v>
      </c>
      <c r="J30" s="14" t="n">
        <v>1</v>
      </c>
      <c r="K30" s="14" t="n">
        <v>0</v>
      </c>
    </row>
    <row r="31" ht="18" customHeight="1">
      <c r="A31" s="26" t="n">
        <v>2026</v>
      </c>
      <c r="B31" s="18" t="inlineStr">
        <is>
          <t>SITE03</t>
        </is>
      </c>
      <c r="C31" s="18" t="inlineStr">
        <is>
          <t>EQ2</t>
        </is>
      </c>
      <c r="D31" s="18" t="inlineStr">
        <is>
          <t>G-I-C2200</t>
        </is>
      </c>
      <c r="E31" s="26" t="n">
        <v>1</v>
      </c>
      <c r="F31" s="26" t="n">
        <v>0</v>
      </c>
      <c r="G31" s="26" t="n">
        <v>0</v>
      </c>
      <c r="H31" s="26" t="n">
        <v>0</v>
      </c>
      <c r="I31" s="26" t="n">
        <v>1</v>
      </c>
      <c r="J31" s="14" t="n">
        <v>1</v>
      </c>
      <c r="K31" s="14" t="n">
        <v>0</v>
      </c>
    </row>
    <row r="32" ht="18" customHeight="1">
      <c r="A32" s="26" t="n">
        <v>2026</v>
      </c>
      <c r="B32" s="18" t="inlineStr">
        <is>
          <t>SITE03</t>
        </is>
      </c>
      <c r="C32" s="18" t="inlineStr">
        <is>
          <t>EQ2</t>
        </is>
      </c>
      <c r="D32" s="18" t="inlineStr">
        <is>
          <t>G-I-C2300</t>
        </is>
      </c>
      <c r="E32" s="26" t="n">
        <v>1</v>
      </c>
      <c r="F32" s="26" t="n">
        <v>0</v>
      </c>
      <c r="G32" s="26" t="n">
        <v>0</v>
      </c>
      <c r="H32" s="26" t="n">
        <v>0</v>
      </c>
      <c r="I32" s="26" t="n">
        <v>0</v>
      </c>
      <c r="J32" s="14" t="n">
        <v>1</v>
      </c>
      <c r="K32" s="14" t="n">
        <v>0</v>
      </c>
    </row>
    <row r="33" ht="18" customHeight="1">
      <c r="A33" s="26" t="n">
        <v>2026</v>
      </c>
      <c r="B33" s="18" t="inlineStr">
        <is>
          <t>SITE03</t>
        </is>
      </c>
      <c r="C33" s="18" t="inlineStr">
        <is>
          <t>EQ3</t>
        </is>
      </c>
      <c r="D33" s="18" t="inlineStr">
        <is>
          <t>G-I-C3100</t>
        </is>
      </c>
      <c r="E33" s="26" t="n">
        <v>1</v>
      </c>
      <c r="F33" s="26" t="n">
        <v>0</v>
      </c>
      <c r="G33" s="26" t="n">
        <v>0</v>
      </c>
      <c r="H33" s="26" t="n">
        <v>0</v>
      </c>
      <c r="I33" s="26" t="n">
        <v>1</v>
      </c>
      <c r="J33" s="14" t="n">
        <v>1</v>
      </c>
      <c r="K33" s="14" t="n">
        <v>0</v>
      </c>
    </row>
    <row r="34" ht="18" customHeight="1">
      <c r="A34" s="26" t="n">
        <v>2026</v>
      </c>
      <c r="B34" s="18" t="inlineStr">
        <is>
          <t>SITE03</t>
        </is>
      </c>
      <c r="C34" s="18" t="inlineStr">
        <is>
          <t>EQ3</t>
        </is>
      </c>
      <c r="D34" s="18" t="inlineStr">
        <is>
          <t>G-I-C3200</t>
        </is>
      </c>
      <c r="E34" s="26" t="n">
        <v>1</v>
      </c>
      <c r="F34" s="26" t="n">
        <v>0</v>
      </c>
      <c r="G34" s="26" t="n">
        <v>0</v>
      </c>
      <c r="H34" s="26" t="n">
        <v>0</v>
      </c>
      <c r="I34" s="26" t="n">
        <v>0</v>
      </c>
      <c r="J34" s="14" t="n">
        <v>1</v>
      </c>
      <c r="K34" s="14" t="n">
        <v>0</v>
      </c>
    </row>
    <row r="35" ht="18" customHeight="1">
      <c r="A35" s="26" t="n">
        <v>2026</v>
      </c>
      <c r="B35" s="18" t="inlineStr">
        <is>
          <t>SITE03</t>
        </is>
      </c>
      <c r="C35" s="18" t="inlineStr">
        <is>
          <t>EQ3</t>
        </is>
      </c>
      <c r="D35" s="18" t="inlineStr">
        <is>
          <t>G-I-C3300</t>
        </is>
      </c>
      <c r="E35" s="26" t="n">
        <v>0</v>
      </c>
      <c r="F35" s="26" t="n">
        <v>1</v>
      </c>
      <c r="G35" s="26" t="n">
        <v>0</v>
      </c>
      <c r="H35" s="26" t="n">
        <v>0</v>
      </c>
      <c r="I35" s="26" t="n">
        <v>0</v>
      </c>
      <c r="J35" s="14" t="n">
        <v>1</v>
      </c>
      <c r="K35" s="14" t="n">
        <v>0</v>
      </c>
    </row>
    <row r="36" ht="18" customHeight="1">
      <c r="A36" s="26" t="n">
        <v>2026</v>
      </c>
      <c r="B36" s="18" t="inlineStr">
        <is>
          <t>SITE04</t>
        </is>
      </c>
      <c r="C36" s="18" t="inlineStr">
        <is>
          <t>EQ1</t>
        </is>
      </c>
      <c r="D36" s="18" t="inlineStr">
        <is>
          <t>G-I-D1100</t>
        </is>
      </c>
      <c r="E36" s="26" t="n">
        <v>0</v>
      </c>
      <c r="F36" s="26" t="n">
        <v>1</v>
      </c>
      <c r="G36" s="26" t="n">
        <v>0</v>
      </c>
      <c r="H36" s="26" t="n">
        <v>1</v>
      </c>
      <c r="I36" s="26" t="n">
        <v>0</v>
      </c>
      <c r="J36" s="14" t="n">
        <v>1</v>
      </c>
      <c r="K36" s="14" t="n">
        <v>0</v>
      </c>
    </row>
    <row r="37" ht="18" customHeight="1">
      <c r="A37" s="26" t="n">
        <v>2026</v>
      </c>
      <c r="B37" s="18" t="inlineStr">
        <is>
          <t>SITE04</t>
        </is>
      </c>
      <c r="C37" s="18" t="inlineStr">
        <is>
          <t>EQ1</t>
        </is>
      </c>
      <c r="D37" s="18" t="inlineStr">
        <is>
          <t>G-I-D1200</t>
        </is>
      </c>
      <c r="E37" s="26" t="n">
        <v>1</v>
      </c>
      <c r="F37" s="26" t="n">
        <v>0</v>
      </c>
      <c r="G37" s="26" t="n">
        <v>0</v>
      </c>
      <c r="H37" s="26" t="n">
        <v>0</v>
      </c>
      <c r="I37" s="26" t="n">
        <v>1</v>
      </c>
      <c r="J37" s="14" t="n">
        <v>1</v>
      </c>
      <c r="K37" s="14" t="n">
        <v>0</v>
      </c>
    </row>
    <row r="38" ht="18" customHeight="1">
      <c r="A38" s="26" t="n">
        <v>2026</v>
      </c>
      <c r="B38" s="18" t="inlineStr">
        <is>
          <t>SITE04</t>
        </is>
      </c>
      <c r="C38" s="18" t="inlineStr">
        <is>
          <t>EQ1</t>
        </is>
      </c>
      <c r="D38" s="18" t="inlineStr">
        <is>
          <t>G-I-D1300</t>
        </is>
      </c>
      <c r="E38" s="26" t="n">
        <v>1</v>
      </c>
      <c r="F38" s="26" t="n">
        <v>0</v>
      </c>
      <c r="G38" s="26" t="n">
        <v>0</v>
      </c>
      <c r="H38" s="26" t="n">
        <v>0</v>
      </c>
      <c r="I38" s="26" t="n">
        <v>0</v>
      </c>
      <c r="J38" s="14" t="n">
        <v>1</v>
      </c>
      <c r="K38" s="14" t="n">
        <v>0</v>
      </c>
    </row>
    <row r="39" ht="18" customHeight="1">
      <c r="A39" s="26" t="n">
        <v>2026</v>
      </c>
      <c r="B39" s="18" t="inlineStr">
        <is>
          <t>SITE04</t>
        </is>
      </c>
      <c r="C39" s="18" t="inlineStr">
        <is>
          <t>EQ2</t>
        </is>
      </c>
      <c r="D39" s="18" t="inlineStr">
        <is>
          <t>G-I-D2100</t>
        </is>
      </c>
      <c r="E39" s="26" t="n">
        <v>1</v>
      </c>
      <c r="F39" s="26" t="n">
        <v>0</v>
      </c>
      <c r="G39" s="26" t="n">
        <v>0</v>
      </c>
      <c r="H39" s="26" t="n">
        <v>0</v>
      </c>
      <c r="I39" s="26" t="n">
        <v>1</v>
      </c>
      <c r="J39" s="14" t="n">
        <v>1</v>
      </c>
      <c r="K39" s="14" t="n">
        <v>0</v>
      </c>
    </row>
    <row r="40" ht="18" customHeight="1">
      <c r="A40" s="26" t="n">
        <v>2026</v>
      </c>
      <c r="B40" s="18" t="inlineStr">
        <is>
          <t>SITE04</t>
        </is>
      </c>
      <c r="C40" s="18" t="inlineStr">
        <is>
          <t>EQ2</t>
        </is>
      </c>
      <c r="D40" s="18" t="inlineStr">
        <is>
          <t>G-I-D2200</t>
        </is>
      </c>
      <c r="E40" s="26" t="n">
        <v>1</v>
      </c>
      <c r="F40" s="26" t="n">
        <v>0</v>
      </c>
      <c r="G40" s="26" t="n">
        <v>0</v>
      </c>
      <c r="H40" s="26" t="n">
        <v>0</v>
      </c>
      <c r="I40" s="26" t="n">
        <v>0</v>
      </c>
      <c r="J40" s="14" t="n">
        <v>1</v>
      </c>
      <c r="K40" s="14" t="n">
        <v>0</v>
      </c>
    </row>
    <row r="41" ht="18" customHeight="1">
      <c r="A41" s="26" t="n">
        <v>2026</v>
      </c>
      <c r="B41" s="18" t="inlineStr">
        <is>
          <t>SITE04</t>
        </is>
      </c>
      <c r="C41" s="18" t="inlineStr">
        <is>
          <t>EQ2</t>
        </is>
      </c>
      <c r="D41" s="18" t="inlineStr">
        <is>
          <t>G-I-D2300</t>
        </is>
      </c>
      <c r="E41" s="26" t="n">
        <v>0</v>
      </c>
      <c r="F41" s="26" t="n">
        <v>1</v>
      </c>
      <c r="G41" s="26" t="n">
        <v>0</v>
      </c>
      <c r="H41" s="26" t="n">
        <v>0</v>
      </c>
      <c r="I41" s="26" t="n">
        <v>0</v>
      </c>
      <c r="J41" s="14" t="n">
        <v>1</v>
      </c>
      <c r="K41" s="14" t="n">
        <v>0</v>
      </c>
    </row>
    <row r="42" ht="18" customHeight="1">
      <c r="A42" s="26" t="n">
        <v>2026</v>
      </c>
      <c r="B42" s="18" t="inlineStr">
        <is>
          <t>SITE04</t>
        </is>
      </c>
      <c r="C42" s="18" t="inlineStr">
        <is>
          <t>EQ3</t>
        </is>
      </c>
      <c r="D42" s="18" t="inlineStr">
        <is>
          <t>G-I-D3100</t>
        </is>
      </c>
      <c r="E42" s="26" t="n">
        <v>1</v>
      </c>
      <c r="F42" s="26" t="n">
        <v>0</v>
      </c>
      <c r="G42" s="26" t="n">
        <v>0</v>
      </c>
      <c r="H42" s="26" t="n">
        <v>0</v>
      </c>
      <c r="I42" s="26" t="n">
        <v>0</v>
      </c>
      <c r="J42" s="14" t="n">
        <v>1</v>
      </c>
      <c r="K42" s="14" t="n">
        <v>0</v>
      </c>
    </row>
    <row r="43" ht="18" customHeight="1">
      <c r="A43" s="26" t="n">
        <v>2026</v>
      </c>
      <c r="B43" s="18" t="inlineStr">
        <is>
          <t>SITE04</t>
        </is>
      </c>
      <c r="C43" s="18" t="inlineStr">
        <is>
          <t>EQ3</t>
        </is>
      </c>
      <c r="D43" s="18" t="inlineStr">
        <is>
          <t>G-I-D3200</t>
        </is>
      </c>
      <c r="E43" s="26" t="n">
        <v>0</v>
      </c>
      <c r="F43" s="26" t="n">
        <v>1</v>
      </c>
      <c r="G43" s="26" t="n">
        <v>0</v>
      </c>
      <c r="H43" s="26" t="n">
        <v>0</v>
      </c>
      <c r="I43" s="26" t="n">
        <v>0</v>
      </c>
      <c r="J43" s="14" t="n">
        <v>1</v>
      </c>
      <c r="K43" s="14" t="n">
        <v>0</v>
      </c>
    </row>
    <row r="44" ht="18" customHeight="1">
      <c r="A44" s="26" t="n">
        <v>2026</v>
      </c>
      <c r="B44" s="18" t="inlineStr">
        <is>
          <t>SITE04</t>
        </is>
      </c>
      <c r="C44" s="18" t="inlineStr">
        <is>
          <t>EQ3</t>
        </is>
      </c>
      <c r="D44" s="18" t="inlineStr">
        <is>
          <t>G-I-D3300</t>
        </is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</v>
      </c>
      <c r="J44" s="14" t="n">
        <v>1</v>
      </c>
      <c r="K44" s="14" t="n">
        <v>0</v>
      </c>
    </row>
    <row r="45" ht="18" customHeight="1">
      <c r="A45" s="26" t="n">
        <v>2026</v>
      </c>
      <c r="B45" s="18" t="inlineStr">
        <is>
          <t>SITE05</t>
        </is>
      </c>
      <c r="C45" s="18" t="inlineStr">
        <is>
          <t>EQ1</t>
        </is>
      </c>
      <c r="D45" s="18" t="inlineStr">
        <is>
          <t>G-I-E1100</t>
        </is>
      </c>
      <c r="E45" s="26" t="n">
        <v>1</v>
      </c>
      <c r="F45" s="26" t="n">
        <v>0</v>
      </c>
      <c r="G45" s="26" t="n">
        <v>0</v>
      </c>
      <c r="H45" s="26" t="n">
        <v>0</v>
      </c>
      <c r="I45" s="26" t="n">
        <v>1</v>
      </c>
      <c r="J45" s="14" t="n">
        <v>1</v>
      </c>
      <c r="K45" s="14" t="n">
        <v>0</v>
      </c>
    </row>
    <row r="46" ht="18" customHeight="1">
      <c r="A46" s="26" t="n">
        <v>2026</v>
      </c>
      <c r="B46" s="18" t="inlineStr">
        <is>
          <t>SITE05</t>
        </is>
      </c>
      <c r="C46" s="18" t="inlineStr">
        <is>
          <t>EQ1</t>
        </is>
      </c>
      <c r="D46" s="18" t="inlineStr">
        <is>
          <t>G-I-E1200</t>
        </is>
      </c>
      <c r="E46" s="26" t="n">
        <v>1</v>
      </c>
      <c r="F46" s="26" t="n">
        <v>0</v>
      </c>
      <c r="G46" s="26" t="n">
        <v>0</v>
      </c>
      <c r="H46" s="26" t="n">
        <v>0</v>
      </c>
      <c r="I46" s="26" t="n">
        <v>0</v>
      </c>
      <c r="J46" s="14" t="n">
        <v>1</v>
      </c>
      <c r="K46" s="14" t="n">
        <v>0</v>
      </c>
    </row>
    <row r="47" ht="18" customHeight="1">
      <c r="A47" s="26" t="n">
        <v>2026</v>
      </c>
      <c r="B47" s="18" t="inlineStr">
        <is>
          <t>SITE05</t>
        </is>
      </c>
      <c r="C47" s="18" t="inlineStr">
        <is>
          <t>EQ1</t>
        </is>
      </c>
      <c r="D47" s="18" t="inlineStr">
        <is>
          <t>G-I-E1300</t>
        </is>
      </c>
      <c r="E47" s="26" t="n">
        <v>0</v>
      </c>
      <c r="F47" s="26" t="n">
        <v>1</v>
      </c>
      <c r="G47" s="26" t="n">
        <v>0</v>
      </c>
      <c r="H47" s="26" t="n">
        <v>0</v>
      </c>
      <c r="I47" s="26" t="n">
        <v>0</v>
      </c>
      <c r="J47" s="14" t="n">
        <v>1</v>
      </c>
      <c r="K47" s="14" t="n">
        <v>0</v>
      </c>
    </row>
    <row r="48" ht="18" customHeight="1">
      <c r="A48" s="26" t="n">
        <v>2026</v>
      </c>
      <c r="B48" s="18" t="inlineStr">
        <is>
          <t>SITE05</t>
        </is>
      </c>
      <c r="C48" s="18" t="inlineStr">
        <is>
          <t>EQ2</t>
        </is>
      </c>
      <c r="D48" s="18" t="inlineStr">
        <is>
          <t>G-I-E2100</t>
        </is>
      </c>
      <c r="E48" s="26" t="n">
        <v>1</v>
      </c>
      <c r="F48" s="26" t="n">
        <v>0</v>
      </c>
      <c r="G48" s="26" t="n">
        <v>0</v>
      </c>
      <c r="H48" s="26" t="n">
        <v>0</v>
      </c>
      <c r="I48" s="26" t="n">
        <v>0</v>
      </c>
      <c r="J48" s="14" t="n">
        <v>1</v>
      </c>
      <c r="K48" s="14" t="n">
        <v>0</v>
      </c>
    </row>
    <row r="49" ht="18" customHeight="1">
      <c r="A49" s="26" t="n">
        <v>2026</v>
      </c>
      <c r="B49" s="18" t="inlineStr">
        <is>
          <t>SITE05</t>
        </is>
      </c>
      <c r="C49" s="18" t="inlineStr">
        <is>
          <t>EQ2</t>
        </is>
      </c>
      <c r="D49" s="18" t="inlineStr">
        <is>
          <t>G-I-E2200</t>
        </is>
      </c>
      <c r="E49" s="26" t="n">
        <v>0</v>
      </c>
      <c r="F49" s="26" t="n">
        <v>1</v>
      </c>
      <c r="G49" s="26" t="n">
        <v>0</v>
      </c>
      <c r="H49" s="26" t="n">
        <v>0</v>
      </c>
      <c r="I49" s="26" t="n">
        <v>0</v>
      </c>
      <c r="J49" s="14" t="n">
        <v>1</v>
      </c>
      <c r="K49" s="14" t="n">
        <v>0</v>
      </c>
    </row>
    <row r="50" ht="18" customHeight="1">
      <c r="A50" s="26" t="n">
        <v>2026</v>
      </c>
      <c r="B50" s="18" t="inlineStr">
        <is>
          <t>SITE05</t>
        </is>
      </c>
      <c r="C50" s="18" t="inlineStr">
        <is>
          <t>EQ2</t>
        </is>
      </c>
      <c r="D50" s="18" t="inlineStr">
        <is>
          <t>G-I-E2300</t>
        </is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</v>
      </c>
      <c r="J50" s="14" t="n">
        <v>1</v>
      </c>
      <c r="K50" s="14" t="n">
        <v>0</v>
      </c>
    </row>
    <row r="51" ht="18" customHeight="1">
      <c r="A51" s="26" t="n">
        <v>2026</v>
      </c>
      <c r="B51" s="18" t="inlineStr">
        <is>
          <t>SITE05</t>
        </is>
      </c>
      <c r="C51" s="18" t="inlineStr">
        <is>
          <t>EQ3</t>
        </is>
      </c>
      <c r="D51" s="18" t="inlineStr">
        <is>
          <t>G-I-E3100</t>
        </is>
      </c>
      <c r="E51" s="26" t="n">
        <v>0</v>
      </c>
      <c r="F51" s="26" t="n">
        <v>1</v>
      </c>
      <c r="G51" s="26" t="n">
        <v>0</v>
      </c>
      <c r="H51" s="26" t="n">
        <v>0</v>
      </c>
      <c r="I51" s="26" t="n">
        <v>0</v>
      </c>
      <c r="J51" s="14" t="n">
        <v>1</v>
      </c>
      <c r="K51" s="14" t="n">
        <v>0</v>
      </c>
    </row>
    <row r="52" ht="18" customHeight="1">
      <c r="A52" s="26" t="n">
        <v>2026</v>
      </c>
      <c r="B52" s="18" t="inlineStr">
        <is>
          <t>SITE05</t>
        </is>
      </c>
      <c r="C52" s="18" t="inlineStr">
        <is>
          <t>EQ3</t>
        </is>
      </c>
      <c r="D52" s="18" t="inlineStr">
        <is>
          <t>G-I-E3200</t>
        </is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</v>
      </c>
      <c r="J52" s="14" t="n">
        <v>1</v>
      </c>
      <c r="K52" s="14" t="n">
        <v>0</v>
      </c>
    </row>
    <row r="53" ht="18" customHeight="1">
      <c r="A53" s="26" t="n">
        <v>2026</v>
      </c>
      <c r="B53" s="18" t="inlineStr">
        <is>
          <t>SITE05</t>
        </is>
      </c>
      <c r="C53" s="18" t="inlineStr">
        <is>
          <t>EQ3</t>
        </is>
      </c>
      <c r="D53" s="18" t="inlineStr">
        <is>
          <t>G-I-E3300</t>
        </is>
      </c>
      <c r="E53" s="26" t="n">
        <v>1</v>
      </c>
      <c r="F53" s="26" t="n">
        <v>1</v>
      </c>
      <c r="G53" s="26" t="n">
        <v>0</v>
      </c>
      <c r="H53" s="26" t="n">
        <v>0</v>
      </c>
      <c r="I53" s="26" t="n">
        <v>0</v>
      </c>
      <c r="J53" s="14" t="n">
        <v>1</v>
      </c>
      <c r="K53" s="14" t="n">
        <v>0</v>
      </c>
    </row>
    <row r="54" ht="18" customHeight="1">
      <c r="A54" s="26" t="n">
        <v>2026</v>
      </c>
      <c r="B54" s="18" t="inlineStr">
        <is>
          <t>SITE06</t>
        </is>
      </c>
      <c r="C54" s="18" t="inlineStr">
        <is>
          <t>EQ1</t>
        </is>
      </c>
      <c r="D54" s="18" t="inlineStr">
        <is>
          <t>G-I-F1100</t>
        </is>
      </c>
      <c r="E54" s="26" t="n">
        <v>1</v>
      </c>
      <c r="F54" s="26" t="n">
        <v>0</v>
      </c>
      <c r="G54" s="26" t="n">
        <v>0</v>
      </c>
      <c r="H54" s="26" t="n">
        <v>0</v>
      </c>
      <c r="I54" s="26" t="n">
        <v>0</v>
      </c>
      <c r="J54" s="14" t="n">
        <v>1</v>
      </c>
      <c r="K54" s="14" t="n">
        <v>0</v>
      </c>
    </row>
    <row r="55" ht="18" customHeight="1">
      <c r="A55" s="26" t="n">
        <v>2026</v>
      </c>
      <c r="B55" s="18" t="inlineStr">
        <is>
          <t>SITE06</t>
        </is>
      </c>
      <c r="C55" s="18" t="inlineStr">
        <is>
          <t>EQ1</t>
        </is>
      </c>
      <c r="D55" s="18" t="inlineStr">
        <is>
          <t>G-I-F1200</t>
        </is>
      </c>
      <c r="E55" s="26" t="n">
        <v>0</v>
      </c>
      <c r="F55" s="26" t="n">
        <v>1</v>
      </c>
      <c r="G55" s="26" t="n">
        <v>0</v>
      </c>
      <c r="H55" s="26" t="n">
        <v>0</v>
      </c>
      <c r="I55" s="26" t="n">
        <v>0</v>
      </c>
      <c r="J55" s="14" t="n">
        <v>1</v>
      </c>
      <c r="K55" s="14" t="n">
        <v>0</v>
      </c>
    </row>
    <row r="56" ht="18" customHeight="1">
      <c r="A56" s="26" t="n">
        <v>2026</v>
      </c>
      <c r="B56" s="18" t="inlineStr">
        <is>
          <t>SITE06</t>
        </is>
      </c>
      <c r="C56" s="18" t="inlineStr">
        <is>
          <t>EQ1</t>
        </is>
      </c>
      <c r="D56" s="18" t="inlineStr">
        <is>
          <t>G-I-F1300</t>
        </is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1</v>
      </c>
      <c r="J56" s="14" t="n">
        <v>1</v>
      </c>
      <c r="K56" s="14" t="n">
        <v>0</v>
      </c>
    </row>
    <row r="57" ht="18" customHeight="1">
      <c r="A57" s="26" t="n">
        <v>2026</v>
      </c>
      <c r="B57" s="18" t="inlineStr">
        <is>
          <t>SITE06</t>
        </is>
      </c>
      <c r="C57" s="18" t="inlineStr">
        <is>
          <t>EQ2</t>
        </is>
      </c>
      <c r="D57" s="18" t="inlineStr">
        <is>
          <t>G-I-F2100</t>
        </is>
      </c>
      <c r="E57" s="26" t="n">
        <v>0</v>
      </c>
      <c r="F57" s="26" t="n">
        <v>1</v>
      </c>
      <c r="G57" s="26" t="n">
        <v>0</v>
      </c>
      <c r="H57" s="26" t="n">
        <v>0</v>
      </c>
      <c r="I57" s="26" t="n">
        <v>0</v>
      </c>
      <c r="J57" s="14" t="n">
        <v>1</v>
      </c>
      <c r="K57" s="14" t="n">
        <v>0</v>
      </c>
    </row>
    <row r="58" ht="18" customHeight="1">
      <c r="A58" s="26" t="n">
        <v>2026</v>
      </c>
      <c r="B58" s="18" t="inlineStr">
        <is>
          <t>SITE06</t>
        </is>
      </c>
      <c r="C58" s="18" t="inlineStr">
        <is>
          <t>EQ2</t>
        </is>
      </c>
      <c r="D58" s="18" t="inlineStr">
        <is>
          <t>G-I-F2200</t>
        </is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1</v>
      </c>
      <c r="J58" s="14" t="n">
        <v>1</v>
      </c>
      <c r="K58" s="14" t="n">
        <v>0</v>
      </c>
    </row>
    <row r="59" ht="18" customHeight="1">
      <c r="A59" s="26" t="n">
        <v>2026</v>
      </c>
      <c r="B59" s="18" t="inlineStr">
        <is>
          <t>SITE06</t>
        </is>
      </c>
      <c r="C59" s="18" t="inlineStr">
        <is>
          <t>EQ2</t>
        </is>
      </c>
      <c r="D59" s="18" t="inlineStr">
        <is>
          <t>G-I-F2300</t>
        </is>
      </c>
      <c r="E59" s="26" t="n">
        <v>1</v>
      </c>
      <c r="F59" s="26" t="n">
        <v>1</v>
      </c>
      <c r="G59" s="26" t="n">
        <v>0</v>
      </c>
      <c r="H59" s="26" t="n">
        <v>0</v>
      </c>
      <c r="I59" s="26" t="n">
        <v>0</v>
      </c>
      <c r="J59" s="14" t="n">
        <v>1</v>
      </c>
      <c r="K59" s="14" t="n">
        <v>0</v>
      </c>
    </row>
    <row r="60" ht="18" customHeight="1">
      <c r="A60" s="26" t="n">
        <v>2026</v>
      </c>
      <c r="B60" s="18" t="inlineStr">
        <is>
          <t>SITE06</t>
        </is>
      </c>
      <c r="C60" s="18" t="inlineStr">
        <is>
          <t>EQ3</t>
        </is>
      </c>
      <c r="D60" s="18" t="inlineStr">
        <is>
          <t>G-I-F3100</t>
        </is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1</v>
      </c>
      <c r="J60" s="14" t="n">
        <v>1</v>
      </c>
      <c r="K60" s="14" t="n">
        <v>0</v>
      </c>
    </row>
    <row r="61" ht="18" customHeight="1">
      <c r="A61" s="26" t="n">
        <v>2026</v>
      </c>
      <c r="B61" s="18" t="inlineStr">
        <is>
          <t>SITE06</t>
        </is>
      </c>
      <c r="C61" s="18" t="inlineStr">
        <is>
          <t>EQ3</t>
        </is>
      </c>
      <c r="D61" s="18" t="inlineStr">
        <is>
          <t>G-I-F3200</t>
        </is>
      </c>
      <c r="E61" s="26" t="n">
        <v>1</v>
      </c>
      <c r="F61" s="26" t="n">
        <v>1</v>
      </c>
      <c r="G61" s="26" t="n">
        <v>0</v>
      </c>
      <c r="H61" s="26" t="n">
        <v>0</v>
      </c>
      <c r="I61" s="26" t="n">
        <v>0</v>
      </c>
      <c r="J61" s="14" t="n">
        <v>1</v>
      </c>
      <c r="K61" s="14" t="n">
        <v>0</v>
      </c>
    </row>
    <row r="62" ht="18" customHeight="1">
      <c r="A62" s="26" t="n">
        <v>2026</v>
      </c>
      <c r="B62" s="18" t="inlineStr">
        <is>
          <t>SITE06</t>
        </is>
      </c>
      <c r="C62" s="18" t="inlineStr">
        <is>
          <t>EQ3</t>
        </is>
      </c>
      <c r="D62" s="18" t="inlineStr">
        <is>
          <t>G-I-F3300</t>
        </is>
      </c>
      <c r="E62" s="26" t="n">
        <v>0</v>
      </c>
      <c r="F62" s="26" t="n">
        <v>1</v>
      </c>
      <c r="G62" s="26" t="n">
        <v>0</v>
      </c>
      <c r="H62" s="26" t="n">
        <v>0</v>
      </c>
      <c r="I62" s="26" t="n">
        <v>1</v>
      </c>
      <c r="J62" s="14" t="n">
        <v>1</v>
      </c>
      <c r="K62" s="14" t="n">
        <v>0</v>
      </c>
    </row>
    <row r="63" ht="18" customHeight="1">
      <c r="A63" s="26" t="n">
        <v>2026</v>
      </c>
      <c r="B63" s="18" t="inlineStr">
        <is>
          <t>SITE07</t>
        </is>
      </c>
      <c r="C63" s="18" t="inlineStr">
        <is>
          <t>EQ1</t>
        </is>
      </c>
      <c r="D63" s="18" t="inlineStr">
        <is>
          <t>G-I-G1100</t>
        </is>
      </c>
      <c r="E63" s="26" t="n">
        <v>0</v>
      </c>
      <c r="F63" s="26" t="n">
        <v>1</v>
      </c>
      <c r="G63" s="26" t="n">
        <v>0</v>
      </c>
      <c r="H63" s="26" t="n">
        <v>0</v>
      </c>
      <c r="I63" s="26" t="n">
        <v>0</v>
      </c>
      <c r="J63" s="14" t="n">
        <v>1</v>
      </c>
      <c r="K63" s="14" t="n">
        <v>0</v>
      </c>
    </row>
    <row r="64" ht="18" customHeight="1">
      <c r="A64" s="26" t="n">
        <v>2026</v>
      </c>
      <c r="B64" s="18" t="inlineStr">
        <is>
          <t>SITE07</t>
        </is>
      </c>
      <c r="C64" s="18" t="inlineStr">
        <is>
          <t>EQ1</t>
        </is>
      </c>
      <c r="D64" s="18" t="inlineStr">
        <is>
          <t>G-I-G1200</t>
        </is>
      </c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1</v>
      </c>
      <c r="J64" s="14" t="n">
        <v>1</v>
      </c>
      <c r="K64" s="14" t="n">
        <v>0</v>
      </c>
    </row>
    <row r="65" ht="18" customHeight="1">
      <c r="A65" s="26" t="n">
        <v>2026</v>
      </c>
      <c r="B65" s="18" t="inlineStr">
        <is>
          <t>SITE07</t>
        </is>
      </c>
      <c r="C65" s="18" t="inlineStr">
        <is>
          <t>EQ1</t>
        </is>
      </c>
      <c r="D65" s="18" t="inlineStr">
        <is>
          <t>G-I-G1300</t>
        </is>
      </c>
      <c r="E65" s="26" t="n">
        <v>1</v>
      </c>
      <c r="F65" s="26" t="n">
        <v>1</v>
      </c>
      <c r="G65" s="26" t="n">
        <v>0</v>
      </c>
      <c r="H65" s="26" t="n">
        <v>0</v>
      </c>
      <c r="I65" s="26" t="n">
        <v>0</v>
      </c>
      <c r="J65" s="14" t="n">
        <v>1</v>
      </c>
      <c r="K65" s="14" t="n">
        <v>0</v>
      </c>
    </row>
    <row r="66" ht="18" customHeight="1">
      <c r="A66" s="26" t="n">
        <v>2026</v>
      </c>
      <c r="B66" s="18" t="inlineStr">
        <is>
          <t>SITE07</t>
        </is>
      </c>
      <c r="C66" s="18" t="inlineStr">
        <is>
          <t>EQ2</t>
        </is>
      </c>
      <c r="D66" s="18" t="inlineStr">
        <is>
          <t>G-I-G2100</t>
        </is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1</v>
      </c>
      <c r="J66" s="14" t="n">
        <v>1</v>
      </c>
      <c r="K66" s="14" t="n">
        <v>0</v>
      </c>
    </row>
    <row r="67" ht="18" customHeight="1">
      <c r="A67" s="26" t="n">
        <v>2026</v>
      </c>
      <c r="B67" s="18" t="inlineStr">
        <is>
          <t>SITE07</t>
        </is>
      </c>
      <c r="C67" s="18" t="inlineStr">
        <is>
          <t>EQ2</t>
        </is>
      </c>
      <c r="D67" s="18" t="inlineStr">
        <is>
          <t>G-I-G2200</t>
        </is>
      </c>
      <c r="E67" s="26" t="n">
        <v>1</v>
      </c>
      <c r="F67" s="26" t="n">
        <v>1</v>
      </c>
      <c r="G67" s="26" t="n">
        <v>0</v>
      </c>
      <c r="H67" s="26" t="n">
        <v>0</v>
      </c>
      <c r="I67" s="26" t="n">
        <v>0</v>
      </c>
      <c r="J67" s="14" t="n">
        <v>1</v>
      </c>
      <c r="K67" s="14" t="n">
        <v>0</v>
      </c>
    </row>
    <row r="68" ht="18" customHeight="1">
      <c r="A68" s="26" t="n">
        <v>2026</v>
      </c>
      <c r="B68" s="18" t="inlineStr">
        <is>
          <t>SITE07</t>
        </is>
      </c>
      <c r="C68" s="18" t="inlineStr">
        <is>
          <t>EQ2</t>
        </is>
      </c>
      <c r="D68" s="18" t="inlineStr">
        <is>
          <t>G-I-G2300</t>
        </is>
      </c>
      <c r="E68" s="26" t="n">
        <v>0</v>
      </c>
      <c r="F68" s="26" t="n">
        <v>1</v>
      </c>
      <c r="G68" s="26" t="n">
        <v>0</v>
      </c>
      <c r="H68" s="26" t="n">
        <v>0</v>
      </c>
      <c r="I68" s="26" t="n">
        <v>1</v>
      </c>
      <c r="J68" s="14" t="n">
        <v>1</v>
      </c>
      <c r="K68" s="14" t="n">
        <v>0</v>
      </c>
    </row>
    <row r="69" ht="18" customHeight="1">
      <c r="A69" s="26" t="n">
        <v>2026</v>
      </c>
      <c r="B69" s="18" t="inlineStr">
        <is>
          <t>SITE07</t>
        </is>
      </c>
      <c r="C69" s="18" t="inlineStr">
        <is>
          <t>EQ3</t>
        </is>
      </c>
      <c r="D69" s="18" t="inlineStr">
        <is>
          <t>G-I-G3100</t>
        </is>
      </c>
      <c r="E69" s="26" t="n">
        <v>1</v>
      </c>
      <c r="F69" s="26" t="n">
        <v>1</v>
      </c>
      <c r="G69" s="26" t="n">
        <v>0</v>
      </c>
      <c r="H69" s="26" t="n">
        <v>0</v>
      </c>
      <c r="I69" s="26" t="n">
        <v>0</v>
      </c>
      <c r="J69" s="14" t="n">
        <v>1</v>
      </c>
      <c r="K69" s="14" t="n">
        <v>0</v>
      </c>
    </row>
    <row r="70" ht="18" customHeight="1">
      <c r="A70" s="26" t="n">
        <v>2026</v>
      </c>
      <c r="B70" s="18" t="inlineStr">
        <is>
          <t>SITE07</t>
        </is>
      </c>
      <c r="C70" s="18" t="inlineStr">
        <is>
          <t>EQ3</t>
        </is>
      </c>
      <c r="D70" s="18" t="inlineStr">
        <is>
          <t>G-I-G3200</t>
        </is>
      </c>
      <c r="E70" s="26" t="n">
        <v>0</v>
      </c>
      <c r="F70" s="26" t="n">
        <v>1</v>
      </c>
      <c r="G70" s="26" t="n">
        <v>0</v>
      </c>
      <c r="H70" s="26" t="n">
        <v>0</v>
      </c>
      <c r="I70" s="26" t="n">
        <v>1</v>
      </c>
      <c r="J70" s="14" t="n">
        <v>1</v>
      </c>
      <c r="K70" s="14" t="n">
        <v>0</v>
      </c>
    </row>
    <row r="71" ht="18" customHeight="1">
      <c r="A71" s="26" t="n">
        <v>2026</v>
      </c>
      <c r="B71" s="18" t="inlineStr">
        <is>
          <t>SITE07</t>
        </is>
      </c>
      <c r="C71" s="18" t="inlineStr">
        <is>
          <t>EQ3</t>
        </is>
      </c>
      <c r="D71" s="18" t="inlineStr">
        <is>
          <t>G-I-G3300</t>
        </is>
      </c>
      <c r="E71" s="26" t="n">
        <v>1</v>
      </c>
      <c r="F71" s="26" t="n">
        <v>1</v>
      </c>
      <c r="G71" s="26" t="n">
        <v>1</v>
      </c>
      <c r="H71" s="26" t="n">
        <v>1</v>
      </c>
      <c r="I71" s="26" t="n">
        <v>0</v>
      </c>
      <c r="J71" s="14" t="n">
        <v>1</v>
      </c>
      <c r="K71" s="14" t="n">
        <v>0</v>
      </c>
    </row>
    <row r="72" ht="18" customHeight="1">
      <c r="A72" s="26" t="n">
        <v>2026</v>
      </c>
      <c r="B72" s="18" t="inlineStr">
        <is>
          <t>SITE08</t>
        </is>
      </c>
      <c r="C72" s="18" t="inlineStr">
        <is>
          <t>EQ1</t>
        </is>
      </c>
      <c r="D72" s="18" t="inlineStr">
        <is>
          <t>G-I-H1100</t>
        </is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</v>
      </c>
      <c r="J72" s="14" t="n">
        <v>1</v>
      </c>
      <c r="K72" s="14" t="n">
        <v>0</v>
      </c>
    </row>
    <row r="73" ht="18" customHeight="1">
      <c r="A73" s="26" t="n">
        <v>2026</v>
      </c>
      <c r="B73" s="18" t="inlineStr">
        <is>
          <t>SITE08</t>
        </is>
      </c>
      <c r="C73" s="18" t="inlineStr">
        <is>
          <t>EQ1</t>
        </is>
      </c>
      <c r="D73" s="18" t="inlineStr">
        <is>
          <t>G-I-H1200</t>
        </is>
      </c>
      <c r="E73" s="26" t="n">
        <v>1</v>
      </c>
      <c r="F73" s="26" t="n">
        <v>1</v>
      </c>
      <c r="G73" s="26" t="n">
        <v>0</v>
      </c>
      <c r="H73" s="26" t="n">
        <v>0</v>
      </c>
      <c r="I73" s="26" t="n">
        <v>0</v>
      </c>
      <c r="J73" s="14" t="n">
        <v>1</v>
      </c>
      <c r="K73" s="14" t="n">
        <v>0</v>
      </c>
    </row>
    <row r="74" ht="18" customHeight="1">
      <c r="A74" s="26" t="n">
        <v>2026</v>
      </c>
      <c r="B74" s="18" t="inlineStr">
        <is>
          <t>SITE08</t>
        </is>
      </c>
      <c r="C74" s="18" t="inlineStr">
        <is>
          <t>EQ1</t>
        </is>
      </c>
      <c r="D74" s="18" t="inlineStr">
        <is>
          <t>G-I-H1300</t>
        </is>
      </c>
      <c r="E74" s="26" t="n">
        <v>0</v>
      </c>
      <c r="F74" s="26" t="n">
        <v>1</v>
      </c>
      <c r="G74" s="26" t="n">
        <v>0</v>
      </c>
      <c r="H74" s="26" t="n">
        <v>0</v>
      </c>
      <c r="I74" s="26" t="n">
        <v>1</v>
      </c>
      <c r="J74" s="14" t="n">
        <v>1</v>
      </c>
      <c r="K74" s="14" t="n">
        <v>0</v>
      </c>
    </row>
    <row r="75" ht="18" customHeight="1">
      <c r="A75" s="26" t="n">
        <v>2026</v>
      </c>
      <c r="B75" s="18" t="inlineStr">
        <is>
          <t>SITE08</t>
        </is>
      </c>
      <c r="C75" s="18" t="inlineStr">
        <is>
          <t>EQ2</t>
        </is>
      </c>
      <c r="D75" s="18" t="inlineStr">
        <is>
          <t>G-I-H2100</t>
        </is>
      </c>
      <c r="E75" s="26" t="n">
        <v>1</v>
      </c>
      <c r="F75" s="26" t="n">
        <v>1</v>
      </c>
      <c r="G75" s="26" t="n">
        <v>0</v>
      </c>
      <c r="H75" s="26" t="n">
        <v>0</v>
      </c>
      <c r="I75" s="26" t="n">
        <v>0</v>
      </c>
      <c r="J75" s="14" t="n">
        <v>1</v>
      </c>
      <c r="K75" s="14" t="n">
        <v>0</v>
      </c>
    </row>
    <row r="76" ht="18" customHeight="1">
      <c r="A76" s="26" t="n">
        <v>2026</v>
      </c>
      <c r="B76" s="18" t="inlineStr">
        <is>
          <t>SITE08</t>
        </is>
      </c>
      <c r="C76" s="18" t="inlineStr">
        <is>
          <t>EQ2</t>
        </is>
      </c>
      <c r="D76" s="18" t="inlineStr">
        <is>
          <t>G-I-H2200</t>
        </is>
      </c>
      <c r="E76" s="26" t="n">
        <v>0</v>
      </c>
      <c r="F76" s="26" t="n">
        <v>1</v>
      </c>
      <c r="G76" s="26" t="n">
        <v>0</v>
      </c>
      <c r="H76" s="26" t="n">
        <v>0</v>
      </c>
      <c r="I76" s="26" t="n">
        <v>1</v>
      </c>
      <c r="J76" s="14" t="n">
        <v>1</v>
      </c>
      <c r="K76" s="14" t="n">
        <v>0</v>
      </c>
    </row>
    <row r="77" ht="18" customHeight="1">
      <c r="A77" s="26" t="n">
        <v>2026</v>
      </c>
      <c r="B77" s="18" t="inlineStr">
        <is>
          <t>SITE08</t>
        </is>
      </c>
      <c r="C77" s="18" t="inlineStr">
        <is>
          <t>EQ2</t>
        </is>
      </c>
      <c r="D77" s="18" t="inlineStr">
        <is>
          <t>G-I-H2300</t>
        </is>
      </c>
      <c r="E77" s="26" t="n">
        <v>1</v>
      </c>
      <c r="F77" s="26" t="n">
        <v>1</v>
      </c>
      <c r="G77" s="26" t="n">
        <v>1</v>
      </c>
      <c r="H77" s="26" t="n">
        <v>1</v>
      </c>
      <c r="I77" s="26" t="n">
        <v>0</v>
      </c>
      <c r="J77" s="14" t="n">
        <v>1</v>
      </c>
      <c r="K77" s="14" t="n">
        <v>0</v>
      </c>
    </row>
    <row r="78" ht="18" customHeight="1">
      <c r="A78" s="26" t="n">
        <v>2026</v>
      </c>
      <c r="B78" s="18" t="inlineStr">
        <is>
          <t>SITE08</t>
        </is>
      </c>
      <c r="C78" s="18" t="inlineStr">
        <is>
          <t>EQ3</t>
        </is>
      </c>
      <c r="D78" s="18" t="inlineStr">
        <is>
          <t>G-I-H3100</t>
        </is>
      </c>
      <c r="E78" s="26" t="n">
        <v>0</v>
      </c>
      <c r="F78" s="26" t="n">
        <v>1</v>
      </c>
      <c r="G78" s="26" t="n">
        <v>0</v>
      </c>
      <c r="H78" s="26" t="n">
        <v>0</v>
      </c>
      <c r="I78" s="26" t="n">
        <v>1</v>
      </c>
      <c r="J78" s="14" t="n">
        <v>1</v>
      </c>
      <c r="K78" s="14" t="n">
        <v>0</v>
      </c>
    </row>
    <row r="79" ht="18" customHeight="1">
      <c r="A79" s="26" t="n">
        <v>2026</v>
      </c>
      <c r="B79" s="18" t="inlineStr">
        <is>
          <t>SITE08</t>
        </is>
      </c>
      <c r="C79" s="18" t="inlineStr">
        <is>
          <t>EQ3</t>
        </is>
      </c>
      <c r="D79" s="18" t="inlineStr">
        <is>
          <t>G-I-H3200</t>
        </is>
      </c>
      <c r="E79" s="26" t="n">
        <v>1</v>
      </c>
      <c r="F79" s="26" t="n">
        <v>1</v>
      </c>
      <c r="G79" s="26" t="n">
        <v>1</v>
      </c>
      <c r="H79" s="26" t="n">
        <v>1</v>
      </c>
      <c r="I79" s="26" t="n">
        <v>0</v>
      </c>
      <c r="J79" s="14" t="n">
        <v>1</v>
      </c>
      <c r="K79" s="14" t="n">
        <v>0</v>
      </c>
    </row>
    <row r="80" ht="18" customHeight="1">
      <c r="A80" s="26" t="n">
        <v>2026</v>
      </c>
      <c r="B80" s="18" t="inlineStr">
        <is>
          <t>SITE08</t>
        </is>
      </c>
      <c r="C80" s="18" t="inlineStr">
        <is>
          <t>EQ3</t>
        </is>
      </c>
      <c r="D80" s="18" t="inlineStr">
        <is>
          <t>G-I-H3300</t>
        </is>
      </c>
      <c r="E80" s="26" t="n">
        <v>0</v>
      </c>
      <c r="F80" s="26" t="n">
        <v>1</v>
      </c>
      <c r="G80" s="26" t="n">
        <v>0</v>
      </c>
      <c r="H80" s="26" t="n">
        <v>1</v>
      </c>
      <c r="I80" s="26" t="n">
        <v>0</v>
      </c>
      <c r="J80" s="14" t="n">
        <v>1</v>
      </c>
      <c r="K80" s="14" t="n">
        <v>0</v>
      </c>
    </row>
    <row r="81" ht="18" customHeight="1">
      <c r="A81" s="26" t="n">
        <v>2027</v>
      </c>
      <c r="B81" s="18" t="inlineStr">
        <is>
          <t>SITE09</t>
        </is>
      </c>
      <c r="C81" s="18" t="inlineStr">
        <is>
          <t>EQ1</t>
        </is>
      </c>
      <c r="D81" s="18" t="inlineStr">
        <is>
          <t>G-I-I1100</t>
        </is>
      </c>
      <c r="E81" s="26" t="n">
        <v>1</v>
      </c>
      <c r="F81" s="26" t="n">
        <v>1</v>
      </c>
      <c r="G81" s="26" t="n">
        <v>0</v>
      </c>
      <c r="H81" s="26" t="n">
        <v>0</v>
      </c>
      <c r="I81" s="26" t="n">
        <v>0</v>
      </c>
      <c r="J81" s="14" t="n">
        <v>1</v>
      </c>
      <c r="K81" s="14" t="n">
        <v>0</v>
      </c>
    </row>
    <row r="82" ht="18" customHeight="1">
      <c r="A82" s="26" t="n">
        <v>2027</v>
      </c>
      <c r="B82" s="18" t="inlineStr">
        <is>
          <t>SITE09</t>
        </is>
      </c>
      <c r="C82" s="18" t="inlineStr">
        <is>
          <t>EQ1</t>
        </is>
      </c>
      <c r="D82" s="18" t="inlineStr">
        <is>
          <t>G-I-I1200</t>
        </is>
      </c>
      <c r="E82" s="26" t="n">
        <v>0</v>
      </c>
      <c r="F82" s="26" t="n">
        <v>1</v>
      </c>
      <c r="G82" s="26" t="n">
        <v>0</v>
      </c>
      <c r="H82" s="26" t="n">
        <v>0</v>
      </c>
      <c r="I82" s="26" t="n">
        <v>1</v>
      </c>
      <c r="J82" s="14" t="n">
        <v>1</v>
      </c>
      <c r="K82" s="14" t="n">
        <v>0</v>
      </c>
    </row>
    <row r="83" ht="18" customHeight="1">
      <c r="A83" s="26" t="n">
        <v>2027</v>
      </c>
      <c r="B83" s="18" t="inlineStr">
        <is>
          <t>SITE09</t>
        </is>
      </c>
      <c r="C83" s="18" t="inlineStr">
        <is>
          <t>EQ1</t>
        </is>
      </c>
      <c r="D83" s="18" t="inlineStr">
        <is>
          <t>G-I-I1300</t>
        </is>
      </c>
      <c r="E83" s="26" t="n">
        <v>1</v>
      </c>
      <c r="F83" s="26" t="n">
        <v>1</v>
      </c>
      <c r="G83" s="26" t="n">
        <v>1</v>
      </c>
      <c r="H83" s="26" t="n">
        <v>1</v>
      </c>
      <c r="I83" s="26" t="n">
        <v>0</v>
      </c>
      <c r="J83" s="14" t="n">
        <v>1</v>
      </c>
      <c r="K83" s="14" t="n">
        <v>0</v>
      </c>
    </row>
    <row r="84" ht="18" customHeight="1">
      <c r="A84" s="26" t="n">
        <v>2027</v>
      </c>
      <c r="B84" s="18" t="inlineStr">
        <is>
          <t>SITE09</t>
        </is>
      </c>
      <c r="C84" s="18" t="inlineStr">
        <is>
          <t>EQ2</t>
        </is>
      </c>
      <c r="D84" s="18" t="inlineStr">
        <is>
          <t>G-I-I2100</t>
        </is>
      </c>
      <c r="E84" s="26" t="n">
        <v>0</v>
      </c>
      <c r="F84" s="26" t="n">
        <v>1</v>
      </c>
      <c r="G84" s="26" t="n">
        <v>0</v>
      </c>
      <c r="H84" s="26" t="n">
        <v>0</v>
      </c>
      <c r="I84" s="26" t="n">
        <v>1</v>
      </c>
      <c r="J84" s="14" t="n">
        <v>1</v>
      </c>
      <c r="K84" s="14" t="n">
        <v>0</v>
      </c>
    </row>
    <row r="85" ht="18" customHeight="1">
      <c r="A85" s="26" t="n">
        <v>2027</v>
      </c>
      <c r="B85" s="18" t="inlineStr">
        <is>
          <t>SITE09</t>
        </is>
      </c>
      <c r="C85" s="18" t="inlineStr">
        <is>
          <t>EQ2</t>
        </is>
      </c>
      <c r="D85" s="18" t="inlineStr">
        <is>
          <t>G-I-I2200</t>
        </is>
      </c>
      <c r="E85" s="26" t="n">
        <v>1</v>
      </c>
      <c r="F85" s="26" t="n">
        <v>1</v>
      </c>
      <c r="G85" s="26" t="n">
        <v>1</v>
      </c>
      <c r="H85" s="26" t="n">
        <v>1</v>
      </c>
      <c r="I85" s="26" t="n">
        <v>0</v>
      </c>
      <c r="J85" s="14" t="n">
        <v>1</v>
      </c>
      <c r="K85" s="14" t="n">
        <v>0</v>
      </c>
    </row>
    <row r="86" ht="18" customHeight="1">
      <c r="A86" s="26" t="n">
        <v>2027</v>
      </c>
      <c r="B86" s="18" t="inlineStr">
        <is>
          <t>SITE09</t>
        </is>
      </c>
      <c r="C86" s="18" t="inlineStr">
        <is>
          <t>EQ2</t>
        </is>
      </c>
      <c r="D86" s="18" t="inlineStr">
        <is>
          <t>G-I-I2300</t>
        </is>
      </c>
      <c r="E86" s="26" t="n">
        <v>0</v>
      </c>
      <c r="F86" s="26" t="n">
        <v>1</v>
      </c>
      <c r="G86" s="26" t="n">
        <v>0</v>
      </c>
      <c r="H86" s="26" t="n">
        <v>1</v>
      </c>
      <c r="I86" s="26" t="n">
        <v>0</v>
      </c>
      <c r="J86" s="14" t="n">
        <v>1</v>
      </c>
      <c r="K86" s="14" t="n">
        <v>0</v>
      </c>
    </row>
    <row r="87" ht="18" customHeight="1">
      <c r="A87" s="26" t="n">
        <v>2027</v>
      </c>
      <c r="B87" s="18" t="inlineStr">
        <is>
          <t>SITE09</t>
        </is>
      </c>
      <c r="C87" s="18" t="inlineStr">
        <is>
          <t>EQ3</t>
        </is>
      </c>
      <c r="D87" s="18" t="inlineStr">
        <is>
          <t>G-I-I3100</t>
        </is>
      </c>
      <c r="E87" s="26" t="n">
        <v>1</v>
      </c>
      <c r="F87" s="26" t="n">
        <v>1</v>
      </c>
      <c r="G87" s="26" t="n">
        <v>1</v>
      </c>
      <c r="H87" s="26" t="n">
        <v>1</v>
      </c>
      <c r="I87" s="26" t="n">
        <v>0</v>
      </c>
      <c r="J87" s="14" t="n">
        <v>1</v>
      </c>
      <c r="K87" s="14" t="n">
        <v>0</v>
      </c>
    </row>
    <row r="88" ht="18" customHeight="1">
      <c r="A88" s="26" t="n">
        <v>2027</v>
      </c>
      <c r="B88" s="18" t="inlineStr">
        <is>
          <t>SITE09</t>
        </is>
      </c>
      <c r="C88" s="18" t="inlineStr">
        <is>
          <t>EQ3</t>
        </is>
      </c>
      <c r="D88" s="18" t="inlineStr">
        <is>
          <t>G-I-I3200</t>
        </is>
      </c>
      <c r="E88" s="26" t="n">
        <v>0</v>
      </c>
      <c r="F88" s="26" t="n">
        <v>1</v>
      </c>
      <c r="G88" s="26" t="n">
        <v>0</v>
      </c>
      <c r="H88" s="26" t="n">
        <v>1</v>
      </c>
      <c r="I88" s="26" t="n">
        <v>0</v>
      </c>
      <c r="J88" s="14" t="n">
        <v>1</v>
      </c>
      <c r="K88" s="14" t="n">
        <v>0</v>
      </c>
    </row>
    <row r="89" ht="18" customHeight="1">
      <c r="A89" s="26" t="n">
        <v>2027</v>
      </c>
      <c r="B89" s="18" t="inlineStr">
        <is>
          <t>SITE09</t>
        </is>
      </c>
      <c r="C89" s="18" t="inlineStr">
        <is>
          <t>EQ3</t>
        </is>
      </c>
      <c r="D89" s="18" t="inlineStr">
        <is>
          <t>G-I-I3300</t>
        </is>
      </c>
      <c r="E89" s="26" t="n">
        <v>1</v>
      </c>
      <c r="F89" s="26" t="n">
        <v>0</v>
      </c>
      <c r="G89" s="26" t="n">
        <v>0</v>
      </c>
      <c r="H89" s="26" t="n">
        <v>0</v>
      </c>
      <c r="I89" s="26" t="n">
        <v>1</v>
      </c>
      <c r="J89" s="14" t="n">
        <v>1</v>
      </c>
      <c r="K89" s="14" t="n">
        <v>0</v>
      </c>
    </row>
    <row r="90" ht="18" customHeight="1">
      <c r="A90" s="26" t="n">
        <v>2027</v>
      </c>
      <c r="B90" s="18" t="inlineStr">
        <is>
          <t>SITE10</t>
        </is>
      </c>
      <c r="C90" s="18" t="inlineStr">
        <is>
          <t>EQ1</t>
        </is>
      </c>
      <c r="D90" s="18" t="inlineStr">
        <is>
          <t>G-I-J1100</t>
        </is>
      </c>
      <c r="E90" s="26" t="n">
        <v>0</v>
      </c>
      <c r="F90" s="26" t="n">
        <v>1</v>
      </c>
      <c r="G90" s="26" t="n">
        <v>0</v>
      </c>
      <c r="H90" s="26" t="n">
        <v>0</v>
      </c>
      <c r="I90" s="26" t="n">
        <v>1</v>
      </c>
      <c r="J90" s="14" t="n">
        <v>1</v>
      </c>
      <c r="K90" s="14" t="n">
        <v>0</v>
      </c>
    </row>
    <row r="91" ht="18" customHeight="1">
      <c r="A91" s="26" t="n">
        <v>2027</v>
      </c>
      <c r="B91" s="18" t="inlineStr">
        <is>
          <t>SITE10</t>
        </is>
      </c>
      <c r="C91" s="18" t="inlineStr">
        <is>
          <t>EQ1</t>
        </is>
      </c>
      <c r="D91" s="18" t="inlineStr">
        <is>
          <t>G-I-J1200</t>
        </is>
      </c>
      <c r="E91" s="26" t="n">
        <v>1</v>
      </c>
      <c r="F91" s="26" t="n">
        <v>1</v>
      </c>
      <c r="G91" s="26" t="n">
        <v>1</v>
      </c>
      <c r="H91" s="26" t="n">
        <v>1</v>
      </c>
      <c r="I91" s="26" t="n">
        <v>0</v>
      </c>
      <c r="J91" s="14" t="n">
        <v>1</v>
      </c>
      <c r="K91" s="14" t="n">
        <v>0</v>
      </c>
    </row>
    <row r="92" ht="18" customHeight="1">
      <c r="A92" s="26" t="n">
        <v>2027</v>
      </c>
      <c r="B92" s="18" t="inlineStr">
        <is>
          <t>SITE10</t>
        </is>
      </c>
      <c r="C92" s="18" t="inlineStr">
        <is>
          <t>EQ1</t>
        </is>
      </c>
      <c r="D92" s="18" t="inlineStr">
        <is>
          <t>G-I-J1300</t>
        </is>
      </c>
      <c r="E92" s="26" t="n">
        <v>0</v>
      </c>
      <c r="F92" s="26" t="n">
        <v>1</v>
      </c>
      <c r="G92" s="26" t="n">
        <v>0</v>
      </c>
      <c r="H92" s="26" t="n">
        <v>1</v>
      </c>
      <c r="I92" s="26" t="n">
        <v>0</v>
      </c>
      <c r="J92" s="14" t="n">
        <v>1</v>
      </c>
      <c r="K92" s="14" t="n">
        <v>0</v>
      </c>
    </row>
    <row r="93" ht="18" customHeight="1">
      <c r="A93" s="26" t="n">
        <v>2027</v>
      </c>
      <c r="B93" s="18" t="inlineStr">
        <is>
          <t>SITE10</t>
        </is>
      </c>
      <c r="C93" s="18" t="inlineStr">
        <is>
          <t>EQ2</t>
        </is>
      </c>
      <c r="D93" s="18" t="inlineStr">
        <is>
          <t>G-I-J2100</t>
        </is>
      </c>
      <c r="E93" s="26" t="n">
        <v>1</v>
      </c>
      <c r="F93" s="26" t="n">
        <v>1</v>
      </c>
      <c r="G93" s="26" t="n">
        <v>1</v>
      </c>
      <c r="H93" s="26" t="n">
        <v>1</v>
      </c>
      <c r="I93" s="26" t="n">
        <v>0</v>
      </c>
      <c r="J93" s="14" t="n">
        <v>1</v>
      </c>
      <c r="K93" s="14" t="n">
        <v>0</v>
      </c>
    </row>
    <row r="94" ht="18" customHeight="1">
      <c r="A94" s="26" t="n">
        <v>2027</v>
      </c>
      <c r="B94" s="18" t="inlineStr">
        <is>
          <t>SITE10</t>
        </is>
      </c>
      <c r="C94" s="18" t="inlineStr">
        <is>
          <t>EQ2</t>
        </is>
      </c>
      <c r="D94" s="18" t="inlineStr">
        <is>
          <t>G-I-J2200</t>
        </is>
      </c>
      <c r="E94" s="26" t="n">
        <v>0</v>
      </c>
      <c r="F94" s="26" t="n">
        <v>1</v>
      </c>
      <c r="G94" s="26" t="n">
        <v>0</v>
      </c>
      <c r="H94" s="26" t="n">
        <v>1</v>
      </c>
      <c r="I94" s="26" t="n">
        <v>0</v>
      </c>
      <c r="J94" s="14" t="n">
        <v>1</v>
      </c>
      <c r="K94" s="14" t="n">
        <v>0</v>
      </c>
    </row>
    <row r="95" ht="18" customHeight="1">
      <c r="A95" s="26" t="n">
        <v>2027</v>
      </c>
      <c r="B95" s="18" t="inlineStr">
        <is>
          <t>SITE10</t>
        </is>
      </c>
      <c r="C95" s="18" t="inlineStr">
        <is>
          <t>EQ2</t>
        </is>
      </c>
      <c r="D95" s="18" t="inlineStr">
        <is>
          <t>G-I-J2300</t>
        </is>
      </c>
      <c r="E95" s="26" t="n">
        <v>1</v>
      </c>
      <c r="F95" s="26" t="n">
        <v>0</v>
      </c>
      <c r="G95" s="26" t="n">
        <v>0</v>
      </c>
      <c r="H95" s="26" t="n">
        <v>0</v>
      </c>
      <c r="I95" s="26" t="n">
        <v>1</v>
      </c>
      <c r="J95" s="14" t="n">
        <v>1</v>
      </c>
      <c r="K95" s="14" t="n">
        <v>0</v>
      </c>
    </row>
    <row r="96" ht="18" customHeight="1">
      <c r="A96" s="26" t="n">
        <v>2027</v>
      </c>
      <c r="B96" s="18" t="inlineStr">
        <is>
          <t>SITE10</t>
        </is>
      </c>
      <c r="C96" s="18" t="inlineStr">
        <is>
          <t>EQ3</t>
        </is>
      </c>
      <c r="D96" s="18" t="inlineStr">
        <is>
          <t>G-I-J3100</t>
        </is>
      </c>
      <c r="E96" s="26" t="n">
        <v>0</v>
      </c>
      <c r="F96" s="26" t="n">
        <v>1</v>
      </c>
      <c r="G96" s="26" t="n">
        <v>0</v>
      </c>
      <c r="H96" s="26" t="n">
        <v>1</v>
      </c>
      <c r="I96" s="26" t="n">
        <v>0</v>
      </c>
      <c r="J96" s="14" t="n">
        <v>1</v>
      </c>
      <c r="K96" s="14" t="n">
        <v>0</v>
      </c>
    </row>
    <row r="97" ht="18" customHeight="1">
      <c r="A97" s="26" t="n">
        <v>2027</v>
      </c>
      <c r="B97" s="18" t="inlineStr">
        <is>
          <t>SITE10</t>
        </is>
      </c>
      <c r="C97" s="18" t="inlineStr">
        <is>
          <t>EQ3</t>
        </is>
      </c>
      <c r="D97" s="18" t="inlineStr">
        <is>
          <t>G-I-J3200</t>
        </is>
      </c>
      <c r="E97" s="26" t="n">
        <v>1</v>
      </c>
      <c r="F97" s="26" t="n">
        <v>0</v>
      </c>
      <c r="G97" s="26" t="n">
        <v>0</v>
      </c>
      <c r="H97" s="26" t="n">
        <v>0</v>
      </c>
      <c r="I97" s="26" t="n">
        <v>1</v>
      </c>
      <c r="J97" s="14" t="n">
        <v>1</v>
      </c>
      <c r="K97" s="14" t="n">
        <v>0</v>
      </c>
    </row>
    <row r="98" ht="18" customHeight="1">
      <c r="A98" s="26" t="n">
        <v>2027</v>
      </c>
      <c r="B98" s="18" t="inlineStr">
        <is>
          <t>SITE10</t>
        </is>
      </c>
      <c r="C98" s="18" t="inlineStr">
        <is>
          <t>EQ3</t>
        </is>
      </c>
      <c r="D98" s="18" t="inlineStr">
        <is>
          <t>G-I-J3300</t>
        </is>
      </c>
      <c r="E98" s="26" t="n">
        <v>1</v>
      </c>
      <c r="F98" s="26" t="n">
        <v>0</v>
      </c>
      <c r="G98" s="26" t="n">
        <v>0</v>
      </c>
      <c r="H98" s="26" t="n">
        <v>0</v>
      </c>
      <c r="I98" s="26" t="n">
        <v>0</v>
      </c>
      <c r="J98" s="14" t="n">
        <v>1</v>
      </c>
      <c r="K98" s="14" t="n">
        <v>0</v>
      </c>
    </row>
  </sheetData>
  <autoFilter ref="A8:K98"/>
  <mergeCells count="4">
    <mergeCell ref="A4:B4"/>
    <mergeCell ref="C4:D4"/>
    <mergeCell ref="C5:D5"/>
    <mergeCell ref="A5:B5"/>
  </mergeCells>
  <conditionalFormatting sqref="K9:AZ5008">
    <cfRule type="expression" priority="1" dxfId="0" stopIfTrue="1">
      <formula>AND(ISNUMBER(K9),K9&gt;0,K$8="OT avec point de contrôle")</formula>
    </cfRule>
  </conditionalFormatting>
  <conditionalFormatting sqref="E9:AZ5008">
    <cfRule type="expression" priority="2" dxfId="4">
      <formula>AND(ISNUMBER(E9),E9=0)</formula>
    </cfRule>
  </conditionalFormatting>
  <conditionalFormatting sqref="A9:AZ5008">
    <cfRule type="expression" priority="3" dxfId="2">
      <formula>AND($A9&lt;&gt;"",$A9=P_Annee)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7" customWidth="1" min="4" max="4"/>
    <col width="18" customWidth="1" min="5" max="5"/>
    <col width="12" customWidth="1" min="6" max="6"/>
    <col width="22" customWidth="1" min="7" max="7"/>
  </cols>
  <sheetData>
    <row r="1" ht="30" customHeight="1">
      <c r="A1" s="17" t="inlineStr">
        <is>
          <t>Périmètre</t>
        </is>
      </c>
      <c r="B1" s="17" t="inlineStr">
        <is>
          <t>Groupe</t>
        </is>
      </c>
      <c r="C1" s="17" t="inlineStr">
        <is>
          <t>Année</t>
        </is>
      </c>
      <c r="D1" s="17" t="inlineStr">
        <is>
          <t>Code installation</t>
        </is>
      </c>
      <c r="E1" s="17" t="inlineStr">
        <is>
          <t>Installation</t>
        </is>
      </c>
      <c r="F1" s="17" t="inlineStr">
        <is>
          <t>Périodicité</t>
        </is>
      </c>
      <c r="G1" s="17" t="inlineStr">
        <is>
          <t>Type opération source</t>
        </is>
      </c>
    </row>
    <row r="2">
      <c r="A2" s="27" t="inlineStr">
        <is>
          <t>PERIM_A</t>
        </is>
      </c>
      <c r="B2" s="27" t="inlineStr">
        <is>
          <t>GRP_A1</t>
        </is>
      </c>
      <c r="C2" s="28" t="n">
        <v>2029</v>
      </c>
      <c r="D2" s="27" t="inlineStr">
        <is>
          <t>INST-001</t>
        </is>
      </c>
      <c r="E2" s="27" t="inlineStr">
        <is>
          <t>Installation A1</t>
        </is>
      </c>
      <c r="F2" s="27" t="inlineStr">
        <is>
          <t>6 ans</t>
        </is>
      </c>
      <c r="G2" s="27" t="inlineStr">
        <is>
          <t>TYPE_D</t>
        </is>
      </c>
    </row>
    <row r="3">
      <c r="A3" s="27" t="inlineStr">
        <is>
          <t>PERIM_A</t>
        </is>
      </c>
      <c r="B3" s="27" t="inlineStr">
        <is>
          <t>GRP_A1</t>
        </is>
      </c>
      <c r="C3" s="28" t="n">
        <v>2027</v>
      </c>
      <c r="D3" s="27" t="inlineStr">
        <is>
          <t>INST-001</t>
        </is>
      </c>
      <c r="E3" s="27" t="inlineStr">
        <is>
          <t>Installation A1</t>
        </is>
      </c>
      <c r="F3" s="27" t="inlineStr">
        <is>
          <t>3 ans</t>
        </is>
      </c>
      <c r="G3" s="27" t="inlineStr">
        <is>
          <t>TYPE_C</t>
        </is>
      </c>
    </row>
    <row r="4">
      <c r="A4" s="27" t="inlineStr">
        <is>
          <t>PERIM_A</t>
        </is>
      </c>
      <c r="B4" s="27" t="inlineStr">
        <is>
          <t>GRP_A1</t>
        </is>
      </c>
      <c r="C4" s="28" t="n">
        <v>2027</v>
      </c>
      <c r="D4" s="27" t="inlineStr">
        <is>
          <t>INST-001</t>
        </is>
      </c>
      <c r="E4" s="27" t="inlineStr">
        <is>
          <t>Installation A1</t>
        </is>
      </c>
      <c r="F4" s="27" t="inlineStr">
        <is>
          <t>1 an</t>
        </is>
      </c>
      <c r="G4" s="27" t="inlineStr">
        <is>
          <t>TYPE_A</t>
        </is>
      </c>
    </row>
    <row r="5">
      <c r="A5" s="27" t="inlineStr">
        <is>
          <t>PERIM_A</t>
        </is>
      </c>
      <c r="B5" s="27" t="inlineStr">
        <is>
          <t>GRP_A1</t>
        </is>
      </c>
      <c r="C5" s="28" t="n">
        <v>2027</v>
      </c>
      <c r="D5" s="27" t="inlineStr">
        <is>
          <t>INST-001</t>
        </is>
      </c>
      <c r="E5" s="27" t="inlineStr">
        <is>
          <t>Installation A1</t>
        </is>
      </c>
      <c r="F5" s="27" t="inlineStr">
        <is>
          <t>2 ans</t>
        </is>
      </c>
      <c r="G5" s="27" t="inlineStr">
        <is>
          <t>TYPE_E</t>
        </is>
      </c>
    </row>
    <row r="6">
      <c r="A6" s="27" t="inlineStr">
        <is>
          <t>PERIM_A</t>
        </is>
      </c>
      <c r="B6" s="27" t="inlineStr">
        <is>
          <t>GRP_A1</t>
        </is>
      </c>
      <c r="C6" s="28" t="n">
        <v>2027</v>
      </c>
      <c r="D6" s="27" t="inlineStr">
        <is>
          <t>INST-002</t>
        </is>
      </c>
      <c r="E6" s="27" t="inlineStr">
        <is>
          <t>Installation B1</t>
        </is>
      </c>
      <c r="F6" s="27" t="inlineStr">
        <is>
          <t>6 ans</t>
        </is>
      </c>
      <c r="G6" s="27" t="inlineStr">
        <is>
          <t>TYPE_D</t>
        </is>
      </c>
    </row>
    <row r="7">
      <c r="A7" s="27" t="inlineStr">
        <is>
          <t>PERIM_A</t>
        </is>
      </c>
      <c r="B7" s="27" t="inlineStr">
        <is>
          <t>GRP_A1</t>
        </is>
      </c>
      <c r="C7" s="28" t="n">
        <v>2028</v>
      </c>
      <c r="D7" s="27" t="inlineStr">
        <is>
          <t>INST-002</t>
        </is>
      </c>
      <c r="E7" s="27" t="inlineStr">
        <is>
          <t>Installation B1</t>
        </is>
      </c>
      <c r="F7" s="27" t="inlineStr">
        <is>
          <t>2 ans</t>
        </is>
      </c>
      <c r="G7" s="27" t="inlineStr">
        <is>
          <t>TYPE_B</t>
        </is>
      </c>
    </row>
    <row r="8">
      <c r="A8" s="27" t="inlineStr">
        <is>
          <t>PERIM_A</t>
        </is>
      </c>
      <c r="B8" s="27" t="inlineStr">
        <is>
          <t>GRP_A1</t>
        </is>
      </c>
      <c r="C8" s="28" t="n">
        <v>2029</v>
      </c>
      <c r="D8" s="27" t="inlineStr">
        <is>
          <t>INST-002</t>
        </is>
      </c>
      <c r="E8" s="27" t="inlineStr">
        <is>
          <t>Installation B1</t>
        </is>
      </c>
      <c r="F8" s="27" t="inlineStr">
        <is>
          <t>1 an</t>
        </is>
      </c>
      <c r="G8" s="27" t="inlineStr">
        <is>
          <t>TYPE_A</t>
        </is>
      </c>
    </row>
    <row r="9">
      <c r="A9" s="27" t="inlineStr">
        <is>
          <t>PERIM_A</t>
        </is>
      </c>
      <c r="B9" s="27" t="inlineStr">
        <is>
          <t>GRP_A1</t>
        </is>
      </c>
      <c r="C9" s="28" t="n">
        <v>2029</v>
      </c>
      <c r="D9" s="27" t="inlineStr">
        <is>
          <t>INST-003</t>
        </is>
      </c>
      <c r="E9" s="27" t="inlineStr">
        <is>
          <t>Installation C1</t>
        </is>
      </c>
      <c r="F9" s="27" t="inlineStr">
        <is>
          <t>2 ans</t>
        </is>
      </c>
      <c r="G9" s="27" t="inlineStr">
        <is>
          <t>TYPE_E</t>
        </is>
      </c>
    </row>
    <row r="10">
      <c r="A10" s="27" t="inlineStr">
        <is>
          <t>PERIM_A</t>
        </is>
      </c>
      <c r="B10" s="27" t="inlineStr">
        <is>
          <t>GRP_A1</t>
        </is>
      </c>
      <c r="C10" s="28" t="n">
        <v>2031</v>
      </c>
      <c r="D10" s="27" t="inlineStr">
        <is>
          <t>INST-003</t>
        </is>
      </c>
      <c r="E10" s="27" t="inlineStr">
        <is>
          <t>Installation C1</t>
        </is>
      </c>
      <c r="F10" s="27" t="inlineStr">
        <is>
          <t>2 ans</t>
        </is>
      </c>
      <c r="G10" s="27" t="inlineStr">
        <is>
          <t>TYPE_E</t>
        </is>
      </c>
    </row>
    <row r="11">
      <c r="A11" s="27" t="inlineStr">
        <is>
          <t>PERIM_A</t>
        </is>
      </c>
      <c r="B11" s="27" t="inlineStr">
        <is>
          <t>GRP_A1</t>
        </is>
      </c>
      <c r="C11" s="28" t="n">
        <v>2029</v>
      </c>
      <c r="D11" s="27" t="inlineStr">
        <is>
          <t>INST-003</t>
        </is>
      </c>
      <c r="E11" s="27" t="inlineStr">
        <is>
          <t>Installation C1</t>
        </is>
      </c>
      <c r="F11" s="27" t="inlineStr">
        <is>
          <t>6 ans</t>
        </is>
      </c>
      <c r="G11" s="27" t="inlineStr">
        <is>
          <t>TYPE_D</t>
        </is>
      </c>
    </row>
    <row r="12">
      <c r="A12" s="27" t="inlineStr">
        <is>
          <t>PERIM_A</t>
        </is>
      </c>
      <c r="B12" s="27" t="inlineStr">
        <is>
          <t>GRP_A1</t>
        </is>
      </c>
      <c r="C12" s="28" t="n">
        <v>2032</v>
      </c>
      <c r="D12" s="27" t="inlineStr">
        <is>
          <t>INST-003</t>
        </is>
      </c>
      <c r="E12" s="27" t="inlineStr">
        <is>
          <t>Installation C1</t>
        </is>
      </c>
      <c r="F12" s="27" t="inlineStr">
        <is>
          <t>6 ans</t>
        </is>
      </c>
      <c r="G12" s="27" t="inlineStr">
        <is>
          <t>TYPE_D</t>
        </is>
      </c>
    </row>
    <row r="13">
      <c r="A13" s="27" t="inlineStr">
        <is>
          <t>PERIM_A</t>
        </is>
      </c>
      <c r="B13" s="27" t="inlineStr">
        <is>
          <t>GRP_A1</t>
        </is>
      </c>
      <c r="C13" s="28" t="n">
        <v>2027</v>
      </c>
      <c r="D13" s="27" t="inlineStr">
        <is>
          <t>INST-004</t>
        </is>
      </c>
      <c r="E13" s="27" t="inlineStr">
        <is>
          <t>Installation D1</t>
        </is>
      </c>
      <c r="F13" s="27" t="inlineStr">
        <is>
          <t>6 ans</t>
        </is>
      </c>
      <c r="G13" s="27" t="inlineStr">
        <is>
          <t>TYPE_D</t>
        </is>
      </c>
    </row>
    <row r="14">
      <c r="A14" s="27" t="inlineStr">
        <is>
          <t>PERIM_A</t>
        </is>
      </c>
      <c r="B14" s="27" t="inlineStr">
        <is>
          <t>GRP_A1</t>
        </is>
      </c>
      <c r="C14" s="28" t="n">
        <v>2032</v>
      </c>
      <c r="D14" s="27" t="inlineStr">
        <is>
          <t>INST-004</t>
        </is>
      </c>
      <c r="E14" s="27" t="inlineStr">
        <is>
          <t>Installation D1</t>
        </is>
      </c>
      <c r="F14" s="27" t="inlineStr">
        <is>
          <t>2 ans</t>
        </is>
      </c>
      <c r="G14" s="27" t="inlineStr">
        <is>
          <t>TYPE_E</t>
        </is>
      </c>
    </row>
    <row r="15">
      <c r="A15" s="27" t="inlineStr">
        <is>
          <t>PERIM_A</t>
        </is>
      </c>
      <c r="B15" s="27" t="inlineStr">
        <is>
          <t>GRP_A1</t>
        </is>
      </c>
      <c r="C15" s="28" t="n">
        <v>2029</v>
      </c>
      <c r="D15" s="27" t="inlineStr">
        <is>
          <t>INST-005</t>
        </is>
      </c>
      <c r="E15" s="27" t="inlineStr">
        <is>
          <t>Installation E1</t>
        </is>
      </c>
      <c r="F15" s="27" t="inlineStr">
        <is>
          <t>2 ans</t>
        </is>
      </c>
      <c r="G15" s="27" t="inlineStr">
        <is>
          <t>TYPE_B</t>
        </is>
      </c>
    </row>
    <row r="16">
      <c r="A16" s="27" t="inlineStr">
        <is>
          <t>PERIM_A</t>
        </is>
      </c>
      <c r="B16" s="27" t="inlineStr">
        <is>
          <t>GRP_A1</t>
        </is>
      </c>
      <c r="C16" s="28" t="n">
        <v>2027</v>
      </c>
      <c r="D16" s="27" t="inlineStr">
        <is>
          <t>INST-005</t>
        </is>
      </c>
      <c r="E16" s="27" t="inlineStr">
        <is>
          <t>Installation E1</t>
        </is>
      </c>
      <c r="F16" s="27" t="inlineStr">
        <is>
          <t>2 ans</t>
        </is>
      </c>
      <c r="G16" s="27" t="inlineStr">
        <is>
          <t>TYPE_E</t>
        </is>
      </c>
    </row>
    <row r="17">
      <c r="A17" s="27" t="inlineStr">
        <is>
          <t>PERIM_A</t>
        </is>
      </c>
      <c r="B17" s="27" t="inlineStr">
        <is>
          <t>GRP_A1</t>
        </is>
      </c>
      <c r="C17" s="28" t="n">
        <v>2030</v>
      </c>
      <c r="D17" s="27" t="inlineStr">
        <is>
          <t>INST-005</t>
        </is>
      </c>
      <c r="E17" s="27" t="inlineStr">
        <is>
          <t>Installation E1</t>
        </is>
      </c>
      <c r="F17" s="27" t="inlineStr">
        <is>
          <t>6 ans</t>
        </is>
      </c>
      <c r="G17" s="27" t="inlineStr">
        <is>
          <t>TYPE_D</t>
        </is>
      </c>
    </row>
    <row r="18">
      <c r="A18" s="27" t="inlineStr">
        <is>
          <t>PERIM_A</t>
        </is>
      </c>
      <c r="B18" s="27" t="inlineStr">
        <is>
          <t>GRP_A1</t>
        </is>
      </c>
      <c r="C18" s="28" t="n">
        <v>2030</v>
      </c>
      <c r="D18" s="27" t="inlineStr">
        <is>
          <t>INST-005</t>
        </is>
      </c>
      <c r="E18" s="27" t="inlineStr">
        <is>
          <t>Installation E1</t>
        </is>
      </c>
      <c r="F18" s="27" t="inlineStr">
        <is>
          <t>1 an</t>
        </is>
      </c>
      <c r="G18" s="27" t="inlineStr">
        <is>
          <t>TYPE_A</t>
        </is>
      </c>
    </row>
    <row r="19">
      <c r="A19" s="27" t="inlineStr">
        <is>
          <t>PERIM_A</t>
        </is>
      </c>
      <c r="B19" s="27" t="inlineStr">
        <is>
          <t>GRP_A1</t>
        </is>
      </c>
      <c r="C19" s="28" t="n">
        <v>2027</v>
      </c>
      <c r="D19" s="27" t="inlineStr">
        <is>
          <t>INST-006</t>
        </is>
      </c>
      <c r="E19" s="27" t="inlineStr">
        <is>
          <t>Installation F1</t>
        </is>
      </c>
      <c r="F19" s="27" t="inlineStr">
        <is>
          <t>1 an</t>
        </is>
      </c>
      <c r="G19" s="27" t="inlineStr">
        <is>
          <t>TYPE_A</t>
        </is>
      </c>
    </row>
    <row r="20">
      <c r="A20" s="27" t="inlineStr">
        <is>
          <t>PERIM_A</t>
        </is>
      </c>
      <c r="B20" s="27" t="inlineStr">
        <is>
          <t>GRP_A1</t>
        </is>
      </c>
      <c r="C20" s="28" t="n">
        <v>2027</v>
      </c>
      <c r="D20" s="27" t="inlineStr">
        <is>
          <t>INST-006</t>
        </is>
      </c>
      <c r="E20" s="27" t="inlineStr">
        <is>
          <t>Installation F1</t>
        </is>
      </c>
      <c r="F20" s="27" t="inlineStr">
        <is>
          <t>2 ans</t>
        </is>
      </c>
      <c r="G20" s="27" t="inlineStr">
        <is>
          <t>TYPE_B</t>
        </is>
      </c>
    </row>
    <row r="21">
      <c r="A21" s="27" t="inlineStr">
        <is>
          <t>PERIM_A</t>
        </is>
      </c>
      <c r="B21" s="27" t="inlineStr">
        <is>
          <t>GRP_A1</t>
        </is>
      </c>
      <c r="C21" s="28" t="n">
        <v>2027</v>
      </c>
      <c r="D21" s="27" t="inlineStr">
        <is>
          <t>INST-006</t>
        </is>
      </c>
      <c r="E21" s="27" t="inlineStr">
        <is>
          <t>Installation F1</t>
        </is>
      </c>
      <c r="F21" s="27" t="inlineStr">
        <is>
          <t>1 an</t>
        </is>
      </c>
      <c r="G21" s="27" t="inlineStr">
        <is>
          <t>TYPE_A</t>
        </is>
      </c>
    </row>
    <row r="22">
      <c r="A22" s="27" t="inlineStr">
        <is>
          <t>PERIM_A</t>
        </is>
      </c>
      <c r="B22" s="27" t="inlineStr">
        <is>
          <t>GRP_A1</t>
        </is>
      </c>
      <c r="C22" s="28" t="n">
        <v>2028</v>
      </c>
      <c r="D22" s="27" t="inlineStr">
        <is>
          <t>INST-006</t>
        </is>
      </c>
      <c r="E22" s="27" t="inlineStr">
        <is>
          <t>Installation F1</t>
        </is>
      </c>
      <c r="F22" s="27" t="inlineStr">
        <is>
          <t>1 an</t>
        </is>
      </c>
      <c r="G22" s="27" t="inlineStr">
        <is>
          <t>TYPE_A</t>
        </is>
      </c>
    </row>
    <row r="23">
      <c r="A23" s="27" t="inlineStr">
        <is>
          <t>PERIM_A</t>
        </is>
      </c>
      <c r="B23" s="27" t="inlineStr">
        <is>
          <t>GRP_A1</t>
        </is>
      </c>
      <c r="C23" s="28" t="n">
        <v>2031</v>
      </c>
      <c r="D23" s="27" t="inlineStr">
        <is>
          <t>INST-007</t>
        </is>
      </c>
      <c r="E23" s="27" t="inlineStr">
        <is>
          <t>Installation G1</t>
        </is>
      </c>
      <c r="F23" s="27" t="inlineStr">
        <is>
          <t>3 ans</t>
        </is>
      </c>
      <c r="G23" s="27" t="inlineStr">
        <is>
          <t>TYPE_C</t>
        </is>
      </c>
    </row>
    <row r="24">
      <c r="A24" s="27" t="inlineStr">
        <is>
          <t>PERIM_A</t>
        </is>
      </c>
      <c r="B24" s="27" t="inlineStr">
        <is>
          <t>GRP_A1</t>
        </is>
      </c>
      <c r="C24" s="28" t="n">
        <v>2027</v>
      </c>
      <c r="D24" s="27" t="inlineStr">
        <is>
          <t>INST-007</t>
        </is>
      </c>
      <c r="E24" s="27" t="inlineStr">
        <is>
          <t>Installation G1</t>
        </is>
      </c>
      <c r="F24" s="27" t="inlineStr">
        <is>
          <t>2 ans</t>
        </is>
      </c>
      <c r="G24" s="27" t="inlineStr">
        <is>
          <t>TYPE_E</t>
        </is>
      </c>
    </row>
    <row r="25">
      <c r="A25" s="27" t="inlineStr">
        <is>
          <t>PERIM_A</t>
        </is>
      </c>
      <c r="B25" s="27" t="inlineStr">
        <is>
          <t>GRP_A1</t>
        </is>
      </c>
      <c r="C25" s="28" t="n">
        <v>2031</v>
      </c>
      <c r="D25" s="27" t="inlineStr">
        <is>
          <t>INST-008</t>
        </is>
      </c>
      <c r="E25" s="27" t="inlineStr">
        <is>
          <t>Installation H1</t>
        </is>
      </c>
      <c r="F25" s="27" t="inlineStr">
        <is>
          <t>6 ans</t>
        </is>
      </c>
      <c r="G25" s="27" t="inlineStr">
        <is>
          <t>TYPE_D</t>
        </is>
      </c>
    </row>
    <row r="26">
      <c r="A26" s="27" t="inlineStr">
        <is>
          <t>PERIM_A</t>
        </is>
      </c>
      <c r="B26" s="27" t="inlineStr">
        <is>
          <t>GRP_A1</t>
        </is>
      </c>
      <c r="C26" s="28" t="n">
        <v>2027</v>
      </c>
      <c r="D26" s="27" t="inlineStr">
        <is>
          <t>INST-008</t>
        </is>
      </c>
      <c r="E26" s="27" t="inlineStr">
        <is>
          <t>Installation H1</t>
        </is>
      </c>
      <c r="F26" s="27" t="inlineStr">
        <is>
          <t>6 ans</t>
        </is>
      </c>
      <c r="G26" s="27" t="inlineStr">
        <is>
          <t>TYPE_D</t>
        </is>
      </c>
    </row>
    <row r="27">
      <c r="A27" s="27" t="inlineStr">
        <is>
          <t>PERIM_A</t>
        </is>
      </c>
      <c r="B27" s="27" t="inlineStr">
        <is>
          <t>GRP_A1</t>
        </is>
      </c>
      <c r="C27" s="28" t="n">
        <v>2027</v>
      </c>
      <c r="D27" s="27" t="inlineStr">
        <is>
          <t>INST-008</t>
        </is>
      </c>
      <c r="E27" s="27" t="inlineStr">
        <is>
          <t>Installation H1</t>
        </is>
      </c>
      <c r="F27" s="27" t="inlineStr">
        <is>
          <t>3 ans</t>
        </is>
      </c>
      <c r="G27" s="27" t="inlineStr">
        <is>
          <t>TYPE_C</t>
        </is>
      </c>
    </row>
    <row r="28">
      <c r="A28" s="27" t="inlineStr">
        <is>
          <t>PERIM_A</t>
        </is>
      </c>
      <c r="B28" s="27" t="inlineStr">
        <is>
          <t>GRP_A2</t>
        </is>
      </c>
      <c r="C28" s="28" t="n">
        <v>2028</v>
      </c>
      <c r="D28" s="27" t="inlineStr">
        <is>
          <t>INST-009</t>
        </is>
      </c>
      <c r="E28" s="27" t="inlineStr">
        <is>
          <t>Installation I1</t>
        </is>
      </c>
      <c r="F28" s="27" t="inlineStr">
        <is>
          <t>2 ans</t>
        </is>
      </c>
      <c r="G28" s="27" t="inlineStr">
        <is>
          <t>TYPE_B</t>
        </is>
      </c>
    </row>
    <row r="29">
      <c r="A29" s="27" t="inlineStr">
        <is>
          <t>PERIM_A</t>
        </is>
      </c>
      <c r="B29" s="27" t="inlineStr">
        <is>
          <t>GRP_A2</t>
        </is>
      </c>
      <c r="C29" s="28" t="n">
        <v>2026</v>
      </c>
      <c r="D29" s="27" t="inlineStr">
        <is>
          <t>INST-009</t>
        </is>
      </c>
      <c r="E29" s="27" t="inlineStr">
        <is>
          <t>Installation I1</t>
        </is>
      </c>
      <c r="F29" s="27" t="inlineStr">
        <is>
          <t>2 ans</t>
        </is>
      </c>
      <c r="G29" s="27" t="inlineStr">
        <is>
          <t>TYPE_E</t>
        </is>
      </c>
    </row>
    <row r="30">
      <c r="A30" s="27" t="inlineStr">
        <is>
          <t>PERIM_A</t>
        </is>
      </c>
      <c r="B30" s="27" t="inlineStr">
        <is>
          <t>GRP_A2</t>
        </is>
      </c>
      <c r="C30" s="28" t="n">
        <v>2027</v>
      </c>
      <c r="D30" s="27" t="inlineStr">
        <is>
          <t>INST-009</t>
        </is>
      </c>
      <c r="E30" s="27" t="inlineStr">
        <is>
          <t>Installation I1</t>
        </is>
      </c>
      <c r="F30" s="27" t="inlineStr">
        <is>
          <t>2 ans</t>
        </is>
      </c>
      <c r="G30" s="27" t="inlineStr">
        <is>
          <t>TYPE_B</t>
        </is>
      </c>
    </row>
    <row r="31">
      <c r="A31" s="27" t="inlineStr">
        <is>
          <t>PERIM_A</t>
        </is>
      </c>
      <c r="B31" s="27" t="inlineStr">
        <is>
          <t>GRP_A2</t>
        </is>
      </c>
      <c r="C31" s="28" t="n">
        <v>2028</v>
      </c>
      <c r="D31" s="27" t="inlineStr">
        <is>
          <t>INST-010</t>
        </is>
      </c>
      <c r="E31" s="27" t="inlineStr">
        <is>
          <t>Installation J1</t>
        </is>
      </c>
      <c r="F31" s="27" t="inlineStr">
        <is>
          <t>6 ans</t>
        </is>
      </c>
      <c r="G31" s="27" t="inlineStr">
        <is>
          <t>TYPE_D</t>
        </is>
      </c>
    </row>
    <row r="32">
      <c r="A32" s="27" t="inlineStr">
        <is>
          <t>PERIM_A</t>
        </is>
      </c>
      <c r="B32" s="27" t="inlineStr">
        <is>
          <t>GRP_A2</t>
        </is>
      </c>
      <c r="C32" s="28" t="n">
        <v>2027</v>
      </c>
      <c r="D32" s="27" t="inlineStr">
        <is>
          <t>INST-010</t>
        </is>
      </c>
      <c r="E32" s="27" t="inlineStr">
        <is>
          <t>Installation J1</t>
        </is>
      </c>
      <c r="F32" s="27" t="inlineStr">
        <is>
          <t>3 ans</t>
        </is>
      </c>
      <c r="G32" s="27" t="inlineStr">
        <is>
          <t>TYPE_C</t>
        </is>
      </c>
    </row>
    <row r="33">
      <c r="A33" s="27" t="inlineStr">
        <is>
          <t>PERIM_A</t>
        </is>
      </c>
      <c r="B33" s="27" t="inlineStr">
        <is>
          <t>GRP_A2</t>
        </is>
      </c>
      <c r="C33" s="28" t="n">
        <v>2027</v>
      </c>
      <c r="D33" s="27" t="inlineStr">
        <is>
          <t>INST-010</t>
        </is>
      </c>
      <c r="E33" s="27" t="inlineStr">
        <is>
          <t>Installation J1</t>
        </is>
      </c>
      <c r="F33" s="27" t="inlineStr">
        <is>
          <t>1 an</t>
        </is>
      </c>
      <c r="G33" s="27" t="inlineStr">
        <is>
          <t>TYPE_A</t>
        </is>
      </c>
    </row>
    <row r="34">
      <c r="A34" s="27" t="inlineStr">
        <is>
          <t>PERIM_A</t>
        </is>
      </c>
      <c r="B34" s="27" t="inlineStr">
        <is>
          <t>GRP_A2</t>
        </is>
      </c>
      <c r="C34" s="28" t="n">
        <v>2027</v>
      </c>
      <c r="D34" s="27" t="inlineStr">
        <is>
          <t>INST-010</t>
        </is>
      </c>
      <c r="E34" s="27" t="inlineStr">
        <is>
          <t>Installation J1</t>
        </is>
      </c>
      <c r="F34" s="27" t="inlineStr">
        <is>
          <t>1 an</t>
        </is>
      </c>
      <c r="G34" s="27" t="inlineStr">
        <is>
          <t>TYPE_A</t>
        </is>
      </c>
    </row>
    <row r="35">
      <c r="A35" s="27" t="inlineStr">
        <is>
          <t>PERIM_A</t>
        </is>
      </c>
      <c r="B35" s="27" t="inlineStr">
        <is>
          <t>GRP_A2</t>
        </is>
      </c>
      <c r="C35" s="28" t="n">
        <v>2027</v>
      </c>
      <c r="D35" s="27" t="inlineStr">
        <is>
          <t>INST-011</t>
        </is>
      </c>
      <c r="E35" s="27" t="inlineStr">
        <is>
          <t>Installation K1</t>
        </is>
      </c>
      <c r="F35" s="27" t="inlineStr">
        <is>
          <t>1 an</t>
        </is>
      </c>
      <c r="G35" s="27" t="inlineStr">
        <is>
          <t>TYPE_A</t>
        </is>
      </c>
    </row>
    <row r="36">
      <c r="A36" s="27" t="inlineStr">
        <is>
          <t>PERIM_A</t>
        </is>
      </c>
      <c r="B36" s="27" t="inlineStr">
        <is>
          <t>GRP_A2</t>
        </is>
      </c>
      <c r="C36" s="28" t="n">
        <v>2027</v>
      </c>
      <c r="D36" s="27" t="inlineStr">
        <is>
          <t>INST-011</t>
        </is>
      </c>
      <c r="E36" s="27" t="inlineStr">
        <is>
          <t>Installation K1</t>
        </is>
      </c>
      <c r="F36" s="27" t="inlineStr">
        <is>
          <t>6 ans</t>
        </is>
      </c>
      <c r="G36" s="27" t="inlineStr">
        <is>
          <t>TYPE_D</t>
        </is>
      </c>
    </row>
    <row r="37">
      <c r="A37" s="27" t="inlineStr">
        <is>
          <t>PERIM_A</t>
        </is>
      </c>
      <c r="B37" s="27" t="inlineStr">
        <is>
          <t>GRP_A2</t>
        </is>
      </c>
      <c r="C37" s="28" t="n">
        <v>2029</v>
      </c>
      <c r="D37" s="27" t="inlineStr">
        <is>
          <t>INST-011</t>
        </is>
      </c>
      <c r="E37" s="27" t="inlineStr">
        <is>
          <t>Installation K1</t>
        </is>
      </c>
      <c r="F37" s="27" t="inlineStr">
        <is>
          <t>1 an</t>
        </is>
      </c>
      <c r="G37" s="27" t="inlineStr">
        <is>
          <t>TYPE_A</t>
        </is>
      </c>
    </row>
    <row r="38">
      <c r="A38" s="27" t="inlineStr">
        <is>
          <t>PERIM_A</t>
        </is>
      </c>
      <c r="B38" s="27" t="inlineStr">
        <is>
          <t>GRP_A2</t>
        </is>
      </c>
      <c r="C38" s="28" t="n">
        <v>2027</v>
      </c>
      <c r="D38" s="27" t="inlineStr">
        <is>
          <t>INST-011</t>
        </is>
      </c>
      <c r="E38" s="27" t="inlineStr">
        <is>
          <t>Installation K1</t>
        </is>
      </c>
      <c r="F38" s="27" t="inlineStr">
        <is>
          <t>3 ans</t>
        </is>
      </c>
      <c r="G38" s="27" t="inlineStr">
        <is>
          <t>TYPE_C</t>
        </is>
      </c>
    </row>
    <row r="39">
      <c r="A39" s="27" t="inlineStr">
        <is>
          <t>PERIM_A</t>
        </is>
      </c>
      <c r="B39" s="27" t="inlineStr">
        <is>
          <t>GRP_A2</t>
        </is>
      </c>
      <c r="C39" s="28" t="n">
        <v>2028</v>
      </c>
      <c r="D39" s="27" t="inlineStr">
        <is>
          <t>INST-012</t>
        </is>
      </c>
      <c r="E39" s="27" t="inlineStr">
        <is>
          <t>Installation L1</t>
        </is>
      </c>
      <c r="F39" s="27" t="inlineStr">
        <is>
          <t>2 ans</t>
        </is>
      </c>
      <c r="G39" s="27" t="inlineStr">
        <is>
          <t>TYPE_E</t>
        </is>
      </c>
    </row>
    <row r="40">
      <c r="A40" s="27" t="inlineStr">
        <is>
          <t>PERIM_A</t>
        </is>
      </c>
      <c r="B40" s="27" t="inlineStr">
        <is>
          <t>GRP_A2</t>
        </is>
      </c>
      <c r="C40" s="28" t="n">
        <v>2026</v>
      </c>
      <c r="D40" s="27" t="inlineStr">
        <is>
          <t>INST-012</t>
        </is>
      </c>
      <c r="E40" s="27" t="inlineStr">
        <is>
          <t>Installation L1</t>
        </is>
      </c>
      <c r="F40" s="27" t="inlineStr">
        <is>
          <t>1 an</t>
        </is>
      </c>
      <c r="G40" s="27" t="inlineStr">
        <is>
          <t>TYPE_A</t>
        </is>
      </c>
    </row>
    <row r="41">
      <c r="A41" s="27" t="inlineStr">
        <is>
          <t>PERIM_A</t>
        </is>
      </c>
      <c r="B41" s="27" t="inlineStr">
        <is>
          <t>GRP_A2</t>
        </is>
      </c>
      <c r="C41" s="28" t="n">
        <v>2027</v>
      </c>
      <c r="D41" s="27" t="inlineStr">
        <is>
          <t>INST-012</t>
        </is>
      </c>
      <c r="E41" s="27" t="inlineStr">
        <is>
          <t>Installation L1</t>
        </is>
      </c>
      <c r="F41" s="27" t="inlineStr">
        <is>
          <t>1 an</t>
        </is>
      </c>
      <c r="G41" s="27" t="inlineStr">
        <is>
          <t>TYPE_A</t>
        </is>
      </c>
    </row>
    <row r="42">
      <c r="A42" s="27" t="inlineStr">
        <is>
          <t>PERIM_A</t>
        </is>
      </c>
      <c r="B42" s="27" t="inlineStr">
        <is>
          <t>GRP_A2</t>
        </is>
      </c>
      <c r="C42" s="28" t="n">
        <v>2029</v>
      </c>
      <c r="D42" s="27" t="inlineStr">
        <is>
          <t>INST-013</t>
        </is>
      </c>
      <c r="E42" s="27" t="inlineStr">
        <is>
          <t>Installation M1</t>
        </is>
      </c>
      <c r="F42" s="27" t="inlineStr">
        <is>
          <t>3 ans</t>
        </is>
      </c>
      <c r="G42" s="27" t="inlineStr">
        <is>
          <t>TYPE_C</t>
        </is>
      </c>
    </row>
    <row r="43">
      <c r="A43" s="27" t="inlineStr">
        <is>
          <t>PERIM_A</t>
        </is>
      </c>
      <c r="B43" s="27" t="inlineStr">
        <is>
          <t>GRP_A2</t>
        </is>
      </c>
      <c r="C43" s="28" t="n">
        <v>2026</v>
      </c>
      <c r="D43" s="27" t="inlineStr">
        <is>
          <t>INST-013</t>
        </is>
      </c>
      <c r="E43" s="27" t="inlineStr">
        <is>
          <t>Installation M1</t>
        </is>
      </c>
      <c r="F43" s="27" t="inlineStr">
        <is>
          <t>1 an</t>
        </is>
      </c>
      <c r="G43" s="27" t="inlineStr">
        <is>
          <t>TYPE_A</t>
        </is>
      </c>
    </row>
    <row r="44">
      <c r="A44" s="27" t="inlineStr">
        <is>
          <t>PERIM_A</t>
        </is>
      </c>
      <c r="B44" s="27" t="inlineStr">
        <is>
          <t>GRP_A2</t>
        </is>
      </c>
      <c r="C44" s="28" t="n">
        <v>2029</v>
      </c>
      <c r="D44" s="27" t="inlineStr">
        <is>
          <t>INST-014</t>
        </is>
      </c>
      <c r="E44" s="27" t="inlineStr">
        <is>
          <t>Installation N1</t>
        </is>
      </c>
      <c r="F44" s="27" t="inlineStr">
        <is>
          <t>6 ans</t>
        </is>
      </c>
      <c r="G44" s="27" t="inlineStr">
        <is>
          <t>TYPE_D</t>
        </is>
      </c>
    </row>
    <row r="45">
      <c r="A45" s="27" t="inlineStr">
        <is>
          <t>PERIM_A</t>
        </is>
      </c>
      <c r="B45" s="27" t="inlineStr">
        <is>
          <t>GRP_A2</t>
        </is>
      </c>
      <c r="C45" s="28" t="n">
        <v>2027</v>
      </c>
      <c r="D45" s="27" t="inlineStr">
        <is>
          <t>INST-014</t>
        </is>
      </c>
      <c r="E45" s="27" t="inlineStr">
        <is>
          <t>Installation N1</t>
        </is>
      </c>
      <c r="F45" s="27" t="inlineStr">
        <is>
          <t>1 an</t>
        </is>
      </c>
      <c r="G45" s="27" t="inlineStr">
        <is>
          <t>TYPE_A</t>
        </is>
      </c>
    </row>
    <row r="46">
      <c r="A46" s="27" t="inlineStr">
        <is>
          <t>PERIM_A</t>
        </is>
      </c>
      <c r="B46" s="27" t="inlineStr">
        <is>
          <t>GRP_A2</t>
        </is>
      </c>
      <c r="C46" s="28" t="n">
        <v>2029</v>
      </c>
      <c r="D46" s="27" t="inlineStr">
        <is>
          <t>INST-014</t>
        </is>
      </c>
      <c r="E46" s="27" t="inlineStr">
        <is>
          <t>Installation N1</t>
        </is>
      </c>
      <c r="F46" s="27" t="inlineStr">
        <is>
          <t>3 ans</t>
        </is>
      </c>
      <c r="G46" s="27" t="inlineStr">
        <is>
          <t>TYPE_C</t>
        </is>
      </c>
    </row>
    <row r="47">
      <c r="A47" s="27" t="inlineStr">
        <is>
          <t>PERIM_A</t>
        </is>
      </c>
      <c r="B47" s="27" t="inlineStr">
        <is>
          <t>GRP_A2</t>
        </is>
      </c>
      <c r="C47" s="28" t="n">
        <v>2027</v>
      </c>
      <c r="D47" s="27" t="inlineStr">
        <is>
          <t>INST-015</t>
        </is>
      </c>
      <c r="E47" s="27" t="inlineStr">
        <is>
          <t>Installation O1</t>
        </is>
      </c>
      <c r="F47" s="27" t="inlineStr">
        <is>
          <t>2 ans</t>
        </is>
      </c>
      <c r="G47" s="27" t="inlineStr">
        <is>
          <t>TYPE_B</t>
        </is>
      </c>
    </row>
    <row r="48">
      <c r="A48" s="27" t="inlineStr">
        <is>
          <t>PERIM_A</t>
        </is>
      </c>
      <c r="B48" s="27" t="inlineStr">
        <is>
          <t>GRP_A2</t>
        </is>
      </c>
      <c r="C48" s="28" t="n">
        <v>2032</v>
      </c>
      <c r="D48" s="27" t="inlineStr">
        <is>
          <t>INST-015</t>
        </is>
      </c>
      <c r="E48" s="27" t="inlineStr">
        <is>
          <t>Installation O1</t>
        </is>
      </c>
      <c r="F48" s="27" t="inlineStr">
        <is>
          <t>2 ans</t>
        </is>
      </c>
      <c r="G48" s="27" t="inlineStr">
        <is>
          <t>TYPE_B</t>
        </is>
      </c>
    </row>
    <row r="49">
      <c r="A49" s="27" t="inlineStr">
        <is>
          <t>PERIM_A</t>
        </is>
      </c>
      <c r="B49" s="27" t="inlineStr">
        <is>
          <t>GRP_A2</t>
        </is>
      </c>
      <c r="C49" s="28" t="n">
        <v>2030</v>
      </c>
      <c r="D49" s="27" t="inlineStr">
        <is>
          <t>INST-015</t>
        </is>
      </c>
      <c r="E49" s="27" t="inlineStr">
        <is>
          <t>Installation O1</t>
        </is>
      </c>
      <c r="F49" s="27" t="inlineStr">
        <is>
          <t>3 ans</t>
        </is>
      </c>
      <c r="G49" s="27" t="inlineStr">
        <is>
          <t>TYPE_C</t>
        </is>
      </c>
    </row>
    <row r="50">
      <c r="A50" s="27" t="inlineStr">
        <is>
          <t>PERIM_A</t>
        </is>
      </c>
      <c r="B50" s="27" t="inlineStr">
        <is>
          <t>GRP_A2</t>
        </is>
      </c>
      <c r="C50" s="28" t="n">
        <v>2027</v>
      </c>
      <c r="D50" s="27" t="inlineStr">
        <is>
          <t>INST-015</t>
        </is>
      </c>
      <c r="E50" s="27" t="inlineStr">
        <is>
          <t>Installation O1</t>
        </is>
      </c>
      <c r="F50" s="27" t="inlineStr">
        <is>
          <t>1 an</t>
        </is>
      </c>
      <c r="G50" s="27" t="inlineStr">
        <is>
          <t>TYPE_A</t>
        </is>
      </c>
    </row>
    <row r="51">
      <c r="A51" s="27" t="inlineStr">
        <is>
          <t>PERIM_A</t>
        </is>
      </c>
      <c r="B51" s="27" t="inlineStr">
        <is>
          <t>GRP_A2</t>
        </is>
      </c>
      <c r="C51" s="28" t="n">
        <v>2026</v>
      </c>
      <c r="D51" s="27" t="inlineStr">
        <is>
          <t>INST-016</t>
        </is>
      </c>
      <c r="E51" s="27" t="inlineStr">
        <is>
          <t>Installation P1</t>
        </is>
      </c>
      <c r="F51" s="27" t="inlineStr">
        <is>
          <t>2 ans</t>
        </is>
      </c>
      <c r="G51" s="27" t="inlineStr">
        <is>
          <t>TYPE_B</t>
        </is>
      </c>
    </row>
    <row r="52">
      <c r="A52" s="27" t="inlineStr">
        <is>
          <t>PERIM_A</t>
        </is>
      </c>
      <c r="B52" s="27" t="inlineStr">
        <is>
          <t>GRP_A2</t>
        </is>
      </c>
      <c r="C52" s="28" t="n">
        <v>2027</v>
      </c>
      <c r="D52" s="27" t="inlineStr">
        <is>
          <t>INST-016</t>
        </is>
      </c>
      <c r="E52" s="27" t="inlineStr">
        <is>
          <t>Installation P1</t>
        </is>
      </c>
      <c r="F52" s="27" t="inlineStr">
        <is>
          <t>1 an</t>
        </is>
      </c>
      <c r="G52" s="27" t="inlineStr">
        <is>
          <t>TYPE_A</t>
        </is>
      </c>
    </row>
    <row r="53">
      <c r="A53" s="27" t="inlineStr">
        <is>
          <t>PERIM_B</t>
        </is>
      </c>
      <c r="B53" s="27" t="inlineStr">
        <is>
          <t>GRP_B1</t>
        </is>
      </c>
      <c r="C53" s="28" t="n">
        <v>2029</v>
      </c>
      <c r="D53" s="27" t="inlineStr">
        <is>
          <t>INST-017</t>
        </is>
      </c>
      <c r="E53" s="27" t="inlineStr">
        <is>
          <t>Installation Q1</t>
        </is>
      </c>
      <c r="F53" s="27" t="inlineStr">
        <is>
          <t>6 ans</t>
        </is>
      </c>
      <c r="G53" s="27" t="inlineStr">
        <is>
          <t>TYPE_D</t>
        </is>
      </c>
    </row>
    <row r="54">
      <c r="A54" s="27" t="inlineStr">
        <is>
          <t>PERIM_B</t>
        </is>
      </c>
      <c r="B54" s="27" t="inlineStr">
        <is>
          <t>GRP_B1</t>
        </is>
      </c>
      <c r="C54" s="28" t="n">
        <v>2027</v>
      </c>
      <c r="D54" s="27" t="inlineStr">
        <is>
          <t>INST-017</t>
        </is>
      </c>
      <c r="E54" s="27" t="inlineStr">
        <is>
          <t>Installation Q1</t>
        </is>
      </c>
      <c r="F54" s="27" t="inlineStr">
        <is>
          <t>6 ans</t>
        </is>
      </c>
      <c r="G54" s="27" t="inlineStr">
        <is>
          <t>TYPE_D</t>
        </is>
      </c>
    </row>
    <row r="55">
      <c r="A55" s="27" t="inlineStr">
        <is>
          <t>PERIM_B</t>
        </is>
      </c>
      <c r="B55" s="27" t="inlineStr">
        <is>
          <t>GRP_B1</t>
        </is>
      </c>
      <c r="C55" s="28" t="n">
        <v>2031</v>
      </c>
      <c r="D55" s="27" t="inlineStr">
        <is>
          <t>INST-018</t>
        </is>
      </c>
      <c r="E55" s="27" t="inlineStr">
        <is>
          <t>Installation R1</t>
        </is>
      </c>
      <c r="F55" s="27" t="inlineStr">
        <is>
          <t>3 ans</t>
        </is>
      </c>
      <c r="G55" s="27" t="inlineStr">
        <is>
          <t>TYPE_C</t>
        </is>
      </c>
    </row>
    <row r="56">
      <c r="A56" s="27" t="inlineStr">
        <is>
          <t>PERIM_B</t>
        </is>
      </c>
      <c r="B56" s="27" t="inlineStr">
        <is>
          <t>GRP_B1</t>
        </is>
      </c>
      <c r="C56" s="28" t="n">
        <v>2029</v>
      </c>
      <c r="D56" s="27" t="inlineStr">
        <is>
          <t>INST-018</t>
        </is>
      </c>
      <c r="E56" s="27" t="inlineStr">
        <is>
          <t>Installation R1</t>
        </is>
      </c>
      <c r="F56" s="27" t="inlineStr">
        <is>
          <t>1 an</t>
        </is>
      </c>
      <c r="G56" s="27" t="inlineStr">
        <is>
          <t>TYPE_A</t>
        </is>
      </c>
    </row>
    <row r="57">
      <c r="A57" s="27" t="inlineStr">
        <is>
          <t>PERIM_B</t>
        </is>
      </c>
      <c r="B57" s="27" t="inlineStr">
        <is>
          <t>GRP_B1</t>
        </is>
      </c>
      <c r="C57" s="28" t="n">
        <v>2027</v>
      </c>
      <c r="D57" s="27" t="inlineStr">
        <is>
          <t>INST-018</t>
        </is>
      </c>
      <c r="E57" s="27" t="inlineStr">
        <is>
          <t>Installation R1</t>
        </is>
      </c>
      <c r="F57" s="27" t="inlineStr">
        <is>
          <t>2 ans</t>
        </is>
      </c>
      <c r="G57" s="27" t="inlineStr">
        <is>
          <t>TYPE_B</t>
        </is>
      </c>
    </row>
    <row r="58">
      <c r="A58" s="27" t="inlineStr">
        <is>
          <t>PERIM_B</t>
        </is>
      </c>
      <c r="B58" s="27" t="inlineStr">
        <is>
          <t>GRP_B1</t>
        </is>
      </c>
      <c r="C58" s="28" t="n">
        <v>2027</v>
      </c>
      <c r="D58" s="27" t="inlineStr">
        <is>
          <t>INST-018</t>
        </is>
      </c>
      <c r="E58" s="27" t="inlineStr">
        <is>
          <t>Installation R1</t>
        </is>
      </c>
      <c r="F58" s="27" t="inlineStr">
        <is>
          <t>6 ans</t>
        </is>
      </c>
      <c r="G58" s="27" t="inlineStr">
        <is>
          <t>TYPE_D</t>
        </is>
      </c>
    </row>
    <row r="59">
      <c r="A59" s="27" t="inlineStr">
        <is>
          <t>PERIM_B</t>
        </is>
      </c>
      <c r="B59" s="27" t="inlineStr">
        <is>
          <t>GRP_B1</t>
        </is>
      </c>
      <c r="C59" s="28" t="n">
        <v>2029</v>
      </c>
      <c r="D59" s="27" t="inlineStr">
        <is>
          <t>INST-019</t>
        </is>
      </c>
      <c r="E59" s="27" t="inlineStr">
        <is>
          <t>Installation S1</t>
        </is>
      </c>
      <c r="F59" s="27" t="inlineStr">
        <is>
          <t>3 ans</t>
        </is>
      </c>
      <c r="G59" s="27" t="inlineStr">
        <is>
          <t>TYPE_C</t>
        </is>
      </c>
    </row>
    <row r="60">
      <c r="A60" s="27" t="inlineStr">
        <is>
          <t>PERIM_B</t>
        </is>
      </c>
      <c r="B60" s="27" t="inlineStr">
        <is>
          <t>GRP_B1</t>
        </is>
      </c>
      <c r="C60" s="28" t="n">
        <v>2030</v>
      </c>
      <c r="D60" s="27" t="inlineStr">
        <is>
          <t>INST-019</t>
        </is>
      </c>
      <c r="E60" s="27" t="inlineStr">
        <is>
          <t>Installation S1</t>
        </is>
      </c>
      <c r="F60" s="27" t="inlineStr">
        <is>
          <t>2 ans</t>
        </is>
      </c>
      <c r="G60" s="27" t="inlineStr">
        <is>
          <t>TYPE_E</t>
        </is>
      </c>
    </row>
    <row r="61">
      <c r="A61" s="27" t="inlineStr">
        <is>
          <t>PERIM_B</t>
        </is>
      </c>
      <c r="B61" s="27" t="inlineStr">
        <is>
          <t>GRP_B1</t>
        </is>
      </c>
      <c r="C61" s="28" t="n">
        <v>2029</v>
      </c>
      <c r="D61" s="27" t="inlineStr">
        <is>
          <t>INST-019</t>
        </is>
      </c>
      <c r="E61" s="27" t="inlineStr">
        <is>
          <t>Installation S1</t>
        </is>
      </c>
      <c r="F61" s="27" t="inlineStr">
        <is>
          <t>2 ans</t>
        </is>
      </c>
      <c r="G61" s="27" t="inlineStr">
        <is>
          <t>TYPE_B</t>
        </is>
      </c>
    </row>
    <row r="62">
      <c r="A62" s="27" t="inlineStr">
        <is>
          <t>PERIM_B</t>
        </is>
      </c>
      <c r="B62" s="27" t="inlineStr">
        <is>
          <t>GRP_B1</t>
        </is>
      </c>
      <c r="C62" s="28" t="n">
        <v>2029</v>
      </c>
      <c r="D62" s="27" t="inlineStr">
        <is>
          <t>INST-020</t>
        </is>
      </c>
      <c r="E62" s="27" t="inlineStr">
        <is>
          <t>Installation T1</t>
        </is>
      </c>
      <c r="F62" s="27" t="inlineStr">
        <is>
          <t>2 ans</t>
        </is>
      </c>
      <c r="G62" s="27" t="inlineStr">
        <is>
          <t>TYPE_E</t>
        </is>
      </c>
    </row>
    <row r="63">
      <c r="A63" s="27" t="inlineStr">
        <is>
          <t>PERIM_B</t>
        </is>
      </c>
      <c r="B63" s="27" t="inlineStr">
        <is>
          <t>GRP_B1</t>
        </is>
      </c>
      <c r="C63" s="28" t="n">
        <v>2027</v>
      </c>
      <c r="D63" s="27" t="inlineStr">
        <is>
          <t>INST-020</t>
        </is>
      </c>
      <c r="E63" s="27" t="inlineStr">
        <is>
          <t>Installation T1</t>
        </is>
      </c>
      <c r="F63" s="27" t="inlineStr">
        <is>
          <t>2 ans</t>
        </is>
      </c>
      <c r="G63" s="27" t="inlineStr">
        <is>
          <t>TYPE_B</t>
        </is>
      </c>
    </row>
    <row r="64">
      <c r="A64" s="27" t="inlineStr">
        <is>
          <t>PERIM_B</t>
        </is>
      </c>
      <c r="B64" s="27" t="inlineStr">
        <is>
          <t>GRP_B1</t>
        </is>
      </c>
      <c r="C64" s="28" t="n">
        <v>2029</v>
      </c>
      <c r="D64" s="27" t="inlineStr">
        <is>
          <t>INST-020</t>
        </is>
      </c>
      <c r="E64" s="27" t="inlineStr">
        <is>
          <t>Installation T1</t>
        </is>
      </c>
      <c r="F64" s="27" t="inlineStr">
        <is>
          <t>2 ans</t>
        </is>
      </c>
      <c r="G64" s="27" t="inlineStr">
        <is>
          <t>TYPE_E</t>
        </is>
      </c>
    </row>
    <row r="65">
      <c r="A65" s="27" t="inlineStr">
        <is>
          <t>PERIM_B</t>
        </is>
      </c>
      <c r="B65" s="27" t="inlineStr">
        <is>
          <t>GRP_B1</t>
        </is>
      </c>
      <c r="C65" s="28" t="n">
        <v>2027</v>
      </c>
      <c r="D65" s="27" t="inlineStr">
        <is>
          <t>INST-021</t>
        </is>
      </c>
      <c r="E65" s="27" t="inlineStr">
        <is>
          <t>Installation U1</t>
        </is>
      </c>
      <c r="F65" s="27" t="inlineStr">
        <is>
          <t>1 an</t>
        </is>
      </c>
      <c r="G65" s="27" t="inlineStr">
        <is>
          <t>TYPE_A</t>
        </is>
      </c>
    </row>
    <row r="66">
      <c r="A66" s="27" t="inlineStr">
        <is>
          <t>PERIM_B</t>
        </is>
      </c>
      <c r="B66" s="27" t="inlineStr">
        <is>
          <t>GRP_B1</t>
        </is>
      </c>
      <c r="C66" s="28" t="n">
        <v>2027</v>
      </c>
      <c r="D66" s="27" t="inlineStr">
        <is>
          <t>INST-021</t>
        </is>
      </c>
      <c r="E66" s="27" t="inlineStr">
        <is>
          <t>Installation U1</t>
        </is>
      </c>
      <c r="F66" s="27" t="inlineStr">
        <is>
          <t>3 ans</t>
        </is>
      </c>
      <c r="G66" s="27" t="inlineStr">
        <is>
          <t>TYPE_C</t>
        </is>
      </c>
    </row>
    <row r="67">
      <c r="A67" s="27" t="inlineStr">
        <is>
          <t>PERIM_B</t>
        </is>
      </c>
      <c r="B67" s="27" t="inlineStr">
        <is>
          <t>GRP_B1</t>
        </is>
      </c>
      <c r="C67" s="28" t="n">
        <v>2027</v>
      </c>
      <c r="D67" s="27" t="inlineStr">
        <is>
          <t>INST-021</t>
        </is>
      </c>
      <c r="E67" s="27" t="inlineStr">
        <is>
          <t>Installation U1</t>
        </is>
      </c>
      <c r="F67" s="27" t="inlineStr">
        <is>
          <t>2 ans</t>
        </is>
      </c>
      <c r="G67" s="27" t="inlineStr">
        <is>
          <t>TYPE_B</t>
        </is>
      </c>
    </row>
    <row r="68">
      <c r="A68" s="27" t="inlineStr">
        <is>
          <t>PERIM_B</t>
        </is>
      </c>
      <c r="B68" s="27" t="inlineStr">
        <is>
          <t>GRP_B1</t>
        </is>
      </c>
      <c r="C68" s="28" t="n">
        <v>2027</v>
      </c>
      <c r="D68" s="27" t="inlineStr">
        <is>
          <t>INST-021</t>
        </is>
      </c>
      <c r="E68" s="27" t="inlineStr">
        <is>
          <t>Installation U1</t>
        </is>
      </c>
      <c r="F68" s="27" t="inlineStr">
        <is>
          <t>1 an</t>
        </is>
      </c>
      <c r="G68" s="27" t="inlineStr">
        <is>
          <t>TYPE_A</t>
        </is>
      </c>
    </row>
    <row r="69">
      <c r="A69" s="27" t="inlineStr">
        <is>
          <t>PERIM_B</t>
        </is>
      </c>
      <c r="B69" s="27" t="inlineStr">
        <is>
          <t>GRP_B1</t>
        </is>
      </c>
      <c r="C69" s="28" t="n">
        <v>2030</v>
      </c>
      <c r="D69" s="27" t="inlineStr">
        <is>
          <t>INST-022</t>
        </is>
      </c>
      <c r="E69" s="27" t="inlineStr">
        <is>
          <t>Installation V1</t>
        </is>
      </c>
      <c r="F69" s="27" t="inlineStr">
        <is>
          <t>2 ans</t>
        </is>
      </c>
      <c r="G69" s="27" t="inlineStr">
        <is>
          <t>TYPE_B</t>
        </is>
      </c>
    </row>
    <row r="70">
      <c r="A70" s="27" t="inlineStr">
        <is>
          <t>PERIM_B</t>
        </is>
      </c>
      <c r="B70" s="27" t="inlineStr">
        <is>
          <t>GRP_B1</t>
        </is>
      </c>
      <c r="C70" s="28" t="n">
        <v>2027</v>
      </c>
      <c r="D70" s="27" t="inlineStr">
        <is>
          <t>INST-022</t>
        </is>
      </c>
      <c r="E70" s="27" t="inlineStr">
        <is>
          <t>Installation V1</t>
        </is>
      </c>
      <c r="F70" s="27" t="inlineStr">
        <is>
          <t>1 an</t>
        </is>
      </c>
      <c r="G70" s="27" t="inlineStr">
        <is>
          <t>TYPE_A</t>
        </is>
      </c>
    </row>
    <row r="71">
      <c r="A71" s="27" t="inlineStr">
        <is>
          <t>PERIM_B</t>
        </is>
      </c>
      <c r="B71" s="27" t="inlineStr">
        <is>
          <t>GRP_B1</t>
        </is>
      </c>
      <c r="C71" s="28" t="n">
        <v>2028</v>
      </c>
      <c r="D71" s="27" t="inlineStr">
        <is>
          <t>INST-023</t>
        </is>
      </c>
      <c r="E71" s="27" t="inlineStr">
        <is>
          <t>Installation W1</t>
        </is>
      </c>
      <c r="F71" s="27" t="inlineStr">
        <is>
          <t>1 an</t>
        </is>
      </c>
      <c r="G71" s="27" t="inlineStr">
        <is>
          <t>TYPE_A</t>
        </is>
      </c>
    </row>
    <row r="72">
      <c r="A72" s="27" t="inlineStr">
        <is>
          <t>PERIM_B</t>
        </is>
      </c>
      <c r="B72" s="27" t="inlineStr">
        <is>
          <t>GRP_B1</t>
        </is>
      </c>
      <c r="C72" s="28" t="n">
        <v>2030</v>
      </c>
      <c r="D72" s="27" t="inlineStr">
        <is>
          <t>INST-023</t>
        </is>
      </c>
      <c r="E72" s="27" t="inlineStr">
        <is>
          <t>Installation W1</t>
        </is>
      </c>
      <c r="F72" s="27" t="inlineStr">
        <is>
          <t>2 ans</t>
        </is>
      </c>
      <c r="G72" s="27" t="inlineStr">
        <is>
          <t>TYPE_E</t>
        </is>
      </c>
    </row>
    <row r="73">
      <c r="A73" s="27" t="inlineStr">
        <is>
          <t>PERIM_B</t>
        </is>
      </c>
      <c r="B73" s="27" t="inlineStr">
        <is>
          <t>GRP_B1</t>
        </is>
      </c>
      <c r="C73" s="28" t="n">
        <v>2029</v>
      </c>
      <c r="D73" s="27" t="inlineStr">
        <is>
          <t>INST-023</t>
        </is>
      </c>
      <c r="E73" s="27" t="inlineStr">
        <is>
          <t>Installation W1</t>
        </is>
      </c>
      <c r="F73" s="27" t="inlineStr">
        <is>
          <t>6 ans</t>
        </is>
      </c>
      <c r="G73" s="27" t="inlineStr">
        <is>
          <t>TYPE_D</t>
        </is>
      </c>
    </row>
    <row r="74">
      <c r="A74" s="27" t="inlineStr">
        <is>
          <t>PERIM_B</t>
        </is>
      </c>
      <c r="B74" s="27" t="inlineStr">
        <is>
          <t>GRP_B1</t>
        </is>
      </c>
      <c r="C74" s="28" t="n">
        <v>2032</v>
      </c>
      <c r="D74" s="27" t="inlineStr">
        <is>
          <t>INST-024</t>
        </is>
      </c>
      <c r="E74" s="27" t="inlineStr">
        <is>
          <t>Installation X1</t>
        </is>
      </c>
      <c r="F74" s="27" t="inlineStr">
        <is>
          <t>3 ans</t>
        </is>
      </c>
      <c r="G74" s="27" t="inlineStr">
        <is>
          <t>TYPE_C</t>
        </is>
      </c>
    </row>
    <row r="75">
      <c r="A75" s="27" t="inlineStr">
        <is>
          <t>PERIM_B</t>
        </is>
      </c>
      <c r="B75" s="27" t="inlineStr">
        <is>
          <t>GRP_B1</t>
        </is>
      </c>
      <c r="C75" s="28" t="n">
        <v>2027</v>
      </c>
      <c r="D75" s="27" t="inlineStr">
        <is>
          <t>INST-024</t>
        </is>
      </c>
      <c r="E75" s="27" t="inlineStr">
        <is>
          <t>Installation X1</t>
        </is>
      </c>
      <c r="F75" s="27" t="inlineStr">
        <is>
          <t>2 ans</t>
        </is>
      </c>
      <c r="G75" s="27" t="inlineStr">
        <is>
          <t>TYPE_B</t>
        </is>
      </c>
    </row>
    <row r="76">
      <c r="A76" s="27" t="inlineStr">
        <is>
          <t>PERIM_B</t>
        </is>
      </c>
      <c r="B76" s="27" t="inlineStr">
        <is>
          <t>GRP_B2</t>
        </is>
      </c>
      <c r="C76" s="28" t="n">
        <v>2032</v>
      </c>
      <c r="D76" s="27" t="inlineStr">
        <is>
          <t>INST-025</t>
        </is>
      </c>
      <c r="E76" s="27" t="inlineStr">
        <is>
          <t>Installation Y1</t>
        </is>
      </c>
      <c r="F76" s="27" t="inlineStr">
        <is>
          <t>2 ans</t>
        </is>
      </c>
      <c r="G76" s="27" t="inlineStr">
        <is>
          <t>TYPE_E</t>
        </is>
      </c>
    </row>
    <row r="77">
      <c r="A77" s="27" t="inlineStr">
        <is>
          <t>PERIM_B</t>
        </is>
      </c>
      <c r="B77" s="27" t="inlineStr">
        <is>
          <t>GRP_B2</t>
        </is>
      </c>
      <c r="C77" s="28" t="n">
        <v>2027</v>
      </c>
      <c r="D77" s="27" t="inlineStr">
        <is>
          <t>INST-025</t>
        </is>
      </c>
      <c r="E77" s="27" t="inlineStr">
        <is>
          <t>Installation Y1</t>
        </is>
      </c>
      <c r="F77" s="27" t="inlineStr">
        <is>
          <t>6 ans</t>
        </is>
      </c>
      <c r="G77" s="27" t="inlineStr">
        <is>
          <t>TYPE_D</t>
        </is>
      </c>
    </row>
    <row r="78">
      <c r="A78" s="27" t="inlineStr">
        <is>
          <t>PERIM_B</t>
        </is>
      </c>
      <c r="B78" s="27" t="inlineStr">
        <is>
          <t>GRP_B2</t>
        </is>
      </c>
      <c r="C78" s="28" t="n">
        <v>2027</v>
      </c>
      <c r="D78" s="27" t="inlineStr">
        <is>
          <t>INST-025</t>
        </is>
      </c>
      <c r="E78" s="27" t="inlineStr">
        <is>
          <t>Installation Y1</t>
        </is>
      </c>
      <c r="F78" s="27" t="inlineStr">
        <is>
          <t>2 ans</t>
        </is>
      </c>
      <c r="G78" s="27" t="inlineStr">
        <is>
          <t>TYPE_E</t>
        </is>
      </c>
    </row>
    <row r="79">
      <c r="A79" s="27" t="inlineStr">
        <is>
          <t>PERIM_B</t>
        </is>
      </c>
      <c r="B79" s="27" t="inlineStr">
        <is>
          <t>GRP_B2</t>
        </is>
      </c>
      <c r="C79" s="28" t="n">
        <v>2027</v>
      </c>
      <c r="D79" s="27" t="inlineStr">
        <is>
          <t>INST-025</t>
        </is>
      </c>
      <c r="E79" s="27" t="inlineStr">
        <is>
          <t>Installation Y1</t>
        </is>
      </c>
      <c r="F79" s="27" t="inlineStr">
        <is>
          <t>2 ans</t>
        </is>
      </c>
      <c r="G79" s="27" t="inlineStr">
        <is>
          <t>TYPE_B</t>
        </is>
      </c>
    </row>
    <row r="80">
      <c r="A80" s="27" t="inlineStr">
        <is>
          <t>PERIM_B</t>
        </is>
      </c>
      <c r="B80" s="27" t="inlineStr">
        <is>
          <t>GRP_B2</t>
        </is>
      </c>
      <c r="C80" s="28" t="n">
        <v>2028</v>
      </c>
      <c r="D80" s="27" t="inlineStr">
        <is>
          <t>INST-026</t>
        </is>
      </c>
      <c r="E80" s="27" t="inlineStr">
        <is>
          <t>Installation Z1</t>
        </is>
      </c>
      <c r="F80" s="27" t="inlineStr">
        <is>
          <t>2 ans</t>
        </is>
      </c>
      <c r="G80" s="27" t="inlineStr">
        <is>
          <t>TYPE_B</t>
        </is>
      </c>
    </row>
    <row r="81">
      <c r="A81" s="27" t="inlineStr">
        <is>
          <t>PERIM_B</t>
        </is>
      </c>
      <c r="B81" s="27" t="inlineStr">
        <is>
          <t>GRP_B2</t>
        </is>
      </c>
      <c r="C81" s="28" t="n">
        <v>2031</v>
      </c>
      <c r="D81" s="27" t="inlineStr">
        <is>
          <t>INST-026</t>
        </is>
      </c>
      <c r="E81" s="27" t="inlineStr">
        <is>
          <t>Installation Z1</t>
        </is>
      </c>
      <c r="F81" s="27" t="inlineStr">
        <is>
          <t>3 ans</t>
        </is>
      </c>
      <c r="G81" s="27" t="inlineStr">
        <is>
          <t>TYPE_C</t>
        </is>
      </c>
    </row>
    <row r="82">
      <c r="A82" s="27" t="inlineStr">
        <is>
          <t>PERIM_B</t>
        </is>
      </c>
      <c r="B82" s="27" t="inlineStr">
        <is>
          <t>GRP_B2</t>
        </is>
      </c>
      <c r="C82" s="28" t="n">
        <v>2028</v>
      </c>
      <c r="D82" s="27" t="inlineStr">
        <is>
          <t>INST-026</t>
        </is>
      </c>
      <c r="E82" s="27" t="inlineStr">
        <is>
          <t>Installation Z1</t>
        </is>
      </c>
      <c r="F82" s="27" t="inlineStr">
        <is>
          <t>6 ans</t>
        </is>
      </c>
      <c r="G82" s="27" t="inlineStr">
        <is>
          <t>TYPE_D</t>
        </is>
      </c>
    </row>
    <row r="83">
      <c r="A83" s="27" t="inlineStr">
        <is>
          <t>PERIM_B</t>
        </is>
      </c>
      <c r="B83" s="27" t="inlineStr">
        <is>
          <t>GRP_B2</t>
        </is>
      </c>
      <c r="C83" s="28" t="n">
        <v>2029</v>
      </c>
      <c r="D83" s="27" t="inlineStr">
        <is>
          <t>INST-027</t>
        </is>
      </c>
      <c r="E83" s="27" t="inlineStr">
        <is>
          <t>Installation A2</t>
        </is>
      </c>
      <c r="F83" s="27" t="inlineStr">
        <is>
          <t>2 ans</t>
        </is>
      </c>
      <c r="G83" s="27" t="inlineStr">
        <is>
          <t>TYPE_B</t>
        </is>
      </c>
    </row>
    <row r="84">
      <c r="A84" s="27" t="inlineStr">
        <is>
          <t>PERIM_B</t>
        </is>
      </c>
      <c r="B84" s="27" t="inlineStr">
        <is>
          <t>GRP_B2</t>
        </is>
      </c>
      <c r="C84" s="28" t="n">
        <v>2030</v>
      </c>
      <c r="D84" s="27" t="inlineStr">
        <is>
          <t>INST-027</t>
        </is>
      </c>
      <c r="E84" s="27" t="inlineStr">
        <is>
          <t>Installation A2</t>
        </is>
      </c>
      <c r="F84" s="27" t="inlineStr">
        <is>
          <t>2 ans</t>
        </is>
      </c>
      <c r="G84" s="27" t="inlineStr">
        <is>
          <t>TYPE_E</t>
        </is>
      </c>
    </row>
    <row r="85">
      <c r="A85" s="27" t="inlineStr">
        <is>
          <t>PERIM_B</t>
        </is>
      </c>
      <c r="B85" s="27" t="inlineStr">
        <is>
          <t>GRP_B2</t>
        </is>
      </c>
      <c r="C85" s="28" t="n">
        <v>2026</v>
      </c>
      <c r="D85" s="27" t="inlineStr">
        <is>
          <t>INST-028</t>
        </is>
      </c>
      <c r="E85" s="27" t="inlineStr">
        <is>
          <t>Installation B2</t>
        </is>
      </c>
      <c r="F85" s="27" t="inlineStr">
        <is>
          <t>2 ans</t>
        </is>
      </c>
      <c r="G85" s="27" t="inlineStr">
        <is>
          <t>TYPE_B</t>
        </is>
      </c>
    </row>
    <row r="86">
      <c r="A86" s="27" t="inlineStr">
        <is>
          <t>PERIM_B</t>
        </is>
      </c>
      <c r="B86" s="27" t="inlineStr">
        <is>
          <t>GRP_B2</t>
        </is>
      </c>
      <c r="C86" s="28" t="n">
        <v>2032</v>
      </c>
      <c r="D86" s="27" t="inlineStr">
        <is>
          <t>INST-028</t>
        </is>
      </c>
      <c r="E86" s="27" t="inlineStr">
        <is>
          <t>Installation B2</t>
        </is>
      </c>
      <c r="F86" s="27" t="inlineStr">
        <is>
          <t>2 ans</t>
        </is>
      </c>
      <c r="G86" s="27" t="inlineStr">
        <is>
          <t>TYPE_E</t>
        </is>
      </c>
    </row>
    <row r="87">
      <c r="A87" s="27" t="inlineStr">
        <is>
          <t>PERIM_B</t>
        </is>
      </c>
      <c r="B87" s="27" t="inlineStr">
        <is>
          <t>GRP_B2</t>
        </is>
      </c>
      <c r="C87" s="28" t="n">
        <v>2028</v>
      </c>
      <c r="D87" s="27" t="inlineStr">
        <is>
          <t>INST-029</t>
        </is>
      </c>
      <c r="E87" s="27" t="inlineStr">
        <is>
          <t>Installation C2</t>
        </is>
      </c>
      <c r="F87" s="27" t="inlineStr">
        <is>
          <t>1 an</t>
        </is>
      </c>
      <c r="G87" s="27" t="inlineStr">
        <is>
          <t>TYPE_A</t>
        </is>
      </c>
    </row>
    <row r="88">
      <c r="A88" s="27" t="inlineStr">
        <is>
          <t>PERIM_B</t>
        </is>
      </c>
      <c r="B88" s="27" t="inlineStr">
        <is>
          <t>GRP_B2</t>
        </is>
      </c>
      <c r="C88" s="28" t="n">
        <v>2027</v>
      </c>
      <c r="D88" s="27" t="inlineStr">
        <is>
          <t>INST-029</t>
        </is>
      </c>
      <c r="E88" s="27" t="inlineStr">
        <is>
          <t>Installation C2</t>
        </is>
      </c>
      <c r="F88" s="27" t="inlineStr">
        <is>
          <t>2 ans</t>
        </is>
      </c>
      <c r="G88" s="27" t="inlineStr">
        <is>
          <t>TYPE_B</t>
        </is>
      </c>
    </row>
    <row r="89">
      <c r="A89" s="27" t="inlineStr">
        <is>
          <t>PERIM_B</t>
        </is>
      </c>
      <c r="B89" s="27" t="inlineStr">
        <is>
          <t>GRP_B2</t>
        </is>
      </c>
      <c r="C89" s="28" t="n">
        <v>2031</v>
      </c>
      <c r="D89" s="27" t="inlineStr">
        <is>
          <t>INST-029</t>
        </is>
      </c>
      <c r="E89" s="27" t="inlineStr">
        <is>
          <t>Installation C2</t>
        </is>
      </c>
      <c r="F89" s="27" t="inlineStr">
        <is>
          <t>2 ans</t>
        </is>
      </c>
      <c r="G89" s="27" t="inlineStr">
        <is>
          <t>TYPE_E</t>
        </is>
      </c>
    </row>
    <row r="90">
      <c r="A90" s="27" t="inlineStr">
        <is>
          <t>PERIM_B</t>
        </is>
      </c>
      <c r="B90" s="27" t="inlineStr">
        <is>
          <t>GRP_B2</t>
        </is>
      </c>
      <c r="C90" s="28" t="n">
        <v>2029</v>
      </c>
      <c r="D90" s="27" t="inlineStr">
        <is>
          <t>INST-029</t>
        </is>
      </c>
      <c r="E90" s="27" t="inlineStr">
        <is>
          <t>Installation C2</t>
        </is>
      </c>
      <c r="F90" s="27" t="inlineStr">
        <is>
          <t>3 ans</t>
        </is>
      </c>
      <c r="G90" s="27" t="inlineStr">
        <is>
          <t>TYPE_C</t>
        </is>
      </c>
    </row>
    <row r="91">
      <c r="A91" s="27" t="inlineStr">
        <is>
          <t>PERIM_B</t>
        </is>
      </c>
      <c r="B91" s="27" t="inlineStr">
        <is>
          <t>GRP_B2</t>
        </is>
      </c>
      <c r="C91" s="28" t="n">
        <v>2030</v>
      </c>
      <c r="D91" s="27" t="inlineStr">
        <is>
          <t>INST-030</t>
        </is>
      </c>
      <c r="E91" s="27" t="inlineStr">
        <is>
          <t>Installation D2</t>
        </is>
      </c>
      <c r="F91" s="27" t="inlineStr">
        <is>
          <t>6 ans</t>
        </is>
      </c>
      <c r="G91" s="27" t="inlineStr">
        <is>
          <t>TYPE_D</t>
        </is>
      </c>
    </row>
    <row r="92">
      <c r="A92" s="27" t="inlineStr">
        <is>
          <t>PERIM_B</t>
        </is>
      </c>
      <c r="B92" s="27" t="inlineStr">
        <is>
          <t>GRP_B2</t>
        </is>
      </c>
      <c r="C92" s="28" t="n">
        <v>2032</v>
      </c>
      <c r="D92" s="27" t="inlineStr">
        <is>
          <t>INST-030</t>
        </is>
      </c>
      <c r="E92" s="27" t="inlineStr">
        <is>
          <t>Installation D2</t>
        </is>
      </c>
      <c r="F92" s="27" t="inlineStr">
        <is>
          <t>2 ans</t>
        </is>
      </c>
      <c r="G92" s="27" t="inlineStr">
        <is>
          <t>TYPE_E</t>
        </is>
      </c>
    </row>
    <row r="93">
      <c r="A93" s="27" t="inlineStr">
        <is>
          <t>PERIM_B</t>
        </is>
      </c>
      <c r="B93" s="27" t="inlineStr">
        <is>
          <t>GRP_B2</t>
        </is>
      </c>
      <c r="C93" s="28" t="n">
        <v>2028</v>
      </c>
      <c r="D93" s="27" t="inlineStr">
        <is>
          <t>INST-030</t>
        </is>
      </c>
      <c r="E93" s="27" t="inlineStr">
        <is>
          <t>Installation D2</t>
        </is>
      </c>
      <c r="F93" s="27" t="inlineStr">
        <is>
          <t>1 an</t>
        </is>
      </c>
      <c r="G93" s="27" t="inlineStr">
        <is>
          <t>TYPE_A</t>
        </is>
      </c>
    </row>
    <row r="94">
      <c r="A94" s="27" t="inlineStr">
        <is>
          <t>PERIM_B</t>
        </is>
      </c>
      <c r="B94" s="27" t="inlineStr">
        <is>
          <t>GRP_B2</t>
        </is>
      </c>
      <c r="C94" s="28" t="n">
        <v>2029</v>
      </c>
      <c r="D94" s="27" t="inlineStr">
        <is>
          <t>INST-030</t>
        </is>
      </c>
      <c r="E94" s="27" t="inlineStr">
        <is>
          <t>Installation D2</t>
        </is>
      </c>
      <c r="F94" s="27" t="inlineStr">
        <is>
          <t>3 ans</t>
        </is>
      </c>
      <c r="G94" s="27" t="inlineStr">
        <is>
          <t>TYPE_C</t>
        </is>
      </c>
    </row>
    <row r="95">
      <c r="A95" s="27" t="inlineStr">
        <is>
          <t>PERIM_B</t>
        </is>
      </c>
      <c r="B95" s="27" t="inlineStr">
        <is>
          <t>GRP_B2</t>
        </is>
      </c>
      <c r="C95" s="28" t="n">
        <v>2027</v>
      </c>
      <c r="D95" s="27" t="inlineStr">
        <is>
          <t>INST-031</t>
        </is>
      </c>
      <c r="E95" s="27" t="inlineStr">
        <is>
          <t>Installation E2</t>
        </is>
      </c>
      <c r="F95" s="27" t="inlineStr">
        <is>
          <t>6 ans</t>
        </is>
      </c>
      <c r="G95" s="27" t="inlineStr">
        <is>
          <t>TYPE_D</t>
        </is>
      </c>
    </row>
    <row r="96">
      <c r="A96" s="27" t="inlineStr">
        <is>
          <t>PERIM_B</t>
        </is>
      </c>
      <c r="B96" s="27" t="inlineStr">
        <is>
          <t>GRP_B2</t>
        </is>
      </c>
      <c r="C96" s="28" t="n">
        <v>2032</v>
      </c>
      <c r="D96" s="27" t="inlineStr">
        <is>
          <t>INST-031</t>
        </is>
      </c>
      <c r="E96" s="27" t="inlineStr">
        <is>
          <t>Installation E2</t>
        </is>
      </c>
      <c r="F96" s="27" t="inlineStr">
        <is>
          <t>2 ans</t>
        </is>
      </c>
      <c r="G96" s="27" t="inlineStr">
        <is>
          <t>TYPE_B</t>
        </is>
      </c>
    </row>
    <row r="97">
      <c r="A97" s="27" t="inlineStr">
        <is>
          <t>PERIM_B</t>
        </is>
      </c>
      <c r="B97" s="27" t="inlineStr">
        <is>
          <t>GRP_B2</t>
        </is>
      </c>
      <c r="C97" s="28" t="n">
        <v>2028</v>
      </c>
      <c r="D97" s="27" t="inlineStr">
        <is>
          <t>INST-031</t>
        </is>
      </c>
      <c r="E97" s="27" t="inlineStr">
        <is>
          <t>Installation E2</t>
        </is>
      </c>
      <c r="F97" s="27" t="inlineStr">
        <is>
          <t>2 ans</t>
        </is>
      </c>
      <c r="G97" s="27" t="inlineStr">
        <is>
          <t>TYPE_E</t>
        </is>
      </c>
    </row>
    <row r="98">
      <c r="A98" s="27" t="inlineStr">
        <is>
          <t>PERIM_B</t>
        </is>
      </c>
      <c r="B98" s="27" t="inlineStr">
        <is>
          <t>GRP_B2</t>
        </is>
      </c>
      <c r="C98" s="28" t="n">
        <v>2029</v>
      </c>
      <c r="D98" s="27" t="inlineStr">
        <is>
          <t>INST-032</t>
        </is>
      </c>
      <c r="E98" s="27" t="inlineStr">
        <is>
          <t>Installation F2</t>
        </is>
      </c>
      <c r="F98" s="27" t="inlineStr">
        <is>
          <t>2 ans</t>
        </is>
      </c>
      <c r="G98" s="27" t="inlineStr">
        <is>
          <t>TYPE_B</t>
        </is>
      </c>
    </row>
    <row r="99">
      <c r="A99" s="27" t="inlineStr">
        <is>
          <t>PERIM_B</t>
        </is>
      </c>
      <c r="B99" s="27" t="inlineStr">
        <is>
          <t>GRP_B2</t>
        </is>
      </c>
      <c r="C99" s="28" t="n">
        <v>2027</v>
      </c>
      <c r="D99" s="27" t="inlineStr">
        <is>
          <t>INST-032</t>
        </is>
      </c>
      <c r="E99" s="27" t="inlineStr">
        <is>
          <t>Installation F2</t>
        </is>
      </c>
      <c r="F99" s="27" t="inlineStr">
        <is>
          <t>1 an</t>
        </is>
      </c>
      <c r="G99" s="27" t="inlineStr">
        <is>
          <t>TYPE_A</t>
        </is>
      </c>
    </row>
    <row r="100">
      <c r="A100" s="27" t="inlineStr">
        <is>
          <t>PERIM_C</t>
        </is>
      </c>
      <c r="B100" s="27" t="inlineStr">
        <is>
          <t>GRP_C1</t>
        </is>
      </c>
      <c r="C100" s="28" t="n">
        <v>2030</v>
      </c>
      <c r="D100" s="27" t="inlineStr">
        <is>
          <t>INST-033</t>
        </is>
      </c>
      <c r="E100" s="27" t="inlineStr">
        <is>
          <t>Installation G2</t>
        </is>
      </c>
      <c r="F100" s="27" t="inlineStr">
        <is>
          <t>2 ans</t>
        </is>
      </c>
      <c r="G100" s="27" t="inlineStr">
        <is>
          <t>TYPE_B</t>
        </is>
      </c>
    </row>
    <row r="101">
      <c r="A101" s="27" t="inlineStr">
        <is>
          <t>PERIM_C</t>
        </is>
      </c>
      <c r="B101" s="27" t="inlineStr">
        <is>
          <t>GRP_C1</t>
        </is>
      </c>
      <c r="C101" s="28" t="n">
        <v>2027</v>
      </c>
      <c r="D101" s="27" t="inlineStr">
        <is>
          <t>INST-033</t>
        </is>
      </c>
      <c r="E101" s="27" t="inlineStr">
        <is>
          <t>Installation G2</t>
        </is>
      </c>
      <c r="F101" s="27" t="inlineStr">
        <is>
          <t>6 ans</t>
        </is>
      </c>
      <c r="G101" s="27" t="inlineStr">
        <is>
          <t>TYPE_D</t>
        </is>
      </c>
    </row>
    <row r="102">
      <c r="A102" s="27" t="inlineStr">
        <is>
          <t>PERIM_C</t>
        </is>
      </c>
      <c r="B102" s="27" t="inlineStr">
        <is>
          <t>GRP_C1</t>
        </is>
      </c>
      <c r="C102" s="28" t="n">
        <v>2026</v>
      </c>
      <c r="D102" s="27" t="inlineStr">
        <is>
          <t>INST-033</t>
        </is>
      </c>
      <c r="E102" s="27" t="inlineStr">
        <is>
          <t>Installation G2</t>
        </is>
      </c>
      <c r="F102" s="27" t="inlineStr">
        <is>
          <t>3 ans</t>
        </is>
      </c>
      <c r="G102" s="27" t="inlineStr">
        <is>
          <t>TYPE_C</t>
        </is>
      </c>
    </row>
    <row r="103">
      <c r="A103" s="27" t="inlineStr">
        <is>
          <t>PERIM_C</t>
        </is>
      </c>
      <c r="B103" s="27" t="inlineStr">
        <is>
          <t>GRP_C1</t>
        </is>
      </c>
      <c r="C103" s="28" t="n">
        <v>2028</v>
      </c>
      <c r="D103" s="27" t="inlineStr">
        <is>
          <t>INST-034</t>
        </is>
      </c>
      <c r="E103" s="27" t="inlineStr">
        <is>
          <t>Installation H2</t>
        </is>
      </c>
      <c r="F103" s="27" t="inlineStr">
        <is>
          <t>1 an</t>
        </is>
      </c>
      <c r="G103" s="27" t="inlineStr">
        <is>
          <t>TYPE_A</t>
        </is>
      </c>
    </row>
    <row r="104">
      <c r="A104" s="27" t="inlineStr">
        <is>
          <t>PERIM_C</t>
        </is>
      </c>
      <c r="B104" s="27" t="inlineStr">
        <is>
          <t>GRP_C1</t>
        </is>
      </c>
      <c r="C104" s="28" t="n">
        <v>2026</v>
      </c>
      <c r="D104" s="27" t="inlineStr">
        <is>
          <t>INST-034</t>
        </is>
      </c>
      <c r="E104" s="27" t="inlineStr">
        <is>
          <t>Installation H2</t>
        </is>
      </c>
      <c r="F104" s="27" t="inlineStr">
        <is>
          <t>2 ans</t>
        </is>
      </c>
      <c r="G104" s="27" t="inlineStr">
        <is>
          <t>TYPE_E</t>
        </is>
      </c>
    </row>
    <row r="105">
      <c r="A105" s="27" t="inlineStr">
        <is>
          <t>PERIM_C</t>
        </is>
      </c>
      <c r="B105" s="27" t="inlineStr">
        <is>
          <t>GRP_C1</t>
        </is>
      </c>
      <c r="C105" s="28" t="n">
        <v>2031</v>
      </c>
      <c r="D105" s="27" t="inlineStr">
        <is>
          <t>INST-035</t>
        </is>
      </c>
      <c r="E105" s="27" t="inlineStr">
        <is>
          <t>Installation I2</t>
        </is>
      </c>
      <c r="F105" s="27" t="inlineStr">
        <is>
          <t>6 ans</t>
        </is>
      </c>
      <c r="G105" s="27" t="inlineStr">
        <is>
          <t>TYPE_D</t>
        </is>
      </c>
    </row>
    <row r="106">
      <c r="A106" s="27" t="inlineStr">
        <is>
          <t>PERIM_C</t>
        </is>
      </c>
      <c r="B106" s="27" t="inlineStr">
        <is>
          <t>GRP_C1</t>
        </is>
      </c>
      <c r="C106" s="28" t="n">
        <v>2032</v>
      </c>
      <c r="D106" s="27" t="inlineStr">
        <is>
          <t>INST-035</t>
        </is>
      </c>
      <c r="E106" s="27" t="inlineStr">
        <is>
          <t>Installation I2</t>
        </is>
      </c>
      <c r="F106" s="27" t="inlineStr">
        <is>
          <t>3 ans</t>
        </is>
      </c>
      <c r="G106" s="27" t="inlineStr">
        <is>
          <t>TYPE_C</t>
        </is>
      </c>
    </row>
    <row r="107">
      <c r="A107" s="27" t="inlineStr">
        <is>
          <t>PERIM_C</t>
        </is>
      </c>
      <c r="B107" s="27" t="inlineStr">
        <is>
          <t>GRP_C1</t>
        </is>
      </c>
      <c r="C107" s="28" t="n">
        <v>2030</v>
      </c>
      <c r="D107" s="27" t="inlineStr">
        <is>
          <t>INST-036</t>
        </is>
      </c>
      <c r="E107" s="27" t="inlineStr">
        <is>
          <t>Installation J2</t>
        </is>
      </c>
      <c r="F107" s="27" t="inlineStr">
        <is>
          <t>2 ans</t>
        </is>
      </c>
      <c r="G107" s="27" t="inlineStr">
        <is>
          <t>TYPE_B</t>
        </is>
      </c>
    </row>
    <row r="108">
      <c r="A108" s="27" t="inlineStr">
        <is>
          <t>PERIM_C</t>
        </is>
      </c>
      <c r="B108" s="27" t="inlineStr">
        <is>
          <t>GRP_C1</t>
        </is>
      </c>
      <c r="C108" s="28" t="n">
        <v>2028</v>
      </c>
      <c r="D108" s="27" t="inlineStr">
        <is>
          <t>INST-036</t>
        </is>
      </c>
      <c r="E108" s="27" t="inlineStr">
        <is>
          <t>Installation J2</t>
        </is>
      </c>
      <c r="F108" s="27" t="inlineStr">
        <is>
          <t>3 ans</t>
        </is>
      </c>
      <c r="G108" s="27" t="inlineStr">
        <is>
          <t>TYPE_C</t>
        </is>
      </c>
    </row>
    <row r="109">
      <c r="A109" s="27" t="inlineStr">
        <is>
          <t>PERIM_C</t>
        </is>
      </c>
      <c r="B109" s="27" t="inlineStr">
        <is>
          <t>GRP_C1</t>
        </is>
      </c>
      <c r="C109" s="28" t="n">
        <v>2030</v>
      </c>
      <c r="D109" s="27" t="inlineStr">
        <is>
          <t>INST-037</t>
        </is>
      </c>
      <c r="E109" s="27" t="inlineStr">
        <is>
          <t>Installation K2</t>
        </is>
      </c>
      <c r="F109" s="27" t="inlineStr">
        <is>
          <t>2 ans</t>
        </is>
      </c>
      <c r="G109" s="27" t="inlineStr">
        <is>
          <t>TYPE_E</t>
        </is>
      </c>
    </row>
    <row r="110">
      <c r="A110" s="27" t="inlineStr">
        <is>
          <t>PERIM_C</t>
        </is>
      </c>
      <c r="B110" s="27" t="inlineStr">
        <is>
          <t>GRP_C1</t>
        </is>
      </c>
      <c r="C110" s="28" t="n">
        <v>2032</v>
      </c>
      <c r="D110" s="27" t="inlineStr">
        <is>
          <t>INST-037</t>
        </is>
      </c>
      <c r="E110" s="27" t="inlineStr">
        <is>
          <t>Installation K2</t>
        </is>
      </c>
      <c r="F110" s="27" t="inlineStr">
        <is>
          <t>2 ans</t>
        </is>
      </c>
      <c r="G110" s="27" t="inlineStr">
        <is>
          <t>TYPE_E</t>
        </is>
      </c>
    </row>
    <row r="111">
      <c r="A111" s="27" t="inlineStr">
        <is>
          <t>PERIM_C</t>
        </is>
      </c>
      <c r="B111" s="27" t="inlineStr">
        <is>
          <t>GRP_C1</t>
        </is>
      </c>
      <c r="C111" s="28" t="n">
        <v>2028</v>
      </c>
      <c r="D111" s="27" t="inlineStr">
        <is>
          <t>INST-037</t>
        </is>
      </c>
      <c r="E111" s="27" t="inlineStr">
        <is>
          <t>Installation K2</t>
        </is>
      </c>
      <c r="F111" s="27" t="inlineStr">
        <is>
          <t>3 ans</t>
        </is>
      </c>
      <c r="G111" s="27" t="inlineStr">
        <is>
          <t>TYPE_C</t>
        </is>
      </c>
    </row>
    <row r="112">
      <c r="A112" s="27" t="inlineStr">
        <is>
          <t>PERIM_C</t>
        </is>
      </c>
      <c r="B112" s="27" t="inlineStr">
        <is>
          <t>GRP_C1</t>
        </is>
      </c>
      <c r="C112" s="28" t="n">
        <v>2029</v>
      </c>
      <c r="D112" s="27" t="inlineStr">
        <is>
          <t>INST-037</t>
        </is>
      </c>
      <c r="E112" s="27" t="inlineStr">
        <is>
          <t>Installation K2</t>
        </is>
      </c>
      <c r="F112" s="27" t="inlineStr">
        <is>
          <t>2 ans</t>
        </is>
      </c>
      <c r="G112" s="27" t="inlineStr">
        <is>
          <t>TYPE_B</t>
        </is>
      </c>
    </row>
    <row r="113">
      <c r="A113" s="27" t="inlineStr">
        <is>
          <t>PERIM_C</t>
        </is>
      </c>
      <c r="B113" s="27" t="inlineStr">
        <is>
          <t>GRP_C1</t>
        </is>
      </c>
      <c r="C113" s="28" t="n">
        <v>2027</v>
      </c>
      <c r="D113" s="27" t="inlineStr">
        <is>
          <t>INST-038</t>
        </is>
      </c>
      <c r="E113" s="27" t="inlineStr">
        <is>
          <t>Installation L2</t>
        </is>
      </c>
      <c r="F113" s="27" t="inlineStr">
        <is>
          <t>1 an</t>
        </is>
      </c>
      <c r="G113" s="27" t="inlineStr">
        <is>
          <t>TYPE_A</t>
        </is>
      </c>
    </row>
    <row r="114">
      <c r="A114" s="27" t="inlineStr">
        <is>
          <t>PERIM_C</t>
        </is>
      </c>
      <c r="B114" s="27" t="inlineStr">
        <is>
          <t>GRP_C1</t>
        </is>
      </c>
      <c r="C114" s="28" t="n">
        <v>2032</v>
      </c>
      <c r="D114" s="27" t="inlineStr">
        <is>
          <t>INST-038</t>
        </is>
      </c>
      <c r="E114" s="27" t="inlineStr">
        <is>
          <t>Installation L2</t>
        </is>
      </c>
      <c r="F114" s="27" t="inlineStr">
        <is>
          <t>2 ans</t>
        </is>
      </c>
      <c r="G114" s="27" t="inlineStr">
        <is>
          <t>TYPE_B</t>
        </is>
      </c>
    </row>
    <row r="115">
      <c r="A115" s="27" t="inlineStr">
        <is>
          <t>PERIM_C</t>
        </is>
      </c>
      <c r="B115" s="27" t="inlineStr">
        <is>
          <t>GRP_C1</t>
        </is>
      </c>
      <c r="C115" s="28" t="n">
        <v>2031</v>
      </c>
      <c r="D115" s="27" t="inlineStr">
        <is>
          <t>INST-038</t>
        </is>
      </c>
      <c r="E115" s="27" t="inlineStr">
        <is>
          <t>Installation L2</t>
        </is>
      </c>
      <c r="F115" s="27" t="inlineStr">
        <is>
          <t>2 ans</t>
        </is>
      </c>
      <c r="G115" s="27" t="inlineStr">
        <is>
          <t>TYPE_E</t>
        </is>
      </c>
    </row>
    <row r="116">
      <c r="A116" s="27" t="inlineStr">
        <is>
          <t>PERIM_C</t>
        </is>
      </c>
      <c r="B116" s="27" t="inlineStr">
        <is>
          <t>GRP_C1</t>
        </is>
      </c>
      <c r="C116" s="28" t="n">
        <v>2027</v>
      </c>
      <c r="D116" s="27" t="inlineStr">
        <is>
          <t>INST-039</t>
        </is>
      </c>
      <c r="E116" s="27" t="inlineStr">
        <is>
          <t>Installation M2</t>
        </is>
      </c>
      <c r="F116" s="27" t="inlineStr">
        <is>
          <t>2 ans</t>
        </is>
      </c>
      <c r="G116" s="27" t="inlineStr">
        <is>
          <t>TYPE_B</t>
        </is>
      </c>
    </row>
    <row r="117">
      <c r="A117" s="27" t="inlineStr">
        <is>
          <t>PERIM_C</t>
        </is>
      </c>
      <c r="B117" s="27" t="inlineStr">
        <is>
          <t>GRP_C1</t>
        </is>
      </c>
      <c r="C117" s="28" t="n">
        <v>2029</v>
      </c>
      <c r="D117" s="27" t="inlineStr">
        <is>
          <t>INST-039</t>
        </is>
      </c>
      <c r="E117" s="27" t="inlineStr">
        <is>
          <t>Installation M2</t>
        </is>
      </c>
      <c r="F117" s="27" t="inlineStr">
        <is>
          <t>1 an</t>
        </is>
      </c>
      <c r="G117" s="27" t="inlineStr">
        <is>
          <t>TYPE_A</t>
        </is>
      </c>
    </row>
    <row r="118">
      <c r="A118" s="27" t="inlineStr">
        <is>
          <t>PERIM_C</t>
        </is>
      </c>
      <c r="B118" s="27" t="inlineStr">
        <is>
          <t>GRP_C1</t>
        </is>
      </c>
      <c r="C118" s="28" t="n">
        <v>2030</v>
      </c>
      <c r="D118" s="27" t="inlineStr">
        <is>
          <t>INST-039</t>
        </is>
      </c>
      <c r="E118" s="27" t="inlineStr">
        <is>
          <t>Installation M2</t>
        </is>
      </c>
      <c r="F118" s="27" t="inlineStr">
        <is>
          <t>1 an</t>
        </is>
      </c>
      <c r="G118" s="27" t="inlineStr">
        <is>
          <t>TYPE_A</t>
        </is>
      </c>
    </row>
    <row r="119">
      <c r="A119" s="27" t="inlineStr">
        <is>
          <t>PERIM_C</t>
        </is>
      </c>
      <c r="B119" s="27" t="inlineStr">
        <is>
          <t>GRP_C1</t>
        </is>
      </c>
      <c r="C119" s="28" t="n">
        <v>2028</v>
      </c>
      <c r="D119" s="27" t="inlineStr">
        <is>
          <t>INST-039</t>
        </is>
      </c>
      <c r="E119" s="27" t="inlineStr">
        <is>
          <t>Installation M2</t>
        </is>
      </c>
      <c r="F119" s="27" t="inlineStr">
        <is>
          <t>3 ans</t>
        </is>
      </c>
      <c r="G119" s="27" t="inlineStr">
        <is>
          <t>TYPE_C</t>
        </is>
      </c>
    </row>
    <row r="120">
      <c r="A120" s="27" t="inlineStr">
        <is>
          <t>PERIM_C</t>
        </is>
      </c>
      <c r="B120" s="27" t="inlineStr">
        <is>
          <t>GRP_C1</t>
        </is>
      </c>
      <c r="C120" s="28" t="n">
        <v>2028</v>
      </c>
      <c r="D120" s="27" t="inlineStr">
        <is>
          <t>INST-040</t>
        </is>
      </c>
      <c r="E120" s="27" t="inlineStr">
        <is>
          <t>Installation N2</t>
        </is>
      </c>
      <c r="F120" s="27" t="inlineStr">
        <is>
          <t>1 an</t>
        </is>
      </c>
      <c r="G120" s="27" t="inlineStr">
        <is>
          <t>TYPE_A</t>
        </is>
      </c>
    </row>
    <row r="121">
      <c r="A121" s="27" t="inlineStr">
        <is>
          <t>PERIM_C</t>
        </is>
      </c>
      <c r="B121" s="27" t="inlineStr">
        <is>
          <t>GRP_C1</t>
        </is>
      </c>
      <c r="C121" s="28" t="n">
        <v>2028</v>
      </c>
      <c r="D121" s="27" t="inlineStr">
        <is>
          <t>INST-040</t>
        </is>
      </c>
      <c r="E121" s="27" t="inlineStr">
        <is>
          <t>Installation N2</t>
        </is>
      </c>
      <c r="F121" s="27" t="inlineStr">
        <is>
          <t>1 an</t>
        </is>
      </c>
      <c r="G121" s="27" t="inlineStr">
        <is>
          <t>TYPE_A</t>
        </is>
      </c>
    </row>
    <row r="122">
      <c r="A122" s="27" t="inlineStr">
        <is>
          <t>PERIM_C</t>
        </is>
      </c>
      <c r="B122" s="27" t="inlineStr">
        <is>
          <t>GRP_C1</t>
        </is>
      </c>
      <c r="C122" s="28" t="n">
        <v>2027</v>
      </c>
      <c r="D122" s="27" t="inlineStr">
        <is>
          <t>INST-040</t>
        </is>
      </c>
      <c r="E122" s="27" t="inlineStr">
        <is>
          <t>Installation N2</t>
        </is>
      </c>
      <c r="F122" s="27" t="inlineStr">
        <is>
          <t>3 ans</t>
        </is>
      </c>
      <c r="G122" s="27" t="inlineStr">
        <is>
          <t>TYPE_C</t>
        </is>
      </c>
    </row>
    <row r="123">
      <c r="A123" s="27" t="inlineStr">
        <is>
          <t>PERIM_C</t>
        </is>
      </c>
      <c r="B123" s="27" t="inlineStr">
        <is>
          <t>GRP_C1</t>
        </is>
      </c>
      <c r="C123" s="28" t="n">
        <v>2027</v>
      </c>
      <c r="D123" s="27" t="inlineStr">
        <is>
          <t>INST-040</t>
        </is>
      </c>
      <c r="E123" s="27" t="inlineStr">
        <is>
          <t>Installation N2</t>
        </is>
      </c>
      <c r="F123" s="27" t="inlineStr">
        <is>
          <t>1 an</t>
        </is>
      </c>
      <c r="G123" s="27" t="inlineStr">
        <is>
          <t>TYPE_A</t>
        </is>
      </c>
    </row>
  </sheetData>
  <pageMargins left="0.4" right="0.4" top="0.5" bottom="0.5" header="0.5" footer="0.5"/>
  <pageSetup orientation="portrait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AJ1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30" customWidth="1" min="7" max="7"/>
    <col width="13" customWidth="1" min="8" max="8"/>
    <col width="11" customWidth="1" min="9" max="9"/>
    <col width="13" customWidth="1" min="10" max="10"/>
    <col width="13" customWidth="1" min="11" max="11"/>
    <col width="13" customWidth="1" min="12" max="12"/>
    <col width="11" customWidth="1" min="13" max="13"/>
    <col width="44" customWidth="1" min="14" max="14"/>
    <col width="13" customWidth="1" min="15" max="15"/>
    <col width="13" customWidth="1" min="16" max="16"/>
    <col width="11" customWidth="1" min="17" max="17"/>
    <col width="13" customWidth="1" min="18" max="18"/>
    <col width="13" customWidth="1" min="19" max="19"/>
    <col width="13" customWidth="1" min="20" max="20"/>
    <col width="11" customWidth="1" min="21" max="21"/>
    <col width="17" customWidth="1" min="22" max="22"/>
    <col width="22" customWidth="1" min="23" max="23"/>
    <col width="11" customWidth="1" min="24" max="24"/>
    <col width="13" customWidth="1" min="25" max="25"/>
    <col width="13" customWidth="1" min="26" max="26"/>
    <col width="13" customWidth="1" min="27" max="27"/>
    <col width="11" customWidth="1" min="28" max="28"/>
    <col width="11" customWidth="1" min="29" max="29"/>
    <col width="13" customWidth="1" min="30" max="30"/>
    <col width="13" customWidth="1" min="31" max="31"/>
    <col width="13" customWidth="1" min="32" max="32"/>
    <col width="12" customWidth="1" min="33" max="33"/>
    <col width="24" customWidth="1" min="34" max="34"/>
    <col width="36" customWidth="1" min="35" max="35"/>
    <col width="15" customWidth="1" min="36" max="36"/>
  </cols>
  <sheetData>
    <row r="1" ht="34" customHeight="1">
      <c r="A1" s="17" t="inlineStr">
        <is>
          <t>Ordre</t>
        </is>
      </c>
      <c r="B1" s="17" t="inlineStr">
        <is>
          <t>Activité atomique</t>
        </is>
      </c>
      <c r="C1" s="17" t="inlineStr">
        <is>
          <t>Année planifiée</t>
        </is>
      </c>
      <c r="D1" s="17" t="inlineStr">
        <is>
          <t>Groupe gestionnaires</t>
        </is>
      </c>
      <c r="E1" s="17" t="inlineStr">
        <is>
          <t>Poste travail princ.</t>
        </is>
      </c>
      <c r="F1" s="17" t="inlineStr">
        <is>
          <t>Code poste</t>
        </is>
      </c>
      <c r="G1" s="17" t="inlineStr">
        <is>
          <t>Contrôle qualité</t>
        </is>
      </c>
      <c r="H1" s="17" t="inlineStr">
        <is>
          <t>Ligne export</t>
        </is>
      </c>
      <c r="I1" s="17" t="inlineStr">
        <is>
          <t>Créé le</t>
        </is>
      </c>
      <c r="J1" s="17" t="inlineStr">
        <is>
          <t>Ordre supérieur</t>
        </is>
      </c>
      <c r="K1" s="17" t="inlineStr">
        <is>
          <t>Type d'ordre</t>
        </is>
      </c>
      <c r="L1" s="17" t="inlineStr">
        <is>
          <t>Type de travail</t>
        </is>
      </c>
      <c r="M1" s="17" t="inlineStr">
        <is>
          <t>Avis</t>
        </is>
      </c>
      <c r="N1" s="17" t="inlineStr">
        <is>
          <t>Désignation</t>
        </is>
      </c>
      <c r="O1" s="17" t="inlineStr">
        <is>
          <t>Statut utilisateur</t>
        </is>
      </c>
      <c r="P1" s="17" t="inlineStr">
        <is>
          <t>Statut système</t>
        </is>
      </c>
      <c r="Q1" s="17" t="inlineStr">
        <is>
          <t>Saisi par</t>
        </is>
      </c>
      <c r="R1" s="17" t="inlineStr">
        <is>
          <t>Total coûts réels</t>
        </is>
      </c>
      <c r="S1" s="17" t="inlineStr">
        <is>
          <t>Secteur exploitation</t>
        </is>
      </c>
      <c r="T1" s="17" t="inlineStr">
        <is>
          <t>Date début planifiée</t>
        </is>
      </c>
      <c r="U1" s="17" t="inlineStr">
        <is>
          <t>Code site</t>
        </is>
      </c>
      <c r="V1" s="17" t="inlineStr">
        <is>
          <t>Poste technique</t>
        </is>
      </c>
      <c r="W1" s="17" t="inlineStr">
        <is>
          <t>Désign.poste techn.</t>
        </is>
      </c>
      <c r="X1" s="17" t="inlineStr">
        <is>
          <t>Équipement</t>
        </is>
      </c>
      <c r="Y1" s="17" t="inlineStr">
        <is>
          <t>Groupe de gamme principale</t>
        </is>
      </c>
      <c r="Z1" s="17" t="inlineStr">
        <is>
          <t>Compteur de groupe de gamme principale</t>
        </is>
      </c>
      <c r="AA1" s="17" t="inlineStr">
        <is>
          <t>Date modif. fiche ordre</t>
        </is>
      </c>
      <c r="AB1" s="17" t="inlineStr">
        <is>
          <t>Typologie</t>
        </is>
      </c>
      <c r="AC1" s="17" t="inlineStr">
        <is>
          <t>Activité</t>
        </is>
      </c>
      <c r="AD1" s="17" t="inlineStr">
        <is>
          <t>Ordre d'affichage activité</t>
        </is>
      </c>
      <c r="AE1" s="17" t="inlineStr">
        <is>
          <t>Nb lignes export de l'OT</t>
        </is>
      </c>
      <c r="AF1" s="17" t="inlineStr">
        <is>
          <t>Occurrences Ordre+Activité</t>
        </is>
      </c>
      <c r="AG1" s="17" t="inlineStr">
        <is>
          <t>Lignes export regroupées</t>
        </is>
      </c>
      <c r="AH1" s="17" t="inlineStr">
        <is>
          <t>Écarts de structure</t>
        </is>
      </c>
      <c r="AI1" s="17" t="inlineStr">
        <is>
          <t>Fichier source</t>
        </is>
      </c>
      <c r="AJ1" s="17" t="inlineStr">
        <is>
          <t>Importé le</t>
        </is>
      </c>
    </row>
    <row r="2">
      <c r="A2" s="27" t="inlineStr">
        <is>
          <t>910000001</t>
        </is>
      </c>
      <c r="B2" s="27" t="inlineStr">
        <is>
          <t>EC</t>
        </is>
      </c>
      <c r="C2" s="28" t="n">
        <v>2026</v>
      </c>
      <c r="D2" s="27" t="inlineStr">
        <is>
          <t>SITE01</t>
        </is>
      </c>
      <c r="E2" s="27" t="inlineStr">
        <is>
          <t>EQ1</t>
        </is>
      </c>
      <c r="F2" s="27" t="inlineStr">
        <is>
          <t>G-I-A1100</t>
        </is>
      </c>
      <c r="G2" s="27" t="n"/>
      <c r="H2" s="28" t="n">
        <v>2</v>
      </c>
      <c r="I2" s="29" t="n">
        <v>45991</v>
      </c>
      <c r="J2" s="27" t="n"/>
      <c r="K2" s="27" t="inlineStr">
        <is>
          <t>ZPR2</t>
        </is>
      </c>
      <c r="L2" s="27" t="inlineStr">
        <is>
          <t>PRE</t>
        </is>
      </c>
      <c r="M2" s="27" t="n"/>
      <c r="N2" s="27" t="inlineStr">
        <is>
          <t>Maintenance préventive fictive EC+PIS - poste G-I-A1100</t>
        </is>
      </c>
      <c r="O2" s="27" t="inlineStr">
        <is>
          <t>ACTI</t>
        </is>
      </c>
      <c r="P2" s="27" t="inlineStr">
        <is>
          <t>STAT_SYS_A</t>
        </is>
      </c>
      <c r="Q2" s="27" t="inlineStr">
        <is>
          <t>USER01</t>
        </is>
      </c>
      <c r="R2" s="30" t="n">
        <v>175</v>
      </c>
      <c r="S2" s="27" t="inlineStr">
        <is>
          <t>EQ1</t>
        </is>
      </c>
      <c r="T2" s="29" t="n">
        <v>46058</v>
      </c>
      <c r="U2" s="27" t="inlineStr">
        <is>
          <t>TECH-01</t>
        </is>
      </c>
      <c r="V2" s="27" t="inlineStr">
        <is>
          <t>G-I-A1100-FILT01</t>
        </is>
      </c>
      <c r="W2" s="27" t="inlineStr">
        <is>
          <t>Équipement fictif 01-1-1</t>
        </is>
      </c>
      <c r="X2" s="27" t="inlineStr">
        <is>
          <t>EQ-01-1-01</t>
        </is>
      </c>
      <c r="Y2" s="27" t="inlineStr">
        <is>
          <t>GG-PREV</t>
        </is>
      </c>
      <c r="Z2" s="27" t="inlineStr">
        <is>
          <t>1</t>
        </is>
      </c>
      <c r="AA2" s="29" t="n">
        <v>46047</v>
      </c>
      <c r="AB2" s="27" t="inlineStr">
        <is>
          <t>COUPURE</t>
        </is>
      </c>
      <c r="AC2" s="27" t="inlineStr">
        <is>
          <t>EC+PIS</t>
        </is>
      </c>
      <c r="AD2" s="28" t="n">
        <v>2</v>
      </c>
      <c r="AE2" s="28" t="n">
        <v>1</v>
      </c>
      <c r="AF2" s="28" t="n">
        <v>1</v>
      </c>
      <c r="AG2" s="27" t="n"/>
      <c r="AH2" s="27" t="n"/>
      <c r="AI2" s="27" t="inlineStr">
        <is>
          <t>Instantané de démonstration – MODELE_GMAO_PREV_ANONYMISE.csv</t>
        </is>
      </c>
      <c r="AJ2" s="31" t="n">
        <v>46309.50763888889</v>
      </c>
    </row>
    <row r="3">
      <c r="A3" s="27" t="inlineStr">
        <is>
          <t>910000001</t>
        </is>
      </c>
      <c r="B3" s="27" t="inlineStr">
        <is>
          <t>PIS</t>
        </is>
      </c>
      <c r="C3" s="28" t="n">
        <v>2026</v>
      </c>
      <c r="D3" s="27" t="inlineStr">
        <is>
          <t>SITE01</t>
        </is>
      </c>
      <c r="E3" s="27" t="inlineStr">
        <is>
          <t>EQ1</t>
        </is>
      </c>
      <c r="F3" s="27" t="inlineStr">
        <is>
          <t>G-I-A1100</t>
        </is>
      </c>
      <c r="G3" s="27" t="n"/>
      <c r="H3" s="28" t="n">
        <v>2</v>
      </c>
      <c r="I3" s="29" t="n">
        <v>45991</v>
      </c>
      <c r="J3" s="27" t="n"/>
      <c r="K3" s="27" t="inlineStr">
        <is>
          <t>ZPR2</t>
        </is>
      </c>
      <c r="L3" s="27" t="inlineStr">
        <is>
          <t>PRE</t>
        </is>
      </c>
      <c r="M3" s="27" t="n"/>
      <c r="N3" s="27" t="inlineStr">
        <is>
          <t>Maintenance préventive fictive EC+PIS - poste G-I-A1100</t>
        </is>
      </c>
      <c r="O3" s="27" t="inlineStr">
        <is>
          <t>ACTI</t>
        </is>
      </c>
      <c r="P3" s="27" t="inlineStr">
        <is>
          <t>STAT_SYS_A</t>
        </is>
      </c>
      <c r="Q3" s="27" t="inlineStr">
        <is>
          <t>USER01</t>
        </is>
      </c>
      <c r="R3" s="30" t="n">
        <v>175</v>
      </c>
      <c r="S3" s="27" t="inlineStr">
        <is>
          <t>EQ1</t>
        </is>
      </c>
      <c r="T3" s="29" t="n">
        <v>46058</v>
      </c>
      <c r="U3" s="27" t="inlineStr">
        <is>
          <t>TECH-01</t>
        </is>
      </c>
      <c r="V3" s="27" t="inlineStr">
        <is>
          <t>G-I-A1100-FILT01</t>
        </is>
      </c>
      <c r="W3" s="27" t="inlineStr">
        <is>
          <t>Équipement fictif 01-1-1</t>
        </is>
      </c>
      <c r="X3" s="27" t="inlineStr">
        <is>
          <t>EQ-01-1-01</t>
        </is>
      </c>
      <c r="Y3" s="27" t="inlineStr">
        <is>
          <t>GG-PREV</t>
        </is>
      </c>
      <c r="Z3" s="27" t="inlineStr">
        <is>
          <t>1</t>
        </is>
      </c>
      <c r="AA3" s="29" t="n">
        <v>46047</v>
      </c>
      <c r="AB3" s="27" t="inlineStr">
        <is>
          <t>COUPURE</t>
        </is>
      </c>
      <c r="AC3" s="27" t="inlineStr">
        <is>
          <t>EC+PIS</t>
        </is>
      </c>
      <c r="AD3" s="28" t="n">
        <v>1</v>
      </c>
      <c r="AE3" s="28" t="n">
        <v>1</v>
      </c>
      <c r="AF3" s="28" t="n">
        <v>1</v>
      </c>
      <c r="AG3" s="27" t="n"/>
      <c r="AH3" s="27" t="n"/>
      <c r="AI3" s="27" t="inlineStr">
        <is>
          <t>Instantané de démonstration – MODELE_GMAO_PREV_ANONYMISE.csv</t>
        </is>
      </c>
      <c r="AJ3" s="31" t="n">
        <v>46309.50763888889</v>
      </c>
    </row>
    <row r="4">
      <c r="A4" s="27" t="inlineStr">
        <is>
          <t>910000002</t>
        </is>
      </c>
      <c r="B4" s="27" t="inlineStr">
        <is>
          <t>EC</t>
        </is>
      </c>
      <c r="C4" s="28" t="n">
        <v>2026</v>
      </c>
      <c r="D4" s="27" t="inlineStr">
        <is>
          <t>SITE01</t>
        </is>
      </c>
      <c r="E4" s="27" t="inlineStr">
        <is>
          <t>EQ1</t>
        </is>
      </c>
      <c r="F4" s="27" t="inlineStr">
        <is>
          <t>G-I-A1200</t>
        </is>
      </c>
      <c r="G4" s="27" t="n"/>
      <c r="H4" s="28" t="n">
        <v>3</v>
      </c>
      <c r="I4" s="29" t="n">
        <v>46013</v>
      </c>
      <c r="J4" s="27" t="n"/>
      <c r="K4" s="27" t="inlineStr">
        <is>
          <t>ZPR2</t>
        </is>
      </c>
      <c r="L4" s="27" t="inlineStr">
        <is>
          <t>PRE</t>
        </is>
      </c>
      <c r="M4" s="27" t="n"/>
      <c r="N4" s="27" t="inlineStr">
        <is>
          <t>Maintenance préventive fictive EC+REV - poste G-I-A1200</t>
        </is>
      </c>
      <c r="O4" s="27" t="inlineStr">
        <is>
          <t>TERM</t>
        </is>
      </c>
      <c r="P4" s="27" t="inlineStr">
        <is>
          <t>STAT_SYS_A</t>
        </is>
      </c>
      <c r="Q4" s="27" t="inlineStr">
        <is>
          <t>USER01</t>
        </is>
      </c>
      <c r="R4" s="30" t="n">
        <v>185</v>
      </c>
      <c r="S4" s="27" t="inlineStr">
        <is>
          <t>EQ1</t>
        </is>
      </c>
      <c r="T4" s="29" t="n">
        <v>46087</v>
      </c>
      <c r="U4" s="27" t="inlineStr">
        <is>
          <t>TECH-01</t>
        </is>
      </c>
      <c r="V4" s="27" t="inlineStr">
        <is>
          <t>G-I-A1200-FILT01</t>
        </is>
      </c>
      <c r="W4" s="27" t="inlineStr">
        <is>
          <t>Équipement fictif 01-1-2</t>
        </is>
      </c>
      <c r="X4" s="27" t="inlineStr">
        <is>
          <t>EQ-01-1-02</t>
        </is>
      </c>
      <c r="Y4" s="27" t="inlineStr">
        <is>
          <t>GG-PREV</t>
        </is>
      </c>
      <c r="Z4" s="27" t="inlineStr">
        <is>
          <t>2</t>
        </is>
      </c>
      <c r="AA4" s="29" t="n">
        <v>46075</v>
      </c>
      <c r="AB4" s="27" t="inlineStr">
        <is>
          <t>SECTIONNEMENT</t>
        </is>
      </c>
      <c r="AC4" s="27" t="inlineStr">
        <is>
          <t>EC+REV</t>
        </is>
      </c>
      <c r="AD4" s="28" t="n">
        <v>2</v>
      </c>
      <c r="AE4" s="28" t="n">
        <v>1</v>
      </c>
      <c r="AF4" s="28" t="n">
        <v>1</v>
      </c>
      <c r="AG4" s="27" t="n"/>
      <c r="AH4" s="27" t="n"/>
      <c r="AI4" s="27" t="inlineStr">
        <is>
          <t>Instantané de démonstration – MODELE_GMAO_PREV_ANONYMISE.csv</t>
        </is>
      </c>
      <c r="AJ4" s="31" t="n">
        <v>46309.50763888889</v>
      </c>
    </row>
    <row r="5">
      <c r="A5" s="27" t="inlineStr">
        <is>
          <t>910000002</t>
        </is>
      </c>
      <c r="B5" s="27" t="inlineStr">
        <is>
          <t>REV</t>
        </is>
      </c>
      <c r="C5" s="28" t="n">
        <v>2026</v>
      </c>
      <c r="D5" s="27" t="inlineStr">
        <is>
          <t>SITE01</t>
        </is>
      </c>
      <c r="E5" s="27" t="inlineStr">
        <is>
          <t>EQ1</t>
        </is>
      </c>
      <c r="F5" s="27" t="inlineStr">
        <is>
          <t>G-I-A1200</t>
        </is>
      </c>
      <c r="G5" s="27" t="n"/>
      <c r="H5" s="28" t="n">
        <v>3</v>
      </c>
      <c r="I5" s="29" t="n">
        <v>46013</v>
      </c>
      <c r="J5" s="27" t="n"/>
      <c r="K5" s="27" t="inlineStr">
        <is>
          <t>ZPR2</t>
        </is>
      </c>
      <c r="L5" s="27" t="inlineStr">
        <is>
          <t>PRE</t>
        </is>
      </c>
      <c r="M5" s="27" t="n"/>
      <c r="N5" s="27" t="inlineStr">
        <is>
          <t>Maintenance préventive fictive EC+REV - poste G-I-A1200</t>
        </is>
      </c>
      <c r="O5" s="27" t="inlineStr">
        <is>
          <t>TERM</t>
        </is>
      </c>
      <c r="P5" s="27" t="inlineStr">
        <is>
          <t>STAT_SYS_A</t>
        </is>
      </c>
      <c r="Q5" s="27" t="inlineStr">
        <is>
          <t>USER01</t>
        </is>
      </c>
      <c r="R5" s="30" t="n">
        <v>185</v>
      </c>
      <c r="S5" s="27" t="inlineStr">
        <is>
          <t>EQ1</t>
        </is>
      </c>
      <c r="T5" s="29" t="n">
        <v>46087</v>
      </c>
      <c r="U5" s="27" t="inlineStr">
        <is>
          <t>TECH-01</t>
        </is>
      </c>
      <c r="V5" s="27" t="inlineStr">
        <is>
          <t>G-I-A1200-FILT01</t>
        </is>
      </c>
      <c r="W5" s="27" t="inlineStr">
        <is>
          <t>Équipement fictif 01-1-2</t>
        </is>
      </c>
      <c r="X5" s="27" t="inlineStr">
        <is>
          <t>EQ-01-1-02</t>
        </is>
      </c>
      <c r="Y5" s="27" t="inlineStr">
        <is>
          <t>GG-PREV</t>
        </is>
      </c>
      <c r="Z5" s="27" t="inlineStr">
        <is>
          <t>2</t>
        </is>
      </c>
      <c r="AA5" s="29" t="n">
        <v>46075</v>
      </c>
      <c r="AB5" s="27" t="inlineStr">
        <is>
          <t>SECTIONNEMENT</t>
        </is>
      </c>
      <c r="AC5" s="27" t="inlineStr">
        <is>
          <t>EC+REV</t>
        </is>
      </c>
      <c r="AD5" s="28" t="n">
        <v>5</v>
      </c>
      <c r="AE5" s="28" t="n">
        <v>1</v>
      </c>
      <c r="AF5" s="28" t="n">
        <v>1</v>
      </c>
      <c r="AG5" s="27" t="n"/>
      <c r="AH5" s="27" t="n"/>
      <c r="AI5" s="27" t="inlineStr">
        <is>
          <t>Instantané de démonstration – MODELE_GMAO_PREV_ANONYMISE.csv</t>
        </is>
      </c>
      <c r="AJ5" s="31" t="n">
        <v>46309.50763888889</v>
      </c>
    </row>
    <row r="6">
      <c r="A6" s="27" t="inlineStr">
        <is>
          <t>910000003</t>
        </is>
      </c>
      <c r="B6" s="27" t="inlineStr">
        <is>
          <t>EC</t>
        </is>
      </c>
      <c r="C6" s="28" t="n">
        <v>2026</v>
      </c>
      <c r="D6" s="27" t="inlineStr">
        <is>
          <t>SITE01</t>
        </is>
      </c>
      <c r="E6" s="27" t="inlineStr">
        <is>
          <t>EQ1</t>
        </is>
      </c>
      <c r="F6" s="27" t="inlineStr">
        <is>
          <t>G-I-A1300</t>
        </is>
      </c>
      <c r="G6" s="27" t="n"/>
      <c r="H6" s="28" t="n">
        <v>4</v>
      </c>
      <c r="I6" s="29" t="n">
        <v>46038</v>
      </c>
      <c r="J6" s="27" t="n"/>
      <c r="K6" s="27" t="inlineStr">
        <is>
          <t>ZPR2</t>
        </is>
      </c>
      <c r="L6" s="27" t="inlineStr">
        <is>
          <t>PRE</t>
        </is>
      </c>
      <c r="M6" s="27" t="n"/>
      <c r="N6" s="27" t="inlineStr">
        <is>
          <t>Maintenance préventive fictive EC+PIS+PILOTAGE+FILTRE - poste G-I-A1300</t>
        </is>
      </c>
      <c r="O6" s="27" t="inlineStr">
        <is>
          <t>ACTI</t>
        </is>
      </c>
      <c r="P6" s="27" t="inlineStr">
        <is>
          <t>STAT_SYS_A</t>
        </is>
      </c>
      <c r="Q6" s="27" t="inlineStr">
        <is>
          <t>USER01</t>
        </is>
      </c>
      <c r="R6" s="30" t="n">
        <v>195</v>
      </c>
      <c r="S6" s="27" t="inlineStr">
        <is>
          <t>EQ1</t>
        </is>
      </c>
      <c r="T6" s="29" t="n">
        <v>46119</v>
      </c>
      <c r="U6" s="27" t="inlineStr">
        <is>
          <t>TECH-01</t>
        </is>
      </c>
      <c r="V6" s="27" t="inlineStr">
        <is>
          <t>G-I-A1300-SEC01</t>
        </is>
      </c>
      <c r="W6" s="27" t="inlineStr">
        <is>
          <t>Équipement fictif 01-1-3</t>
        </is>
      </c>
      <c r="X6" s="27" t="inlineStr">
        <is>
          <t>EQ-01-1-03</t>
        </is>
      </c>
      <c r="Y6" s="27" t="inlineStr">
        <is>
          <t>GG-PREV</t>
        </is>
      </c>
      <c r="Z6" s="27" t="inlineStr">
        <is>
          <t>3</t>
        </is>
      </c>
      <c r="AA6" s="29" t="n">
        <v>46106</v>
      </c>
      <c r="AB6" s="27" t="inlineStr">
        <is>
          <t>COMPTAGE</t>
        </is>
      </c>
      <c r="AC6" s="27" t="inlineStr">
        <is>
          <t>EC+PIS+PILOTAGE+FILTRE</t>
        </is>
      </c>
      <c r="AD6" s="28" t="n">
        <v>2</v>
      </c>
      <c r="AE6" s="28" t="n">
        <v>1</v>
      </c>
      <c r="AF6" s="28" t="n">
        <v>1</v>
      </c>
      <c r="AG6" s="27" t="n"/>
      <c r="AH6" s="27" t="n"/>
      <c r="AI6" s="27" t="inlineStr">
        <is>
          <t>Instantané de démonstration – MODELE_GMAO_PREV_ANONYMISE.csv</t>
        </is>
      </c>
      <c r="AJ6" s="31" t="n">
        <v>46309.50763888889</v>
      </c>
    </row>
    <row r="7">
      <c r="A7" s="27" t="inlineStr">
        <is>
          <t>910000003</t>
        </is>
      </c>
      <c r="B7" s="27" t="inlineStr">
        <is>
          <t>PIS</t>
        </is>
      </c>
      <c r="C7" s="28" t="n">
        <v>2026</v>
      </c>
      <c r="D7" s="27" t="inlineStr">
        <is>
          <t>SITE01</t>
        </is>
      </c>
      <c r="E7" s="27" t="inlineStr">
        <is>
          <t>EQ1</t>
        </is>
      </c>
      <c r="F7" s="27" t="inlineStr">
        <is>
          <t>G-I-A1300</t>
        </is>
      </c>
      <c r="G7" s="27" t="n"/>
      <c r="H7" s="28" t="n">
        <v>4</v>
      </c>
      <c r="I7" s="29" t="n">
        <v>46038</v>
      </c>
      <c r="J7" s="27" t="n"/>
      <c r="K7" s="27" t="inlineStr">
        <is>
          <t>ZPR2</t>
        </is>
      </c>
      <c r="L7" s="27" t="inlineStr">
        <is>
          <t>PRE</t>
        </is>
      </c>
      <c r="M7" s="27" t="n"/>
      <c r="N7" s="27" t="inlineStr">
        <is>
          <t>Maintenance préventive fictive EC+PIS+PILOTAGE+FILTRE - poste G-I-A1300</t>
        </is>
      </c>
      <c r="O7" s="27" t="inlineStr">
        <is>
          <t>ACTI</t>
        </is>
      </c>
      <c r="P7" s="27" t="inlineStr">
        <is>
          <t>STAT_SYS_A</t>
        </is>
      </c>
      <c r="Q7" s="27" t="inlineStr">
        <is>
          <t>USER01</t>
        </is>
      </c>
      <c r="R7" s="30" t="n">
        <v>195</v>
      </c>
      <c r="S7" s="27" t="inlineStr">
        <is>
          <t>EQ1</t>
        </is>
      </c>
      <c r="T7" s="29" t="n">
        <v>46119</v>
      </c>
      <c r="U7" s="27" t="inlineStr">
        <is>
          <t>TECH-01</t>
        </is>
      </c>
      <c r="V7" s="27" t="inlineStr">
        <is>
          <t>G-I-A1300-SEC01</t>
        </is>
      </c>
      <c r="W7" s="27" t="inlineStr">
        <is>
          <t>Équipement fictif 01-1-3</t>
        </is>
      </c>
      <c r="X7" s="27" t="inlineStr">
        <is>
          <t>EQ-01-1-03</t>
        </is>
      </c>
      <c r="Y7" s="27" t="inlineStr">
        <is>
          <t>GG-PREV</t>
        </is>
      </c>
      <c r="Z7" s="27" t="inlineStr">
        <is>
          <t>3</t>
        </is>
      </c>
      <c r="AA7" s="29" t="n">
        <v>46106</v>
      </c>
      <c r="AB7" s="27" t="inlineStr">
        <is>
          <t>COMPTAGE</t>
        </is>
      </c>
      <c r="AC7" s="27" t="inlineStr">
        <is>
          <t>EC+PIS+PILOTAGE+FILTRE</t>
        </is>
      </c>
      <c r="AD7" s="28" t="n">
        <v>1</v>
      </c>
      <c r="AE7" s="28" t="n">
        <v>1</v>
      </c>
      <c r="AF7" s="28" t="n">
        <v>1</v>
      </c>
      <c r="AG7" s="27" t="n"/>
      <c r="AH7" s="27" t="n"/>
      <c r="AI7" s="27" t="inlineStr">
        <is>
          <t>Instantané de démonstration – MODELE_GMAO_PREV_ANONYMISE.csv</t>
        </is>
      </c>
      <c r="AJ7" s="31" t="n">
        <v>46309.50763888889</v>
      </c>
    </row>
    <row r="8">
      <c r="A8" s="27" t="inlineStr">
        <is>
          <t>910000003</t>
        </is>
      </c>
      <c r="B8" s="27" t="inlineStr">
        <is>
          <t>PILOTAGE</t>
        </is>
      </c>
      <c r="C8" s="28" t="n">
        <v>2026</v>
      </c>
      <c r="D8" s="27" t="inlineStr">
        <is>
          <t>SITE01</t>
        </is>
      </c>
      <c r="E8" s="27" t="inlineStr">
        <is>
          <t>EQ1</t>
        </is>
      </c>
      <c r="F8" s="27" t="inlineStr">
        <is>
          <t>G-I-A1300</t>
        </is>
      </c>
      <c r="G8" s="27" t="n"/>
      <c r="H8" s="28" t="n">
        <v>4</v>
      </c>
      <c r="I8" s="29" t="n">
        <v>46038</v>
      </c>
      <c r="J8" s="27" t="n"/>
      <c r="K8" s="27" t="inlineStr">
        <is>
          <t>ZPR2</t>
        </is>
      </c>
      <c r="L8" s="27" t="inlineStr">
        <is>
          <t>PRE</t>
        </is>
      </c>
      <c r="M8" s="27" t="n"/>
      <c r="N8" s="27" t="inlineStr">
        <is>
          <t>Maintenance préventive fictive EC+PIS+PILOTAGE+FILTRE - poste G-I-A1300</t>
        </is>
      </c>
      <c r="O8" s="27" t="inlineStr">
        <is>
          <t>ACTI</t>
        </is>
      </c>
      <c r="P8" s="27" t="inlineStr">
        <is>
          <t>STAT_SYS_A</t>
        </is>
      </c>
      <c r="Q8" s="27" t="inlineStr">
        <is>
          <t>USER01</t>
        </is>
      </c>
      <c r="R8" s="30" t="n">
        <v>195</v>
      </c>
      <c r="S8" s="27" t="inlineStr">
        <is>
          <t>EQ1</t>
        </is>
      </c>
      <c r="T8" s="29" t="n">
        <v>46119</v>
      </c>
      <c r="U8" s="27" t="inlineStr">
        <is>
          <t>TECH-01</t>
        </is>
      </c>
      <c r="V8" s="27" t="inlineStr">
        <is>
          <t>G-I-A1300-SEC01</t>
        </is>
      </c>
      <c r="W8" s="27" t="inlineStr">
        <is>
          <t>Équipement fictif 01-1-3</t>
        </is>
      </c>
      <c r="X8" s="27" t="inlineStr">
        <is>
          <t>EQ-01-1-03</t>
        </is>
      </c>
      <c r="Y8" s="27" t="inlineStr">
        <is>
          <t>GG-PREV</t>
        </is>
      </c>
      <c r="Z8" s="27" t="inlineStr">
        <is>
          <t>3</t>
        </is>
      </c>
      <c r="AA8" s="29" t="n">
        <v>46106</v>
      </c>
      <c r="AB8" s="27" t="inlineStr">
        <is>
          <t>COMPTAGE</t>
        </is>
      </c>
      <c r="AC8" s="27" t="inlineStr">
        <is>
          <t>EC+PIS+PILOTAGE+FILTRE</t>
        </is>
      </c>
      <c r="AD8" s="28" t="n">
        <v>3</v>
      </c>
      <c r="AE8" s="28" t="n">
        <v>1</v>
      </c>
      <c r="AF8" s="28" t="n">
        <v>1</v>
      </c>
      <c r="AG8" s="27" t="n"/>
      <c r="AH8" s="27" t="n"/>
      <c r="AI8" s="27" t="inlineStr">
        <is>
          <t>Instantané de démonstration – MODELE_GMAO_PREV_ANONYMISE.csv</t>
        </is>
      </c>
      <c r="AJ8" s="31" t="n">
        <v>46309.50763888889</v>
      </c>
    </row>
    <row r="9">
      <c r="A9" s="27" t="inlineStr">
        <is>
          <t>910000003</t>
        </is>
      </c>
      <c r="B9" s="27" t="inlineStr">
        <is>
          <t>FILTRE</t>
        </is>
      </c>
      <c r="C9" s="28" t="n">
        <v>2026</v>
      </c>
      <c r="D9" s="27" t="inlineStr">
        <is>
          <t>SITE01</t>
        </is>
      </c>
      <c r="E9" s="27" t="inlineStr">
        <is>
          <t>EQ1</t>
        </is>
      </c>
      <c r="F9" s="27" t="inlineStr">
        <is>
          <t>G-I-A1300</t>
        </is>
      </c>
      <c r="G9" s="27" t="n"/>
      <c r="H9" s="28" t="n">
        <v>4</v>
      </c>
      <c r="I9" s="29" t="n">
        <v>46038</v>
      </c>
      <c r="J9" s="27" t="n"/>
      <c r="K9" s="27" t="inlineStr">
        <is>
          <t>ZPR2</t>
        </is>
      </c>
      <c r="L9" s="27" t="inlineStr">
        <is>
          <t>PRE</t>
        </is>
      </c>
      <c r="M9" s="27" t="n"/>
      <c r="N9" s="27" t="inlineStr">
        <is>
          <t>Maintenance préventive fictive EC+PIS+PILOTAGE+FILTRE - poste G-I-A1300</t>
        </is>
      </c>
      <c r="O9" s="27" t="inlineStr">
        <is>
          <t>ACTI</t>
        </is>
      </c>
      <c r="P9" s="27" t="inlineStr">
        <is>
          <t>STAT_SYS_A</t>
        </is>
      </c>
      <c r="Q9" s="27" t="inlineStr">
        <is>
          <t>USER01</t>
        </is>
      </c>
      <c r="R9" s="30" t="n">
        <v>195</v>
      </c>
      <c r="S9" s="27" t="inlineStr">
        <is>
          <t>EQ1</t>
        </is>
      </c>
      <c r="T9" s="29" t="n">
        <v>46119</v>
      </c>
      <c r="U9" s="27" t="inlineStr">
        <is>
          <t>TECH-01</t>
        </is>
      </c>
      <c r="V9" s="27" t="inlineStr">
        <is>
          <t>G-I-A1300-SEC01</t>
        </is>
      </c>
      <c r="W9" s="27" t="inlineStr">
        <is>
          <t>Équipement fictif 01-1-3</t>
        </is>
      </c>
      <c r="X9" s="27" t="inlineStr">
        <is>
          <t>EQ-01-1-03</t>
        </is>
      </c>
      <c r="Y9" s="27" t="inlineStr">
        <is>
          <t>GG-PREV</t>
        </is>
      </c>
      <c r="Z9" s="27" t="inlineStr">
        <is>
          <t>3</t>
        </is>
      </c>
      <c r="AA9" s="29" t="n">
        <v>46106</v>
      </c>
      <c r="AB9" s="27" t="inlineStr">
        <is>
          <t>COMPTAGE</t>
        </is>
      </c>
      <c r="AC9" s="27" t="inlineStr">
        <is>
          <t>EC+PIS+PILOTAGE+FILTRE</t>
        </is>
      </c>
      <c r="AD9" s="28" t="n">
        <v>4</v>
      </c>
      <c r="AE9" s="28" t="n">
        <v>1</v>
      </c>
      <c r="AF9" s="28" t="n">
        <v>1</v>
      </c>
      <c r="AG9" s="27" t="n"/>
      <c r="AH9" s="27" t="n"/>
      <c r="AI9" s="27" t="inlineStr">
        <is>
          <t>Instantané de démonstration – MODELE_GMAO_PREV_ANONYMISE.csv</t>
        </is>
      </c>
      <c r="AJ9" s="31" t="n">
        <v>46309.50763888889</v>
      </c>
    </row>
    <row r="10">
      <c r="A10" s="27" t="inlineStr">
        <is>
          <t>910000004</t>
        </is>
      </c>
      <c r="B10" s="27" t="inlineStr">
        <is>
          <t>EC</t>
        </is>
      </c>
      <c r="C10" s="28" t="n">
        <v>2026</v>
      </c>
      <c r="D10" s="27" t="inlineStr">
        <is>
          <t>SITE01</t>
        </is>
      </c>
      <c r="E10" s="27" t="inlineStr">
        <is>
          <t>EQ2</t>
        </is>
      </c>
      <c r="F10" s="27" t="inlineStr">
        <is>
          <t>G-I-A2100</t>
        </is>
      </c>
      <c r="G10" s="27" t="n"/>
      <c r="H10" s="28" t="n">
        <v>5</v>
      </c>
      <c r="I10" s="29" t="n">
        <v>46019</v>
      </c>
      <c r="J10" s="27" t="n"/>
      <c r="K10" s="27" t="inlineStr">
        <is>
          <t>ZPR2</t>
        </is>
      </c>
      <c r="L10" s="27" t="inlineStr">
        <is>
          <t>PRE</t>
        </is>
      </c>
      <c r="M10" s="27" t="n"/>
      <c r="N10" s="27" t="inlineStr">
        <is>
          <t>Maintenance préventive fictive EC+REV - poste G-I-A2100</t>
        </is>
      </c>
      <c r="O10" s="27" t="inlineStr">
        <is>
          <t>TERM</t>
        </is>
      </c>
      <c r="P10" s="27" t="inlineStr">
        <is>
          <t>STAT_SYS_A</t>
        </is>
      </c>
      <c r="Q10" s="27" t="inlineStr">
        <is>
          <t>USER02</t>
        </is>
      </c>
      <c r="R10" s="30" t="n">
        <v>215</v>
      </c>
      <c r="S10" s="27" t="inlineStr">
        <is>
          <t>EQ2</t>
        </is>
      </c>
      <c r="T10" s="29" t="n">
        <v>46086</v>
      </c>
      <c r="U10" s="27" t="inlineStr">
        <is>
          <t>TECH-01</t>
        </is>
      </c>
      <c r="V10" s="27" t="inlineStr">
        <is>
          <t>G-I-A2100-VAN01</t>
        </is>
      </c>
      <c r="W10" s="27" t="inlineStr">
        <is>
          <t>Équipement fictif 01-2-1</t>
        </is>
      </c>
      <c r="X10" s="27" t="inlineStr">
        <is>
          <t>EQ-01-2-01</t>
        </is>
      </c>
      <c r="Y10" s="27" t="inlineStr">
        <is>
          <t>GG-PREV</t>
        </is>
      </c>
      <c r="Z10" s="27" t="inlineStr">
        <is>
          <t>1</t>
        </is>
      </c>
      <c r="AA10" s="29" t="n">
        <v>46075</v>
      </c>
      <c r="AB10" s="27" t="inlineStr">
        <is>
          <t>COUPURE</t>
        </is>
      </c>
      <c r="AC10" s="27" t="inlineStr">
        <is>
          <t>EC+REV</t>
        </is>
      </c>
      <c r="AD10" s="28" t="n">
        <v>2</v>
      </c>
      <c r="AE10" s="28" t="n">
        <v>1</v>
      </c>
      <c r="AF10" s="28" t="n">
        <v>1</v>
      </c>
      <c r="AG10" s="27" t="n"/>
      <c r="AH10" s="27" t="n"/>
      <c r="AI10" s="27" t="inlineStr">
        <is>
          <t>Instantané de démonstration – MODELE_GMAO_PREV_ANONYMISE.csv</t>
        </is>
      </c>
      <c r="AJ10" s="31" t="n">
        <v>46309.50763888889</v>
      </c>
    </row>
    <row r="11">
      <c r="A11" s="27" t="inlineStr">
        <is>
          <t>910000004</t>
        </is>
      </c>
      <c r="B11" s="27" t="inlineStr">
        <is>
          <t>REV</t>
        </is>
      </c>
      <c r="C11" s="28" t="n">
        <v>2026</v>
      </c>
      <c r="D11" s="27" t="inlineStr">
        <is>
          <t>SITE01</t>
        </is>
      </c>
      <c r="E11" s="27" t="inlineStr">
        <is>
          <t>EQ2</t>
        </is>
      </c>
      <c r="F11" s="27" t="inlineStr">
        <is>
          <t>G-I-A2100</t>
        </is>
      </c>
      <c r="G11" s="27" t="n"/>
      <c r="H11" s="28" t="n">
        <v>5</v>
      </c>
      <c r="I11" s="29" t="n">
        <v>46019</v>
      </c>
      <c r="J11" s="27" t="n"/>
      <c r="K11" s="27" t="inlineStr">
        <is>
          <t>ZPR2</t>
        </is>
      </c>
      <c r="L11" s="27" t="inlineStr">
        <is>
          <t>PRE</t>
        </is>
      </c>
      <c r="M11" s="27" t="n"/>
      <c r="N11" s="27" t="inlineStr">
        <is>
          <t>Maintenance préventive fictive EC+REV - poste G-I-A2100</t>
        </is>
      </c>
      <c r="O11" s="27" t="inlineStr">
        <is>
          <t>TERM</t>
        </is>
      </c>
      <c r="P11" s="27" t="inlineStr">
        <is>
          <t>STAT_SYS_A</t>
        </is>
      </c>
      <c r="Q11" s="27" t="inlineStr">
        <is>
          <t>USER02</t>
        </is>
      </c>
      <c r="R11" s="30" t="n">
        <v>215</v>
      </c>
      <c r="S11" s="27" t="inlineStr">
        <is>
          <t>EQ2</t>
        </is>
      </c>
      <c r="T11" s="29" t="n">
        <v>46086</v>
      </c>
      <c r="U11" s="27" t="inlineStr">
        <is>
          <t>TECH-01</t>
        </is>
      </c>
      <c r="V11" s="27" t="inlineStr">
        <is>
          <t>G-I-A2100-VAN01</t>
        </is>
      </c>
      <c r="W11" s="27" t="inlineStr">
        <is>
          <t>Équipement fictif 01-2-1</t>
        </is>
      </c>
      <c r="X11" s="27" t="inlineStr">
        <is>
          <t>EQ-01-2-01</t>
        </is>
      </c>
      <c r="Y11" s="27" t="inlineStr">
        <is>
          <t>GG-PREV</t>
        </is>
      </c>
      <c r="Z11" s="27" t="inlineStr">
        <is>
          <t>1</t>
        </is>
      </c>
      <c r="AA11" s="29" t="n">
        <v>46075</v>
      </c>
      <c r="AB11" s="27" t="inlineStr">
        <is>
          <t>COUPURE</t>
        </is>
      </c>
      <c r="AC11" s="27" t="inlineStr">
        <is>
          <t>EC+REV</t>
        </is>
      </c>
      <c r="AD11" s="28" t="n">
        <v>5</v>
      </c>
      <c r="AE11" s="28" t="n">
        <v>1</v>
      </c>
      <c r="AF11" s="28" t="n">
        <v>1</v>
      </c>
      <c r="AG11" s="27" t="n"/>
      <c r="AH11" s="27" t="n"/>
      <c r="AI11" s="27" t="inlineStr">
        <is>
          <t>Instantané de démonstration – MODELE_GMAO_PREV_ANONYMISE.csv</t>
        </is>
      </c>
      <c r="AJ11" s="31" t="n">
        <v>46309.50763888889</v>
      </c>
    </row>
    <row r="12">
      <c r="A12" s="27" t="inlineStr">
        <is>
          <t>910000005</t>
        </is>
      </c>
      <c r="B12" s="27" t="inlineStr">
        <is>
          <t>EC</t>
        </is>
      </c>
      <c r="C12" s="28" t="n">
        <v>2026</v>
      </c>
      <c r="D12" s="27" t="inlineStr">
        <is>
          <t>SITE01</t>
        </is>
      </c>
      <c r="E12" s="27" t="inlineStr">
        <is>
          <t>EQ2</t>
        </is>
      </c>
      <c r="F12" s="27" t="inlineStr">
        <is>
          <t>G-I-A2200</t>
        </is>
      </c>
      <c r="G12" s="27" t="n"/>
      <c r="H12" s="28" t="n">
        <v>6</v>
      </c>
      <c r="I12" s="29" t="n">
        <v>46044</v>
      </c>
      <c r="J12" s="27" t="n"/>
      <c r="K12" s="27" t="inlineStr">
        <is>
          <t>ZPR2</t>
        </is>
      </c>
      <c r="L12" s="27" t="inlineStr">
        <is>
          <t>PRE</t>
        </is>
      </c>
      <c r="M12" s="27" t="n"/>
      <c r="N12" s="27" t="inlineStr">
        <is>
          <t>Maintenance préventive fictive EC+PIS+PILOTAGE+FILTRE - poste G-I-A2200</t>
        </is>
      </c>
      <c r="O12" s="27" t="inlineStr">
        <is>
          <t>ACTI</t>
        </is>
      </c>
      <c r="P12" s="27" t="inlineStr">
        <is>
          <t>STAT_SYS_A</t>
        </is>
      </c>
      <c r="Q12" s="27" t="inlineStr">
        <is>
          <t>USER02</t>
        </is>
      </c>
      <c r="R12" s="30" t="n">
        <v>225</v>
      </c>
      <c r="S12" s="27" t="inlineStr">
        <is>
          <t>EQ2</t>
        </is>
      </c>
      <c r="T12" s="29" t="n">
        <v>46118</v>
      </c>
      <c r="U12" s="27" t="inlineStr">
        <is>
          <t>TECH-01</t>
        </is>
      </c>
      <c r="V12" s="27" t="inlineStr">
        <is>
          <t>G-I-A2200-VAN01</t>
        </is>
      </c>
      <c r="W12" s="27" t="inlineStr">
        <is>
          <t>Équipement fictif 01-2-2</t>
        </is>
      </c>
      <c r="X12" s="27" t="inlineStr">
        <is>
          <t>EQ-01-2-02</t>
        </is>
      </c>
      <c r="Y12" s="27" t="inlineStr">
        <is>
          <t>GG-PREV</t>
        </is>
      </c>
      <c r="Z12" s="27" t="inlineStr">
        <is>
          <t>2</t>
        </is>
      </c>
      <c r="AA12" s="29" t="n">
        <v>46106</v>
      </c>
      <c r="AB12" s="27" t="inlineStr">
        <is>
          <t>SECTIONNEMENT</t>
        </is>
      </c>
      <c r="AC12" s="27" t="inlineStr">
        <is>
          <t>EC+PIS+PILOTAGE+FILTRE</t>
        </is>
      </c>
      <c r="AD12" s="28" t="n">
        <v>2</v>
      </c>
      <c r="AE12" s="28" t="n">
        <v>1</v>
      </c>
      <c r="AF12" s="28" t="n">
        <v>1</v>
      </c>
      <c r="AG12" s="27" t="n"/>
      <c r="AH12" s="27" t="n"/>
      <c r="AI12" s="27" t="inlineStr">
        <is>
          <t>Instantané de démonstration – MODELE_GMAO_PREV_ANONYMISE.csv</t>
        </is>
      </c>
      <c r="AJ12" s="31" t="n">
        <v>46309.50763888889</v>
      </c>
    </row>
    <row r="13">
      <c r="A13" s="27" t="inlineStr">
        <is>
          <t>910000005</t>
        </is>
      </c>
      <c r="B13" s="27" t="inlineStr">
        <is>
          <t>PIS</t>
        </is>
      </c>
      <c r="C13" s="28" t="n">
        <v>2026</v>
      </c>
      <c r="D13" s="27" t="inlineStr">
        <is>
          <t>SITE01</t>
        </is>
      </c>
      <c r="E13" s="27" t="inlineStr">
        <is>
          <t>EQ2</t>
        </is>
      </c>
      <c r="F13" s="27" t="inlineStr">
        <is>
          <t>G-I-A2200</t>
        </is>
      </c>
      <c r="G13" s="27" t="n"/>
      <c r="H13" s="28" t="n">
        <v>6</v>
      </c>
      <c r="I13" s="29" t="n">
        <v>46044</v>
      </c>
      <c r="J13" s="27" t="n"/>
      <c r="K13" s="27" t="inlineStr">
        <is>
          <t>ZPR2</t>
        </is>
      </c>
      <c r="L13" s="27" t="inlineStr">
        <is>
          <t>PRE</t>
        </is>
      </c>
      <c r="M13" s="27" t="n"/>
      <c r="N13" s="27" t="inlineStr">
        <is>
          <t>Maintenance préventive fictive EC+PIS+PILOTAGE+FILTRE - poste G-I-A2200</t>
        </is>
      </c>
      <c r="O13" s="27" t="inlineStr">
        <is>
          <t>ACTI</t>
        </is>
      </c>
      <c r="P13" s="27" t="inlineStr">
        <is>
          <t>STAT_SYS_A</t>
        </is>
      </c>
      <c r="Q13" s="27" t="inlineStr">
        <is>
          <t>USER02</t>
        </is>
      </c>
      <c r="R13" s="30" t="n">
        <v>225</v>
      </c>
      <c r="S13" s="27" t="inlineStr">
        <is>
          <t>EQ2</t>
        </is>
      </c>
      <c r="T13" s="29" t="n">
        <v>46118</v>
      </c>
      <c r="U13" s="27" t="inlineStr">
        <is>
          <t>TECH-01</t>
        </is>
      </c>
      <c r="V13" s="27" t="inlineStr">
        <is>
          <t>G-I-A2200-VAN01</t>
        </is>
      </c>
      <c r="W13" s="27" t="inlineStr">
        <is>
          <t>Équipement fictif 01-2-2</t>
        </is>
      </c>
      <c r="X13" s="27" t="inlineStr">
        <is>
          <t>EQ-01-2-02</t>
        </is>
      </c>
      <c r="Y13" s="27" t="inlineStr">
        <is>
          <t>GG-PREV</t>
        </is>
      </c>
      <c r="Z13" s="27" t="inlineStr">
        <is>
          <t>2</t>
        </is>
      </c>
      <c r="AA13" s="29" t="n">
        <v>46106</v>
      </c>
      <c r="AB13" s="27" t="inlineStr">
        <is>
          <t>SECTIONNEMENT</t>
        </is>
      </c>
      <c r="AC13" s="27" t="inlineStr">
        <is>
          <t>EC+PIS+PILOTAGE+FILTRE</t>
        </is>
      </c>
      <c r="AD13" s="28" t="n">
        <v>1</v>
      </c>
      <c r="AE13" s="28" t="n">
        <v>1</v>
      </c>
      <c r="AF13" s="28" t="n">
        <v>1</v>
      </c>
      <c r="AG13" s="27" t="n"/>
      <c r="AH13" s="27" t="n"/>
      <c r="AI13" s="27" t="inlineStr">
        <is>
          <t>Instantané de démonstration – MODELE_GMAO_PREV_ANONYMISE.csv</t>
        </is>
      </c>
      <c r="AJ13" s="31" t="n">
        <v>46309.50763888889</v>
      </c>
    </row>
    <row r="14">
      <c r="A14" s="27" t="inlineStr">
        <is>
          <t>910000005</t>
        </is>
      </c>
      <c r="B14" s="27" t="inlineStr">
        <is>
          <t>PILOTAGE</t>
        </is>
      </c>
      <c r="C14" s="28" t="n">
        <v>2026</v>
      </c>
      <c r="D14" s="27" t="inlineStr">
        <is>
          <t>SITE01</t>
        </is>
      </c>
      <c r="E14" s="27" t="inlineStr">
        <is>
          <t>EQ2</t>
        </is>
      </c>
      <c r="F14" s="27" t="inlineStr">
        <is>
          <t>G-I-A2200</t>
        </is>
      </c>
      <c r="G14" s="27" t="n"/>
      <c r="H14" s="28" t="n">
        <v>6</v>
      </c>
      <c r="I14" s="29" t="n">
        <v>46044</v>
      </c>
      <c r="J14" s="27" t="n"/>
      <c r="K14" s="27" t="inlineStr">
        <is>
          <t>ZPR2</t>
        </is>
      </c>
      <c r="L14" s="27" t="inlineStr">
        <is>
          <t>PRE</t>
        </is>
      </c>
      <c r="M14" s="27" t="n"/>
      <c r="N14" s="27" t="inlineStr">
        <is>
          <t>Maintenance préventive fictive EC+PIS+PILOTAGE+FILTRE - poste G-I-A2200</t>
        </is>
      </c>
      <c r="O14" s="27" t="inlineStr">
        <is>
          <t>ACTI</t>
        </is>
      </c>
      <c r="P14" s="27" t="inlineStr">
        <is>
          <t>STAT_SYS_A</t>
        </is>
      </c>
      <c r="Q14" s="27" t="inlineStr">
        <is>
          <t>USER02</t>
        </is>
      </c>
      <c r="R14" s="30" t="n">
        <v>225</v>
      </c>
      <c r="S14" s="27" t="inlineStr">
        <is>
          <t>EQ2</t>
        </is>
      </c>
      <c r="T14" s="29" t="n">
        <v>46118</v>
      </c>
      <c r="U14" s="27" t="inlineStr">
        <is>
          <t>TECH-01</t>
        </is>
      </c>
      <c r="V14" s="27" t="inlineStr">
        <is>
          <t>G-I-A2200-VAN01</t>
        </is>
      </c>
      <c r="W14" s="27" t="inlineStr">
        <is>
          <t>Équipement fictif 01-2-2</t>
        </is>
      </c>
      <c r="X14" s="27" t="inlineStr">
        <is>
          <t>EQ-01-2-02</t>
        </is>
      </c>
      <c r="Y14" s="27" t="inlineStr">
        <is>
          <t>GG-PREV</t>
        </is>
      </c>
      <c r="Z14" s="27" t="inlineStr">
        <is>
          <t>2</t>
        </is>
      </c>
      <c r="AA14" s="29" t="n">
        <v>46106</v>
      </c>
      <c r="AB14" s="27" t="inlineStr">
        <is>
          <t>SECTIONNEMENT</t>
        </is>
      </c>
      <c r="AC14" s="27" t="inlineStr">
        <is>
          <t>EC+PIS+PILOTAGE+FILTRE</t>
        </is>
      </c>
      <c r="AD14" s="28" t="n">
        <v>3</v>
      </c>
      <c r="AE14" s="28" t="n">
        <v>1</v>
      </c>
      <c r="AF14" s="28" t="n">
        <v>1</v>
      </c>
      <c r="AG14" s="27" t="n"/>
      <c r="AH14" s="27" t="n"/>
      <c r="AI14" s="27" t="inlineStr">
        <is>
          <t>Instantané de démonstration – MODELE_GMAO_PREV_ANONYMISE.csv</t>
        </is>
      </c>
      <c r="AJ14" s="31" t="n">
        <v>46309.50763888889</v>
      </c>
    </row>
    <row r="15">
      <c r="A15" s="27" t="inlineStr">
        <is>
          <t>910000005</t>
        </is>
      </c>
      <c r="B15" s="27" t="inlineStr">
        <is>
          <t>FILTRE</t>
        </is>
      </c>
      <c r="C15" s="28" t="n">
        <v>2026</v>
      </c>
      <c r="D15" s="27" t="inlineStr">
        <is>
          <t>SITE01</t>
        </is>
      </c>
      <c r="E15" s="27" t="inlineStr">
        <is>
          <t>EQ2</t>
        </is>
      </c>
      <c r="F15" s="27" t="inlineStr">
        <is>
          <t>G-I-A2200</t>
        </is>
      </c>
      <c r="G15" s="27" t="n"/>
      <c r="H15" s="28" t="n">
        <v>6</v>
      </c>
      <c r="I15" s="29" t="n">
        <v>46044</v>
      </c>
      <c r="J15" s="27" t="n"/>
      <c r="K15" s="27" t="inlineStr">
        <is>
          <t>ZPR2</t>
        </is>
      </c>
      <c r="L15" s="27" t="inlineStr">
        <is>
          <t>PRE</t>
        </is>
      </c>
      <c r="M15" s="27" t="n"/>
      <c r="N15" s="27" t="inlineStr">
        <is>
          <t>Maintenance préventive fictive EC+PIS+PILOTAGE+FILTRE - poste G-I-A2200</t>
        </is>
      </c>
      <c r="O15" s="27" t="inlineStr">
        <is>
          <t>ACTI</t>
        </is>
      </c>
      <c r="P15" s="27" t="inlineStr">
        <is>
          <t>STAT_SYS_A</t>
        </is>
      </c>
      <c r="Q15" s="27" t="inlineStr">
        <is>
          <t>USER02</t>
        </is>
      </c>
      <c r="R15" s="30" t="n">
        <v>225</v>
      </c>
      <c r="S15" s="27" t="inlineStr">
        <is>
          <t>EQ2</t>
        </is>
      </c>
      <c r="T15" s="29" t="n">
        <v>46118</v>
      </c>
      <c r="U15" s="27" t="inlineStr">
        <is>
          <t>TECH-01</t>
        </is>
      </c>
      <c r="V15" s="27" t="inlineStr">
        <is>
          <t>G-I-A2200-VAN01</t>
        </is>
      </c>
      <c r="W15" s="27" t="inlineStr">
        <is>
          <t>Équipement fictif 01-2-2</t>
        </is>
      </c>
      <c r="X15" s="27" t="inlineStr">
        <is>
          <t>EQ-01-2-02</t>
        </is>
      </c>
      <c r="Y15" s="27" t="inlineStr">
        <is>
          <t>GG-PREV</t>
        </is>
      </c>
      <c r="Z15" s="27" t="inlineStr">
        <is>
          <t>2</t>
        </is>
      </c>
      <c r="AA15" s="29" t="n">
        <v>46106</v>
      </c>
      <c r="AB15" s="27" t="inlineStr">
        <is>
          <t>SECTIONNEMENT</t>
        </is>
      </c>
      <c r="AC15" s="27" t="inlineStr">
        <is>
          <t>EC+PIS+PILOTAGE+FILTRE</t>
        </is>
      </c>
      <c r="AD15" s="28" t="n">
        <v>4</v>
      </c>
      <c r="AE15" s="28" t="n">
        <v>1</v>
      </c>
      <c r="AF15" s="28" t="n">
        <v>1</v>
      </c>
      <c r="AG15" s="27" t="n"/>
      <c r="AH15" s="27" t="n"/>
      <c r="AI15" s="27" t="inlineStr">
        <is>
          <t>Instantané de démonstration – MODELE_GMAO_PREV_ANONYMISE.csv</t>
        </is>
      </c>
      <c r="AJ15" s="31" t="n">
        <v>46309.50763888889</v>
      </c>
    </row>
    <row r="16">
      <c r="A16" s="27" t="inlineStr">
        <is>
          <t>910000006</t>
        </is>
      </c>
      <c r="B16" s="27" t="inlineStr">
        <is>
          <t>EC</t>
        </is>
      </c>
      <c r="C16" s="28" t="n">
        <v>2026</v>
      </c>
      <c r="D16" s="27" t="inlineStr">
        <is>
          <t>SITE01</t>
        </is>
      </c>
      <c r="E16" s="27" t="inlineStr">
        <is>
          <t>EQ2</t>
        </is>
      </c>
      <c r="F16" s="27" t="inlineStr">
        <is>
          <t>G-I-A2300</t>
        </is>
      </c>
      <c r="G16" s="27" t="n"/>
      <c r="H16" s="28" t="n">
        <v>7</v>
      </c>
      <c r="I16" s="29" t="n">
        <v>46068</v>
      </c>
      <c r="J16" s="27" t="n"/>
      <c r="K16" s="27" t="inlineStr">
        <is>
          <t>ZPR2</t>
        </is>
      </c>
      <c r="L16" s="27" t="inlineStr">
        <is>
          <t>PRE</t>
        </is>
      </c>
      <c r="M16" s="27" t="n"/>
      <c r="N16" s="27" t="inlineStr">
        <is>
          <t>Maintenance préventive fictive EC+FILTRE - poste G-I-A2300</t>
        </is>
      </c>
      <c r="O16" s="27" t="inlineStr">
        <is>
          <t>ACTI</t>
        </is>
      </c>
      <c r="P16" s="27" t="inlineStr">
        <is>
          <t>STAT_SYS_A</t>
        </is>
      </c>
      <c r="Q16" s="27" t="inlineStr">
        <is>
          <t>USER02</t>
        </is>
      </c>
      <c r="R16" s="30" t="n">
        <v>235</v>
      </c>
      <c r="S16" s="27" t="inlineStr">
        <is>
          <t>EQ2</t>
        </is>
      </c>
      <c r="T16" s="29" t="n">
        <v>46149</v>
      </c>
      <c r="U16" s="27" t="inlineStr">
        <is>
          <t>TECH-01</t>
        </is>
      </c>
      <c r="V16" s="27" t="inlineStr">
        <is>
          <t>G-I-A2300-VAN01</t>
        </is>
      </c>
      <c r="W16" s="27" t="inlineStr">
        <is>
          <t>Équipement fictif 01-2-3</t>
        </is>
      </c>
      <c r="X16" s="27" t="inlineStr">
        <is>
          <t>EQ-01-2-03</t>
        </is>
      </c>
      <c r="Y16" s="27" t="inlineStr">
        <is>
          <t>GG-PREV</t>
        </is>
      </c>
      <c r="Z16" s="27" t="inlineStr">
        <is>
          <t>3</t>
        </is>
      </c>
      <c r="AA16" s="29" t="n">
        <v>46136</v>
      </c>
      <c r="AB16" s="27" t="inlineStr">
        <is>
          <t>COMPTAGE</t>
        </is>
      </c>
      <c r="AC16" s="27" t="inlineStr">
        <is>
          <t>EC+FILTRE</t>
        </is>
      </c>
      <c r="AD16" s="28" t="n">
        <v>2</v>
      </c>
      <c r="AE16" s="28" t="n">
        <v>1</v>
      </c>
      <c r="AF16" s="28" t="n">
        <v>1</v>
      </c>
      <c r="AG16" s="27" t="n"/>
      <c r="AH16" s="27" t="n"/>
      <c r="AI16" s="27" t="inlineStr">
        <is>
          <t>Instantané de démonstration – MODELE_GMAO_PREV_ANONYMISE.csv</t>
        </is>
      </c>
      <c r="AJ16" s="31" t="n">
        <v>46309.50763888889</v>
      </c>
    </row>
    <row r="17">
      <c r="A17" s="27" t="inlineStr">
        <is>
          <t>910000006</t>
        </is>
      </c>
      <c r="B17" s="27" t="inlineStr">
        <is>
          <t>FILTRE</t>
        </is>
      </c>
      <c r="C17" s="28" t="n">
        <v>2026</v>
      </c>
      <c r="D17" s="27" t="inlineStr">
        <is>
          <t>SITE01</t>
        </is>
      </c>
      <c r="E17" s="27" t="inlineStr">
        <is>
          <t>EQ2</t>
        </is>
      </c>
      <c r="F17" s="27" t="inlineStr">
        <is>
          <t>G-I-A2300</t>
        </is>
      </c>
      <c r="G17" s="27" t="n"/>
      <c r="H17" s="28" t="n">
        <v>7</v>
      </c>
      <c r="I17" s="29" t="n">
        <v>46068</v>
      </c>
      <c r="J17" s="27" t="n"/>
      <c r="K17" s="27" t="inlineStr">
        <is>
          <t>ZPR2</t>
        </is>
      </c>
      <c r="L17" s="27" t="inlineStr">
        <is>
          <t>PRE</t>
        </is>
      </c>
      <c r="M17" s="27" t="n"/>
      <c r="N17" s="27" t="inlineStr">
        <is>
          <t>Maintenance préventive fictive EC+FILTRE - poste G-I-A2300</t>
        </is>
      </c>
      <c r="O17" s="27" t="inlineStr">
        <is>
          <t>ACTI</t>
        </is>
      </c>
      <c r="P17" s="27" t="inlineStr">
        <is>
          <t>STAT_SYS_A</t>
        </is>
      </c>
      <c r="Q17" s="27" t="inlineStr">
        <is>
          <t>USER02</t>
        </is>
      </c>
      <c r="R17" s="30" t="n">
        <v>235</v>
      </c>
      <c r="S17" s="27" t="inlineStr">
        <is>
          <t>EQ2</t>
        </is>
      </c>
      <c r="T17" s="29" t="n">
        <v>46149</v>
      </c>
      <c r="U17" s="27" t="inlineStr">
        <is>
          <t>TECH-01</t>
        </is>
      </c>
      <c r="V17" s="27" t="inlineStr">
        <is>
          <t>G-I-A2300-VAN01</t>
        </is>
      </c>
      <c r="W17" s="27" t="inlineStr">
        <is>
          <t>Équipement fictif 01-2-3</t>
        </is>
      </c>
      <c r="X17" s="27" t="inlineStr">
        <is>
          <t>EQ-01-2-03</t>
        </is>
      </c>
      <c r="Y17" s="27" t="inlineStr">
        <is>
          <t>GG-PREV</t>
        </is>
      </c>
      <c r="Z17" s="27" t="inlineStr">
        <is>
          <t>3</t>
        </is>
      </c>
      <c r="AA17" s="29" t="n">
        <v>46136</v>
      </c>
      <c r="AB17" s="27" t="inlineStr">
        <is>
          <t>COMPTAGE</t>
        </is>
      </c>
      <c r="AC17" s="27" t="inlineStr">
        <is>
          <t>EC+FILTRE</t>
        </is>
      </c>
      <c r="AD17" s="28" t="n">
        <v>4</v>
      </c>
      <c r="AE17" s="28" t="n">
        <v>1</v>
      </c>
      <c r="AF17" s="28" t="n">
        <v>1</v>
      </c>
      <c r="AG17" s="27" t="n"/>
      <c r="AH17" s="27" t="n"/>
      <c r="AI17" s="27" t="inlineStr">
        <is>
          <t>Instantané de démonstration – MODELE_GMAO_PREV_ANONYMISE.csv</t>
        </is>
      </c>
      <c r="AJ17" s="31" t="n">
        <v>46309.50763888889</v>
      </c>
    </row>
    <row r="18">
      <c r="A18" s="27" t="inlineStr">
        <is>
          <t>910000007</t>
        </is>
      </c>
      <c r="B18" s="27" t="inlineStr">
        <is>
          <t>EC</t>
        </is>
      </c>
      <c r="C18" s="28" t="n">
        <v>2026</v>
      </c>
      <c r="D18" s="27" t="inlineStr">
        <is>
          <t>SITE01</t>
        </is>
      </c>
      <c r="E18" s="27" t="inlineStr">
        <is>
          <t>EQ3</t>
        </is>
      </c>
      <c r="F18" s="27" t="inlineStr">
        <is>
          <t>G-I-A3100</t>
        </is>
      </c>
      <c r="G18" s="27" t="n"/>
      <c r="H18" s="28" t="n">
        <v>8</v>
      </c>
      <c r="I18" s="29" t="n">
        <v>46050</v>
      </c>
      <c r="J18" s="27" t="n"/>
      <c r="K18" s="27" t="inlineStr">
        <is>
          <t>ZPR2</t>
        </is>
      </c>
      <c r="L18" s="27" t="inlineStr">
        <is>
          <t>PRE</t>
        </is>
      </c>
      <c r="M18" s="27" t="n"/>
      <c r="N18" s="27" t="inlineStr">
        <is>
          <t>Maintenance préventive fictive EC+PIS+PILOTAGE+FILTRE - poste G-I-A3100</t>
        </is>
      </c>
      <c r="O18" s="27" t="inlineStr">
        <is>
          <t>ACTI</t>
        </is>
      </c>
      <c r="P18" s="27" t="inlineStr">
        <is>
          <t>STAT_SYS_A</t>
        </is>
      </c>
      <c r="Q18" s="27" t="inlineStr">
        <is>
          <t>USER03</t>
        </is>
      </c>
      <c r="R18" s="30" t="n">
        <v>255</v>
      </c>
      <c r="S18" s="27" t="inlineStr">
        <is>
          <t>EQ3</t>
        </is>
      </c>
      <c r="T18" s="29" t="n">
        <v>46117</v>
      </c>
      <c r="U18" s="27" t="inlineStr">
        <is>
          <t>TECH-01</t>
        </is>
      </c>
      <c r="V18" s="27" t="inlineStr">
        <is>
          <t>G-I-A3100-VAN01</t>
        </is>
      </c>
      <c r="W18" s="27" t="inlineStr">
        <is>
          <t>Équipement fictif 01-3-1</t>
        </is>
      </c>
      <c r="X18" s="27" t="inlineStr">
        <is>
          <t>EQ-01-3-01</t>
        </is>
      </c>
      <c r="Y18" s="27" t="inlineStr">
        <is>
          <t>GG-PREV</t>
        </is>
      </c>
      <c r="Z18" s="27" t="inlineStr">
        <is>
          <t>1</t>
        </is>
      </c>
      <c r="AA18" s="29" t="n">
        <v>46106</v>
      </c>
      <c r="AB18" s="27" t="inlineStr">
        <is>
          <t>COUPURE</t>
        </is>
      </c>
      <c r="AC18" s="27" t="inlineStr">
        <is>
          <t>EC+PIS+PILOTAGE+FILTRE</t>
        </is>
      </c>
      <c r="AD18" s="28" t="n">
        <v>2</v>
      </c>
      <c r="AE18" s="28" t="n">
        <v>1</v>
      </c>
      <c r="AF18" s="28" t="n">
        <v>1</v>
      </c>
      <c r="AG18" s="27" t="n"/>
      <c r="AH18" s="27" t="n"/>
      <c r="AI18" s="27" t="inlineStr">
        <is>
          <t>Instantané de démonstration – MODELE_GMAO_PREV_ANONYMISE.csv</t>
        </is>
      </c>
      <c r="AJ18" s="31" t="n">
        <v>46309.50763888889</v>
      </c>
    </row>
    <row r="19">
      <c r="A19" s="27" t="inlineStr">
        <is>
          <t>910000007</t>
        </is>
      </c>
      <c r="B19" s="27" t="inlineStr">
        <is>
          <t>PIS</t>
        </is>
      </c>
      <c r="C19" s="28" t="n">
        <v>2026</v>
      </c>
      <c r="D19" s="27" t="inlineStr">
        <is>
          <t>SITE01</t>
        </is>
      </c>
      <c r="E19" s="27" t="inlineStr">
        <is>
          <t>EQ3</t>
        </is>
      </c>
      <c r="F19" s="27" t="inlineStr">
        <is>
          <t>G-I-A3100</t>
        </is>
      </c>
      <c r="G19" s="27" t="n"/>
      <c r="H19" s="28" t="n">
        <v>8</v>
      </c>
      <c r="I19" s="29" t="n">
        <v>46050</v>
      </c>
      <c r="J19" s="27" t="n"/>
      <c r="K19" s="27" t="inlineStr">
        <is>
          <t>ZPR2</t>
        </is>
      </c>
      <c r="L19" s="27" t="inlineStr">
        <is>
          <t>PRE</t>
        </is>
      </c>
      <c r="M19" s="27" t="n"/>
      <c r="N19" s="27" t="inlineStr">
        <is>
          <t>Maintenance préventive fictive EC+PIS+PILOTAGE+FILTRE - poste G-I-A3100</t>
        </is>
      </c>
      <c r="O19" s="27" t="inlineStr">
        <is>
          <t>ACTI</t>
        </is>
      </c>
      <c r="P19" s="27" t="inlineStr">
        <is>
          <t>STAT_SYS_A</t>
        </is>
      </c>
      <c r="Q19" s="27" t="inlineStr">
        <is>
          <t>USER03</t>
        </is>
      </c>
      <c r="R19" s="30" t="n">
        <v>255</v>
      </c>
      <c r="S19" s="27" t="inlineStr">
        <is>
          <t>EQ3</t>
        </is>
      </c>
      <c r="T19" s="29" t="n">
        <v>46117</v>
      </c>
      <c r="U19" s="27" t="inlineStr">
        <is>
          <t>TECH-01</t>
        </is>
      </c>
      <c r="V19" s="27" t="inlineStr">
        <is>
          <t>G-I-A3100-VAN01</t>
        </is>
      </c>
      <c r="W19" s="27" t="inlineStr">
        <is>
          <t>Équipement fictif 01-3-1</t>
        </is>
      </c>
      <c r="X19" s="27" t="inlineStr">
        <is>
          <t>EQ-01-3-01</t>
        </is>
      </c>
      <c r="Y19" s="27" t="inlineStr">
        <is>
          <t>GG-PREV</t>
        </is>
      </c>
      <c r="Z19" s="27" t="inlineStr">
        <is>
          <t>1</t>
        </is>
      </c>
      <c r="AA19" s="29" t="n">
        <v>46106</v>
      </c>
      <c r="AB19" s="27" t="inlineStr">
        <is>
          <t>COUPURE</t>
        </is>
      </c>
      <c r="AC19" s="27" t="inlineStr">
        <is>
          <t>EC+PIS+PILOTAGE+FILTRE</t>
        </is>
      </c>
      <c r="AD19" s="28" t="n">
        <v>1</v>
      </c>
      <c r="AE19" s="28" t="n">
        <v>1</v>
      </c>
      <c r="AF19" s="28" t="n">
        <v>1</v>
      </c>
      <c r="AG19" s="27" t="n"/>
      <c r="AH19" s="27" t="n"/>
      <c r="AI19" s="27" t="inlineStr">
        <is>
          <t>Instantané de démonstration – MODELE_GMAO_PREV_ANONYMISE.csv</t>
        </is>
      </c>
      <c r="AJ19" s="31" t="n">
        <v>46309.50763888889</v>
      </c>
    </row>
    <row r="20">
      <c r="A20" s="27" t="inlineStr">
        <is>
          <t>910000007</t>
        </is>
      </c>
      <c r="B20" s="27" t="inlineStr">
        <is>
          <t>PILOTAGE</t>
        </is>
      </c>
      <c r="C20" s="28" t="n">
        <v>2026</v>
      </c>
      <c r="D20" s="27" t="inlineStr">
        <is>
          <t>SITE01</t>
        </is>
      </c>
      <c r="E20" s="27" t="inlineStr">
        <is>
          <t>EQ3</t>
        </is>
      </c>
      <c r="F20" s="27" t="inlineStr">
        <is>
          <t>G-I-A3100</t>
        </is>
      </c>
      <c r="G20" s="27" t="n"/>
      <c r="H20" s="28" t="n">
        <v>8</v>
      </c>
      <c r="I20" s="29" t="n">
        <v>46050</v>
      </c>
      <c r="J20" s="27" t="n"/>
      <c r="K20" s="27" t="inlineStr">
        <is>
          <t>ZPR2</t>
        </is>
      </c>
      <c r="L20" s="27" t="inlineStr">
        <is>
          <t>PRE</t>
        </is>
      </c>
      <c r="M20" s="27" t="n"/>
      <c r="N20" s="27" t="inlineStr">
        <is>
          <t>Maintenance préventive fictive EC+PIS+PILOTAGE+FILTRE - poste G-I-A3100</t>
        </is>
      </c>
      <c r="O20" s="27" t="inlineStr">
        <is>
          <t>ACTI</t>
        </is>
      </c>
      <c r="P20" s="27" t="inlineStr">
        <is>
          <t>STAT_SYS_A</t>
        </is>
      </c>
      <c r="Q20" s="27" t="inlineStr">
        <is>
          <t>USER03</t>
        </is>
      </c>
      <c r="R20" s="30" t="n">
        <v>255</v>
      </c>
      <c r="S20" s="27" t="inlineStr">
        <is>
          <t>EQ3</t>
        </is>
      </c>
      <c r="T20" s="29" t="n">
        <v>46117</v>
      </c>
      <c r="U20" s="27" t="inlineStr">
        <is>
          <t>TECH-01</t>
        </is>
      </c>
      <c r="V20" s="27" t="inlineStr">
        <is>
          <t>G-I-A3100-VAN01</t>
        </is>
      </c>
      <c r="W20" s="27" t="inlineStr">
        <is>
          <t>Équipement fictif 01-3-1</t>
        </is>
      </c>
      <c r="X20" s="27" t="inlineStr">
        <is>
          <t>EQ-01-3-01</t>
        </is>
      </c>
      <c r="Y20" s="27" t="inlineStr">
        <is>
          <t>GG-PREV</t>
        </is>
      </c>
      <c r="Z20" s="27" t="inlineStr">
        <is>
          <t>1</t>
        </is>
      </c>
      <c r="AA20" s="29" t="n">
        <v>46106</v>
      </c>
      <c r="AB20" s="27" t="inlineStr">
        <is>
          <t>COUPURE</t>
        </is>
      </c>
      <c r="AC20" s="27" t="inlineStr">
        <is>
          <t>EC+PIS+PILOTAGE+FILTRE</t>
        </is>
      </c>
      <c r="AD20" s="28" t="n">
        <v>3</v>
      </c>
      <c r="AE20" s="28" t="n">
        <v>1</v>
      </c>
      <c r="AF20" s="28" t="n">
        <v>1</v>
      </c>
      <c r="AG20" s="27" t="n"/>
      <c r="AH20" s="27" t="n"/>
      <c r="AI20" s="27" t="inlineStr">
        <is>
          <t>Instantané de démonstration – MODELE_GMAO_PREV_ANONYMISE.csv</t>
        </is>
      </c>
      <c r="AJ20" s="31" t="n">
        <v>46309.50763888889</v>
      </c>
    </row>
    <row r="21">
      <c r="A21" s="27" t="inlineStr">
        <is>
          <t>910000007</t>
        </is>
      </c>
      <c r="B21" s="27" t="inlineStr">
        <is>
          <t>FILTRE</t>
        </is>
      </c>
      <c r="C21" s="28" t="n">
        <v>2026</v>
      </c>
      <c r="D21" s="27" t="inlineStr">
        <is>
          <t>SITE01</t>
        </is>
      </c>
      <c r="E21" s="27" t="inlineStr">
        <is>
          <t>EQ3</t>
        </is>
      </c>
      <c r="F21" s="27" t="inlineStr">
        <is>
          <t>G-I-A3100</t>
        </is>
      </c>
      <c r="G21" s="27" t="n"/>
      <c r="H21" s="28" t="n">
        <v>8</v>
      </c>
      <c r="I21" s="29" t="n">
        <v>46050</v>
      </c>
      <c r="J21" s="27" t="n"/>
      <c r="K21" s="27" t="inlineStr">
        <is>
          <t>ZPR2</t>
        </is>
      </c>
      <c r="L21" s="27" t="inlineStr">
        <is>
          <t>PRE</t>
        </is>
      </c>
      <c r="M21" s="27" t="n"/>
      <c r="N21" s="27" t="inlineStr">
        <is>
          <t>Maintenance préventive fictive EC+PIS+PILOTAGE+FILTRE - poste G-I-A3100</t>
        </is>
      </c>
      <c r="O21" s="27" t="inlineStr">
        <is>
          <t>ACTI</t>
        </is>
      </c>
      <c r="P21" s="27" t="inlineStr">
        <is>
          <t>STAT_SYS_A</t>
        </is>
      </c>
      <c r="Q21" s="27" t="inlineStr">
        <is>
          <t>USER03</t>
        </is>
      </c>
      <c r="R21" s="30" t="n">
        <v>255</v>
      </c>
      <c r="S21" s="27" t="inlineStr">
        <is>
          <t>EQ3</t>
        </is>
      </c>
      <c r="T21" s="29" t="n">
        <v>46117</v>
      </c>
      <c r="U21" s="27" t="inlineStr">
        <is>
          <t>TECH-01</t>
        </is>
      </c>
      <c r="V21" s="27" t="inlineStr">
        <is>
          <t>G-I-A3100-VAN01</t>
        </is>
      </c>
      <c r="W21" s="27" t="inlineStr">
        <is>
          <t>Équipement fictif 01-3-1</t>
        </is>
      </c>
      <c r="X21" s="27" t="inlineStr">
        <is>
          <t>EQ-01-3-01</t>
        </is>
      </c>
      <c r="Y21" s="27" t="inlineStr">
        <is>
          <t>GG-PREV</t>
        </is>
      </c>
      <c r="Z21" s="27" t="inlineStr">
        <is>
          <t>1</t>
        </is>
      </c>
      <c r="AA21" s="29" t="n">
        <v>46106</v>
      </c>
      <c r="AB21" s="27" t="inlineStr">
        <is>
          <t>COUPURE</t>
        </is>
      </c>
      <c r="AC21" s="27" t="inlineStr">
        <is>
          <t>EC+PIS+PILOTAGE+FILTRE</t>
        </is>
      </c>
      <c r="AD21" s="28" t="n">
        <v>4</v>
      </c>
      <c r="AE21" s="28" t="n">
        <v>1</v>
      </c>
      <c r="AF21" s="28" t="n">
        <v>1</v>
      </c>
      <c r="AG21" s="27" t="n"/>
      <c r="AH21" s="27" t="n"/>
      <c r="AI21" s="27" t="inlineStr">
        <is>
          <t>Instantané de démonstration – MODELE_GMAO_PREV_ANONYMISE.csv</t>
        </is>
      </c>
      <c r="AJ21" s="31" t="n">
        <v>46309.50763888889</v>
      </c>
    </row>
    <row r="22">
      <c r="A22" s="27" t="inlineStr">
        <is>
          <t>910000008</t>
        </is>
      </c>
      <c r="B22" s="27" t="inlineStr">
        <is>
          <t>EC</t>
        </is>
      </c>
      <c r="C22" s="28" t="n">
        <v>2026</v>
      </c>
      <c r="D22" s="27" t="inlineStr">
        <is>
          <t>SITE01</t>
        </is>
      </c>
      <c r="E22" s="27" t="inlineStr">
        <is>
          <t>EQ3</t>
        </is>
      </c>
      <c r="F22" s="27" t="inlineStr">
        <is>
          <t>G-I-A3200</t>
        </is>
      </c>
      <c r="G22" s="27" t="n"/>
      <c r="H22" s="28" t="n">
        <v>9</v>
      </c>
      <c r="I22" s="29" t="n">
        <v>46074</v>
      </c>
      <c r="J22" s="27" t="n"/>
      <c r="K22" s="27" t="inlineStr">
        <is>
          <t>ZPR2</t>
        </is>
      </c>
      <c r="L22" s="27" t="inlineStr">
        <is>
          <t>PRE</t>
        </is>
      </c>
      <c r="M22" s="27" t="n"/>
      <c r="N22" s="27" t="inlineStr">
        <is>
          <t>Maintenance préventive fictive EC+FILTRE - poste G-I-A3200</t>
        </is>
      </c>
      <c r="O22" s="27" t="inlineStr">
        <is>
          <t>ACTI</t>
        </is>
      </c>
      <c r="P22" s="27" t="inlineStr">
        <is>
          <t>STAT_SYS_A</t>
        </is>
      </c>
      <c r="Q22" s="27" t="inlineStr">
        <is>
          <t>USER03</t>
        </is>
      </c>
      <c r="R22" s="30" t="n">
        <v>265</v>
      </c>
      <c r="S22" s="27" t="inlineStr">
        <is>
          <t>EQ3</t>
        </is>
      </c>
      <c r="T22" s="29" t="n">
        <v>46148</v>
      </c>
      <c r="U22" s="27" t="inlineStr">
        <is>
          <t>TECH-01</t>
        </is>
      </c>
      <c r="V22" s="27" t="inlineStr">
        <is>
          <t>G-I-A3200-FILT01</t>
        </is>
      </c>
      <c r="W22" s="27" t="inlineStr">
        <is>
          <t>Équipement fictif 01-3-2</t>
        </is>
      </c>
      <c r="X22" s="27" t="inlineStr">
        <is>
          <t>EQ-01-3-02</t>
        </is>
      </c>
      <c r="Y22" s="27" t="inlineStr">
        <is>
          <t>GG-PREV</t>
        </is>
      </c>
      <c r="Z22" s="27" t="inlineStr">
        <is>
          <t>2</t>
        </is>
      </c>
      <c r="AA22" s="29" t="n">
        <v>46136</v>
      </c>
      <c r="AB22" s="27" t="inlineStr">
        <is>
          <t>SECTIONNEMENT</t>
        </is>
      </c>
      <c r="AC22" s="27" t="inlineStr">
        <is>
          <t>EC+FILTRE</t>
        </is>
      </c>
      <c r="AD22" s="28" t="n">
        <v>2</v>
      </c>
      <c r="AE22" s="28" t="n">
        <v>1</v>
      </c>
      <c r="AF22" s="28" t="n">
        <v>1</v>
      </c>
      <c r="AG22" s="27" t="n"/>
      <c r="AH22" s="27" t="n"/>
      <c r="AI22" s="27" t="inlineStr">
        <is>
          <t>Instantané de démonstration – MODELE_GMAO_PREV_ANONYMISE.csv</t>
        </is>
      </c>
      <c r="AJ22" s="31" t="n">
        <v>46309.50763888889</v>
      </c>
    </row>
    <row r="23">
      <c r="A23" s="27" t="inlineStr">
        <is>
          <t>910000008</t>
        </is>
      </c>
      <c r="B23" s="27" t="inlineStr">
        <is>
          <t>FILTRE</t>
        </is>
      </c>
      <c r="C23" s="28" t="n">
        <v>2026</v>
      </c>
      <c r="D23" s="27" t="inlineStr">
        <is>
          <t>SITE01</t>
        </is>
      </c>
      <c r="E23" s="27" t="inlineStr">
        <is>
          <t>EQ3</t>
        </is>
      </c>
      <c r="F23" s="27" t="inlineStr">
        <is>
          <t>G-I-A3200</t>
        </is>
      </c>
      <c r="G23" s="27" t="n"/>
      <c r="H23" s="28" t="n">
        <v>9</v>
      </c>
      <c r="I23" s="29" t="n">
        <v>46074</v>
      </c>
      <c r="J23" s="27" t="n"/>
      <c r="K23" s="27" t="inlineStr">
        <is>
          <t>ZPR2</t>
        </is>
      </c>
      <c r="L23" s="27" t="inlineStr">
        <is>
          <t>PRE</t>
        </is>
      </c>
      <c r="M23" s="27" t="n"/>
      <c r="N23" s="27" t="inlineStr">
        <is>
          <t>Maintenance préventive fictive EC+FILTRE - poste G-I-A3200</t>
        </is>
      </c>
      <c r="O23" s="27" t="inlineStr">
        <is>
          <t>ACTI</t>
        </is>
      </c>
      <c r="P23" s="27" t="inlineStr">
        <is>
          <t>STAT_SYS_A</t>
        </is>
      </c>
      <c r="Q23" s="27" t="inlineStr">
        <is>
          <t>USER03</t>
        </is>
      </c>
      <c r="R23" s="30" t="n">
        <v>265</v>
      </c>
      <c r="S23" s="27" t="inlineStr">
        <is>
          <t>EQ3</t>
        </is>
      </c>
      <c r="T23" s="29" t="n">
        <v>46148</v>
      </c>
      <c r="U23" s="27" t="inlineStr">
        <is>
          <t>TECH-01</t>
        </is>
      </c>
      <c r="V23" s="27" t="inlineStr">
        <is>
          <t>G-I-A3200-FILT01</t>
        </is>
      </c>
      <c r="W23" s="27" t="inlineStr">
        <is>
          <t>Équipement fictif 01-3-2</t>
        </is>
      </c>
      <c r="X23" s="27" t="inlineStr">
        <is>
          <t>EQ-01-3-02</t>
        </is>
      </c>
      <c r="Y23" s="27" t="inlineStr">
        <is>
          <t>GG-PREV</t>
        </is>
      </c>
      <c r="Z23" s="27" t="inlineStr">
        <is>
          <t>2</t>
        </is>
      </c>
      <c r="AA23" s="29" t="n">
        <v>46136</v>
      </c>
      <c r="AB23" s="27" t="inlineStr">
        <is>
          <t>SECTIONNEMENT</t>
        </is>
      </c>
      <c r="AC23" s="27" t="inlineStr">
        <is>
          <t>EC+FILTRE</t>
        </is>
      </c>
      <c r="AD23" s="28" t="n">
        <v>4</v>
      </c>
      <c r="AE23" s="28" t="n">
        <v>1</v>
      </c>
      <c r="AF23" s="28" t="n">
        <v>1</v>
      </c>
      <c r="AG23" s="27" t="n"/>
      <c r="AH23" s="27" t="n"/>
      <c r="AI23" s="27" t="inlineStr">
        <is>
          <t>Instantané de démonstration – MODELE_GMAO_PREV_ANONYMISE.csv</t>
        </is>
      </c>
      <c r="AJ23" s="31" t="n">
        <v>46309.50763888889</v>
      </c>
    </row>
    <row r="24">
      <c r="A24" s="27" t="inlineStr">
        <is>
          <t>910000009</t>
        </is>
      </c>
      <c r="B24" s="27" t="inlineStr">
        <is>
          <t>PIS</t>
        </is>
      </c>
      <c r="C24" s="28" t="n">
        <v>2026</v>
      </c>
      <c r="D24" s="27" t="inlineStr">
        <is>
          <t>SITE01</t>
        </is>
      </c>
      <c r="E24" s="27" t="inlineStr">
        <is>
          <t>EQ3</t>
        </is>
      </c>
      <c r="F24" s="27" t="inlineStr">
        <is>
          <t>G-I-A3300</t>
        </is>
      </c>
      <c r="G24" s="27" t="n"/>
      <c r="H24" s="28" t="n">
        <v>10</v>
      </c>
      <c r="I24" s="29" t="n">
        <v>46099</v>
      </c>
      <c r="J24" s="27" t="n"/>
      <c r="K24" s="27" t="inlineStr">
        <is>
          <t>ZPR2</t>
        </is>
      </c>
      <c r="L24" s="27" t="inlineStr">
        <is>
          <t>PRE</t>
        </is>
      </c>
      <c r="M24" s="27" t="n"/>
      <c r="N24" s="27" t="inlineStr">
        <is>
          <t>Maintenance préventive fictive PIS+REV - poste G-I-A3300</t>
        </is>
      </c>
      <c r="O24" s="27" t="inlineStr">
        <is>
          <t>TERM</t>
        </is>
      </c>
      <c r="P24" s="27" t="inlineStr">
        <is>
          <t>STAT_SYS_A</t>
        </is>
      </c>
      <c r="Q24" s="27" t="inlineStr">
        <is>
          <t>USER03</t>
        </is>
      </c>
      <c r="R24" s="30" t="n">
        <v>275</v>
      </c>
      <c r="S24" s="27" t="inlineStr">
        <is>
          <t>EQ3</t>
        </is>
      </c>
      <c r="T24" s="29" t="n">
        <v>46180</v>
      </c>
      <c r="U24" s="27" t="inlineStr">
        <is>
          <t>TECH-01</t>
        </is>
      </c>
      <c r="V24" s="27" t="inlineStr">
        <is>
          <t>G-I-A3300-SEC01</t>
        </is>
      </c>
      <c r="W24" s="27" t="inlineStr">
        <is>
          <t>Équipement fictif 01-3-3</t>
        </is>
      </c>
      <c r="X24" s="27" t="inlineStr">
        <is>
          <t>EQ-01-3-03</t>
        </is>
      </c>
      <c r="Y24" s="27" t="inlineStr">
        <is>
          <t>GG-PREV</t>
        </is>
      </c>
      <c r="Z24" s="27" t="inlineStr">
        <is>
          <t>3</t>
        </is>
      </c>
      <c r="AA24" s="29" t="n">
        <v>46167</v>
      </c>
      <c r="AB24" s="27" t="inlineStr">
        <is>
          <t>COMPTAGE</t>
        </is>
      </c>
      <c r="AC24" s="27" t="inlineStr">
        <is>
          <t>PIS+REV</t>
        </is>
      </c>
      <c r="AD24" s="28" t="n">
        <v>1</v>
      </c>
      <c r="AE24" s="28" t="n">
        <v>1</v>
      </c>
      <c r="AF24" s="28" t="n">
        <v>1</v>
      </c>
      <c r="AG24" s="27" t="n"/>
      <c r="AH24" s="27" t="n"/>
      <c r="AI24" s="27" t="inlineStr">
        <is>
          <t>Instantané de démonstration – MODELE_GMAO_PREV_ANONYMISE.csv</t>
        </is>
      </c>
      <c r="AJ24" s="31" t="n">
        <v>46309.50763888889</v>
      </c>
    </row>
    <row r="25">
      <c r="A25" s="27" t="inlineStr">
        <is>
          <t>910000009</t>
        </is>
      </c>
      <c r="B25" s="27" t="inlineStr">
        <is>
          <t>REV</t>
        </is>
      </c>
      <c r="C25" s="28" t="n">
        <v>2026</v>
      </c>
      <c r="D25" s="27" t="inlineStr">
        <is>
          <t>SITE01</t>
        </is>
      </c>
      <c r="E25" s="27" t="inlineStr">
        <is>
          <t>EQ3</t>
        </is>
      </c>
      <c r="F25" s="27" t="inlineStr">
        <is>
          <t>G-I-A3300</t>
        </is>
      </c>
      <c r="G25" s="27" t="n"/>
      <c r="H25" s="28" t="n">
        <v>10</v>
      </c>
      <c r="I25" s="29" t="n">
        <v>46099</v>
      </c>
      <c r="J25" s="27" t="n"/>
      <c r="K25" s="27" t="inlineStr">
        <is>
          <t>ZPR2</t>
        </is>
      </c>
      <c r="L25" s="27" t="inlineStr">
        <is>
          <t>PRE</t>
        </is>
      </c>
      <c r="M25" s="27" t="n"/>
      <c r="N25" s="27" t="inlineStr">
        <is>
          <t>Maintenance préventive fictive PIS+REV - poste G-I-A3300</t>
        </is>
      </c>
      <c r="O25" s="27" t="inlineStr">
        <is>
          <t>TERM</t>
        </is>
      </c>
      <c r="P25" s="27" t="inlineStr">
        <is>
          <t>STAT_SYS_A</t>
        </is>
      </c>
      <c r="Q25" s="27" t="inlineStr">
        <is>
          <t>USER03</t>
        </is>
      </c>
      <c r="R25" s="30" t="n">
        <v>275</v>
      </c>
      <c r="S25" s="27" t="inlineStr">
        <is>
          <t>EQ3</t>
        </is>
      </c>
      <c r="T25" s="29" t="n">
        <v>46180</v>
      </c>
      <c r="U25" s="27" t="inlineStr">
        <is>
          <t>TECH-01</t>
        </is>
      </c>
      <c r="V25" s="27" t="inlineStr">
        <is>
          <t>G-I-A3300-SEC01</t>
        </is>
      </c>
      <c r="W25" s="27" t="inlineStr">
        <is>
          <t>Équipement fictif 01-3-3</t>
        </is>
      </c>
      <c r="X25" s="27" t="inlineStr">
        <is>
          <t>EQ-01-3-03</t>
        </is>
      </c>
      <c r="Y25" s="27" t="inlineStr">
        <is>
          <t>GG-PREV</t>
        </is>
      </c>
      <c r="Z25" s="27" t="inlineStr">
        <is>
          <t>3</t>
        </is>
      </c>
      <c r="AA25" s="29" t="n">
        <v>46167</v>
      </c>
      <c r="AB25" s="27" t="inlineStr">
        <is>
          <t>COMPTAGE</t>
        </is>
      </c>
      <c r="AC25" s="27" t="inlineStr">
        <is>
          <t>PIS+REV</t>
        </is>
      </c>
      <c r="AD25" s="28" t="n">
        <v>5</v>
      </c>
      <c r="AE25" s="28" t="n">
        <v>1</v>
      </c>
      <c r="AF25" s="28" t="n">
        <v>1</v>
      </c>
      <c r="AG25" s="27" t="n"/>
      <c r="AH25" s="27" t="n"/>
      <c r="AI25" s="27" t="inlineStr">
        <is>
          <t>Instantané de démonstration – MODELE_GMAO_PREV_ANONYMISE.csv</t>
        </is>
      </c>
      <c r="AJ25" s="31" t="n">
        <v>46309.50763888889</v>
      </c>
    </row>
    <row r="26">
      <c r="A26" s="27" t="inlineStr">
        <is>
          <t>910000010</t>
        </is>
      </c>
      <c r="B26" s="27" t="inlineStr">
        <is>
          <t>EC</t>
        </is>
      </c>
      <c r="C26" s="28" t="n">
        <v>2026</v>
      </c>
      <c r="D26" s="27" t="inlineStr">
        <is>
          <t>SITE02</t>
        </is>
      </c>
      <c r="E26" s="27" t="inlineStr">
        <is>
          <t>EQ1</t>
        </is>
      </c>
      <c r="F26" s="27" t="inlineStr">
        <is>
          <t>G-I-B1100</t>
        </is>
      </c>
      <c r="G26" s="27" t="n"/>
      <c r="H26" s="28" t="n">
        <v>11</v>
      </c>
      <c r="I26" s="29" t="n">
        <v>45992</v>
      </c>
      <c r="J26" s="27" t="n"/>
      <c r="K26" s="27" t="inlineStr">
        <is>
          <t>ZPR2</t>
        </is>
      </c>
      <c r="L26" s="27" t="inlineStr">
        <is>
          <t>PRE</t>
        </is>
      </c>
      <c r="M26" s="27" t="n"/>
      <c r="N26" s="27" t="inlineStr">
        <is>
          <t>Maintenance préventive fictive EC+REV - poste G-I-B1100</t>
        </is>
      </c>
      <c r="O26" s="27" t="inlineStr">
        <is>
          <t>ACTI</t>
        </is>
      </c>
      <c r="P26" s="27" t="inlineStr">
        <is>
          <t>STAT_SYS_A</t>
        </is>
      </c>
      <c r="Q26" s="27" t="inlineStr">
        <is>
          <t>USER01</t>
        </is>
      </c>
      <c r="R26" s="30" t="n">
        <v>300</v>
      </c>
      <c r="S26" s="27" t="inlineStr">
        <is>
          <t>EQ1</t>
        </is>
      </c>
      <c r="T26" s="29" t="n">
        <v>46059</v>
      </c>
      <c r="U26" s="27" t="inlineStr">
        <is>
          <t>TECH-02</t>
        </is>
      </c>
      <c r="V26" s="27" t="inlineStr">
        <is>
          <t>G-I-B1100-VAN01</t>
        </is>
      </c>
      <c r="W26" s="27" t="inlineStr">
        <is>
          <t>Équipement fictif 02-1-1</t>
        </is>
      </c>
      <c r="X26" s="27" t="inlineStr">
        <is>
          <t>EQ-02-1-01</t>
        </is>
      </c>
      <c r="Y26" s="27" t="inlineStr">
        <is>
          <t>GG-PREV</t>
        </is>
      </c>
      <c r="Z26" s="27" t="inlineStr">
        <is>
          <t>1</t>
        </is>
      </c>
      <c r="AA26" s="29" t="n">
        <v>46048</v>
      </c>
      <c r="AB26" s="27" t="inlineStr">
        <is>
          <t>SECTIONNEMENT</t>
        </is>
      </c>
      <c r="AC26" s="27" t="inlineStr">
        <is>
          <t>EC+REV</t>
        </is>
      </c>
      <c r="AD26" s="28" t="n">
        <v>2</v>
      </c>
      <c r="AE26" s="28" t="n">
        <v>1</v>
      </c>
      <c r="AF26" s="28" t="n">
        <v>1</v>
      </c>
      <c r="AG26" s="27" t="n"/>
      <c r="AH26" s="27" t="n"/>
      <c r="AI26" s="27" t="inlineStr">
        <is>
          <t>Instantané de démonstration – MODELE_GMAO_PREV_ANONYMISE.csv</t>
        </is>
      </c>
      <c r="AJ26" s="31" t="n">
        <v>46309.50763888889</v>
      </c>
    </row>
    <row r="27">
      <c r="A27" s="27" t="inlineStr">
        <is>
          <t>910000010</t>
        </is>
      </c>
      <c r="B27" s="27" t="inlineStr">
        <is>
          <t>REV</t>
        </is>
      </c>
      <c r="C27" s="28" t="n">
        <v>2026</v>
      </c>
      <c r="D27" s="27" t="inlineStr">
        <is>
          <t>SITE02</t>
        </is>
      </c>
      <c r="E27" s="27" t="inlineStr">
        <is>
          <t>EQ1</t>
        </is>
      </c>
      <c r="F27" s="27" t="inlineStr">
        <is>
          <t>G-I-B1100</t>
        </is>
      </c>
      <c r="G27" s="27" t="n"/>
      <c r="H27" s="28" t="n">
        <v>11</v>
      </c>
      <c r="I27" s="29" t="n">
        <v>45992</v>
      </c>
      <c r="J27" s="27" t="n"/>
      <c r="K27" s="27" t="inlineStr">
        <is>
          <t>ZPR2</t>
        </is>
      </c>
      <c r="L27" s="27" t="inlineStr">
        <is>
          <t>PRE</t>
        </is>
      </c>
      <c r="M27" s="27" t="n"/>
      <c r="N27" s="27" t="inlineStr">
        <is>
          <t>Maintenance préventive fictive EC+REV - poste G-I-B1100</t>
        </is>
      </c>
      <c r="O27" s="27" t="inlineStr">
        <is>
          <t>ACTI</t>
        </is>
      </c>
      <c r="P27" s="27" t="inlineStr">
        <is>
          <t>STAT_SYS_A</t>
        </is>
      </c>
      <c r="Q27" s="27" t="inlineStr">
        <is>
          <t>USER01</t>
        </is>
      </c>
      <c r="R27" s="30" t="n">
        <v>300</v>
      </c>
      <c r="S27" s="27" t="inlineStr">
        <is>
          <t>EQ1</t>
        </is>
      </c>
      <c r="T27" s="29" t="n">
        <v>46059</v>
      </c>
      <c r="U27" s="27" t="inlineStr">
        <is>
          <t>TECH-02</t>
        </is>
      </c>
      <c r="V27" s="27" t="inlineStr">
        <is>
          <t>G-I-B1100-VAN01</t>
        </is>
      </c>
      <c r="W27" s="27" t="inlineStr">
        <is>
          <t>Équipement fictif 02-1-1</t>
        </is>
      </c>
      <c r="X27" s="27" t="inlineStr">
        <is>
          <t>EQ-02-1-01</t>
        </is>
      </c>
      <c r="Y27" s="27" t="inlineStr">
        <is>
          <t>GG-PREV</t>
        </is>
      </c>
      <c r="Z27" s="27" t="inlineStr">
        <is>
          <t>1</t>
        </is>
      </c>
      <c r="AA27" s="29" t="n">
        <v>46048</v>
      </c>
      <c r="AB27" s="27" t="inlineStr">
        <is>
          <t>SECTIONNEMENT</t>
        </is>
      </c>
      <c r="AC27" s="27" t="inlineStr">
        <is>
          <t>EC+REV</t>
        </is>
      </c>
      <c r="AD27" s="28" t="n">
        <v>5</v>
      </c>
      <c r="AE27" s="28" t="n">
        <v>1</v>
      </c>
      <c r="AF27" s="28" t="n">
        <v>1</v>
      </c>
      <c r="AG27" s="27" t="n"/>
      <c r="AH27" s="27" t="n"/>
      <c r="AI27" s="27" t="inlineStr">
        <is>
          <t>Instantané de démonstration – MODELE_GMAO_PREV_ANONYMISE.csv</t>
        </is>
      </c>
      <c r="AJ27" s="31" t="n">
        <v>46309.50763888889</v>
      </c>
    </row>
    <row r="28">
      <c r="A28" s="27" t="inlineStr">
        <is>
          <t>910000011</t>
        </is>
      </c>
      <c r="B28" s="27" t="inlineStr">
        <is>
          <t>EC</t>
        </is>
      </c>
      <c r="C28" s="28" t="n">
        <v>2026</v>
      </c>
      <c r="D28" s="27" t="inlineStr">
        <is>
          <t>SITE02</t>
        </is>
      </c>
      <c r="E28" s="27" t="inlineStr">
        <is>
          <t>EQ1</t>
        </is>
      </c>
      <c r="F28" s="27" t="inlineStr">
        <is>
          <t>G-I-B1200</t>
        </is>
      </c>
      <c r="G28" s="27" t="n"/>
      <c r="H28" s="28" t="n">
        <v>12</v>
      </c>
      <c r="I28" s="29" t="n">
        <v>46014</v>
      </c>
      <c r="J28" s="27" t="n"/>
      <c r="K28" s="27" t="inlineStr">
        <is>
          <t>ZPR2</t>
        </is>
      </c>
      <c r="L28" s="27" t="inlineStr">
        <is>
          <t>PRE</t>
        </is>
      </c>
      <c r="M28" s="27" t="n"/>
      <c r="N28" s="27" t="inlineStr">
        <is>
          <t>Maintenance préventive fictive EC+PIS+PILOTAGE+FILTRE - poste G-I-B1200</t>
        </is>
      </c>
      <c r="O28" s="27" t="inlineStr">
        <is>
          <t>TERM</t>
        </is>
      </c>
      <c r="P28" s="27" t="inlineStr">
        <is>
          <t>STAT_SYS_A</t>
        </is>
      </c>
      <c r="Q28" s="27" t="inlineStr">
        <is>
          <t>USER01</t>
        </is>
      </c>
      <c r="R28" s="30" t="n">
        <v>310</v>
      </c>
      <c r="S28" s="27" t="inlineStr">
        <is>
          <t>EQ1</t>
        </is>
      </c>
      <c r="T28" s="29" t="n">
        <v>46088</v>
      </c>
      <c r="U28" s="27" t="inlineStr">
        <is>
          <t>TECH-02</t>
        </is>
      </c>
      <c r="V28" s="27" t="inlineStr">
        <is>
          <t>G-I-B1200-SEC01</t>
        </is>
      </c>
      <c r="W28" s="27" t="inlineStr">
        <is>
          <t>Équipement fictif 02-1-2</t>
        </is>
      </c>
      <c r="X28" s="27" t="inlineStr">
        <is>
          <t>EQ-02-1-02</t>
        </is>
      </c>
      <c r="Y28" s="27" t="inlineStr">
        <is>
          <t>GG-PREV</t>
        </is>
      </c>
      <c r="Z28" s="27" t="inlineStr">
        <is>
          <t>2</t>
        </is>
      </c>
      <c r="AA28" s="29" t="n">
        <v>46076</v>
      </c>
      <c r="AB28" s="27" t="inlineStr">
        <is>
          <t>COMPTAGE</t>
        </is>
      </c>
      <c r="AC28" s="27" t="inlineStr">
        <is>
          <t>EC+PIS+PILOTAGE+FILTRE</t>
        </is>
      </c>
      <c r="AD28" s="28" t="n">
        <v>2</v>
      </c>
      <c r="AE28" s="28" t="n">
        <v>1</v>
      </c>
      <c r="AF28" s="28" t="n">
        <v>1</v>
      </c>
      <c r="AG28" s="27" t="n"/>
      <c r="AH28" s="27" t="n"/>
      <c r="AI28" s="27" t="inlineStr">
        <is>
          <t>Instantané de démonstration – MODELE_GMAO_PREV_ANONYMISE.csv</t>
        </is>
      </c>
      <c r="AJ28" s="31" t="n">
        <v>46309.50763888889</v>
      </c>
    </row>
    <row r="29">
      <c r="A29" s="27" t="inlineStr">
        <is>
          <t>910000011</t>
        </is>
      </c>
      <c r="B29" s="27" t="inlineStr">
        <is>
          <t>PIS</t>
        </is>
      </c>
      <c r="C29" s="28" t="n">
        <v>2026</v>
      </c>
      <c r="D29" s="27" t="inlineStr">
        <is>
          <t>SITE02</t>
        </is>
      </c>
      <c r="E29" s="27" t="inlineStr">
        <is>
          <t>EQ1</t>
        </is>
      </c>
      <c r="F29" s="27" t="inlineStr">
        <is>
          <t>G-I-B1200</t>
        </is>
      </c>
      <c r="G29" s="27" t="n"/>
      <c r="H29" s="28" t="n">
        <v>12</v>
      </c>
      <c r="I29" s="29" t="n">
        <v>46014</v>
      </c>
      <c r="J29" s="27" t="n"/>
      <c r="K29" s="27" t="inlineStr">
        <is>
          <t>ZPR2</t>
        </is>
      </c>
      <c r="L29" s="27" t="inlineStr">
        <is>
          <t>PRE</t>
        </is>
      </c>
      <c r="M29" s="27" t="n"/>
      <c r="N29" s="27" t="inlineStr">
        <is>
          <t>Maintenance préventive fictive EC+PIS+PILOTAGE+FILTRE - poste G-I-B1200</t>
        </is>
      </c>
      <c r="O29" s="27" t="inlineStr">
        <is>
          <t>TERM</t>
        </is>
      </c>
      <c r="P29" s="27" t="inlineStr">
        <is>
          <t>STAT_SYS_A</t>
        </is>
      </c>
      <c r="Q29" s="27" t="inlineStr">
        <is>
          <t>USER01</t>
        </is>
      </c>
      <c r="R29" s="30" t="n">
        <v>310</v>
      </c>
      <c r="S29" s="27" t="inlineStr">
        <is>
          <t>EQ1</t>
        </is>
      </c>
      <c r="T29" s="29" t="n">
        <v>46088</v>
      </c>
      <c r="U29" s="27" t="inlineStr">
        <is>
          <t>TECH-02</t>
        </is>
      </c>
      <c r="V29" s="27" t="inlineStr">
        <is>
          <t>G-I-B1200-SEC01</t>
        </is>
      </c>
      <c r="W29" s="27" t="inlineStr">
        <is>
          <t>Équipement fictif 02-1-2</t>
        </is>
      </c>
      <c r="X29" s="27" t="inlineStr">
        <is>
          <t>EQ-02-1-02</t>
        </is>
      </c>
      <c r="Y29" s="27" t="inlineStr">
        <is>
          <t>GG-PREV</t>
        </is>
      </c>
      <c r="Z29" s="27" t="inlineStr">
        <is>
          <t>2</t>
        </is>
      </c>
      <c r="AA29" s="29" t="n">
        <v>46076</v>
      </c>
      <c r="AB29" s="27" t="inlineStr">
        <is>
          <t>COMPTAGE</t>
        </is>
      </c>
      <c r="AC29" s="27" t="inlineStr">
        <is>
          <t>EC+PIS+PILOTAGE+FILTRE</t>
        </is>
      </c>
      <c r="AD29" s="28" t="n">
        <v>1</v>
      </c>
      <c r="AE29" s="28" t="n">
        <v>1</v>
      </c>
      <c r="AF29" s="28" t="n">
        <v>1</v>
      </c>
      <c r="AG29" s="27" t="n"/>
      <c r="AH29" s="27" t="n"/>
      <c r="AI29" s="27" t="inlineStr">
        <is>
          <t>Instantané de démonstration – MODELE_GMAO_PREV_ANONYMISE.csv</t>
        </is>
      </c>
      <c r="AJ29" s="31" t="n">
        <v>46309.50763888889</v>
      </c>
    </row>
    <row r="30">
      <c r="A30" s="27" t="inlineStr">
        <is>
          <t>910000011</t>
        </is>
      </c>
      <c r="B30" s="27" t="inlineStr">
        <is>
          <t>PILOTAGE</t>
        </is>
      </c>
      <c r="C30" s="28" t="n">
        <v>2026</v>
      </c>
      <c r="D30" s="27" t="inlineStr">
        <is>
          <t>SITE02</t>
        </is>
      </c>
      <c r="E30" s="27" t="inlineStr">
        <is>
          <t>EQ1</t>
        </is>
      </c>
      <c r="F30" s="27" t="inlineStr">
        <is>
          <t>G-I-B1200</t>
        </is>
      </c>
      <c r="G30" s="27" t="n"/>
      <c r="H30" s="28" t="n">
        <v>12</v>
      </c>
      <c r="I30" s="29" t="n">
        <v>46014</v>
      </c>
      <c r="J30" s="27" t="n"/>
      <c r="K30" s="27" t="inlineStr">
        <is>
          <t>ZPR2</t>
        </is>
      </c>
      <c r="L30" s="27" t="inlineStr">
        <is>
          <t>PRE</t>
        </is>
      </c>
      <c r="M30" s="27" t="n"/>
      <c r="N30" s="27" t="inlineStr">
        <is>
          <t>Maintenance préventive fictive EC+PIS+PILOTAGE+FILTRE - poste G-I-B1200</t>
        </is>
      </c>
      <c r="O30" s="27" t="inlineStr">
        <is>
          <t>TERM</t>
        </is>
      </c>
      <c r="P30" s="27" t="inlineStr">
        <is>
          <t>STAT_SYS_A</t>
        </is>
      </c>
      <c r="Q30" s="27" t="inlineStr">
        <is>
          <t>USER01</t>
        </is>
      </c>
      <c r="R30" s="30" t="n">
        <v>310</v>
      </c>
      <c r="S30" s="27" t="inlineStr">
        <is>
          <t>EQ1</t>
        </is>
      </c>
      <c r="T30" s="29" t="n">
        <v>46088</v>
      </c>
      <c r="U30" s="27" t="inlineStr">
        <is>
          <t>TECH-02</t>
        </is>
      </c>
      <c r="V30" s="27" t="inlineStr">
        <is>
          <t>G-I-B1200-SEC01</t>
        </is>
      </c>
      <c r="W30" s="27" t="inlineStr">
        <is>
          <t>Équipement fictif 02-1-2</t>
        </is>
      </c>
      <c r="X30" s="27" t="inlineStr">
        <is>
          <t>EQ-02-1-02</t>
        </is>
      </c>
      <c r="Y30" s="27" t="inlineStr">
        <is>
          <t>GG-PREV</t>
        </is>
      </c>
      <c r="Z30" s="27" t="inlineStr">
        <is>
          <t>2</t>
        </is>
      </c>
      <c r="AA30" s="29" t="n">
        <v>46076</v>
      </c>
      <c r="AB30" s="27" t="inlineStr">
        <is>
          <t>COMPTAGE</t>
        </is>
      </c>
      <c r="AC30" s="27" t="inlineStr">
        <is>
          <t>EC+PIS+PILOTAGE+FILTRE</t>
        </is>
      </c>
      <c r="AD30" s="28" t="n">
        <v>3</v>
      </c>
      <c r="AE30" s="28" t="n">
        <v>1</v>
      </c>
      <c r="AF30" s="28" t="n">
        <v>1</v>
      </c>
      <c r="AG30" s="27" t="n"/>
      <c r="AH30" s="27" t="n"/>
      <c r="AI30" s="27" t="inlineStr">
        <is>
          <t>Instantané de démonstration – MODELE_GMAO_PREV_ANONYMISE.csv</t>
        </is>
      </c>
      <c r="AJ30" s="31" t="n">
        <v>46309.50763888889</v>
      </c>
    </row>
    <row r="31">
      <c r="A31" s="27" t="inlineStr">
        <is>
          <t>910000011</t>
        </is>
      </c>
      <c r="B31" s="27" t="inlineStr">
        <is>
          <t>FILTRE</t>
        </is>
      </c>
      <c r="C31" s="28" t="n">
        <v>2026</v>
      </c>
      <c r="D31" s="27" t="inlineStr">
        <is>
          <t>SITE02</t>
        </is>
      </c>
      <c r="E31" s="27" t="inlineStr">
        <is>
          <t>EQ1</t>
        </is>
      </c>
      <c r="F31" s="27" t="inlineStr">
        <is>
          <t>G-I-B1200</t>
        </is>
      </c>
      <c r="G31" s="27" t="n"/>
      <c r="H31" s="28" t="n">
        <v>12</v>
      </c>
      <c r="I31" s="29" t="n">
        <v>46014</v>
      </c>
      <c r="J31" s="27" t="n"/>
      <c r="K31" s="27" t="inlineStr">
        <is>
          <t>ZPR2</t>
        </is>
      </c>
      <c r="L31" s="27" t="inlineStr">
        <is>
          <t>PRE</t>
        </is>
      </c>
      <c r="M31" s="27" t="n"/>
      <c r="N31" s="27" t="inlineStr">
        <is>
          <t>Maintenance préventive fictive EC+PIS+PILOTAGE+FILTRE - poste G-I-B1200</t>
        </is>
      </c>
      <c r="O31" s="27" t="inlineStr">
        <is>
          <t>TERM</t>
        </is>
      </c>
      <c r="P31" s="27" t="inlineStr">
        <is>
          <t>STAT_SYS_A</t>
        </is>
      </c>
      <c r="Q31" s="27" t="inlineStr">
        <is>
          <t>USER01</t>
        </is>
      </c>
      <c r="R31" s="30" t="n">
        <v>310</v>
      </c>
      <c r="S31" s="27" t="inlineStr">
        <is>
          <t>EQ1</t>
        </is>
      </c>
      <c r="T31" s="29" t="n">
        <v>46088</v>
      </c>
      <c r="U31" s="27" t="inlineStr">
        <is>
          <t>TECH-02</t>
        </is>
      </c>
      <c r="V31" s="27" t="inlineStr">
        <is>
          <t>G-I-B1200-SEC01</t>
        </is>
      </c>
      <c r="W31" s="27" t="inlineStr">
        <is>
          <t>Équipement fictif 02-1-2</t>
        </is>
      </c>
      <c r="X31" s="27" t="inlineStr">
        <is>
          <t>EQ-02-1-02</t>
        </is>
      </c>
      <c r="Y31" s="27" t="inlineStr">
        <is>
          <t>GG-PREV</t>
        </is>
      </c>
      <c r="Z31" s="27" t="inlineStr">
        <is>
          <t>2</t>
        </is>
      </c>
      <c r="AA31" s="29" t="n">
        <v>46076</v>
      </c>
      <c r="AB31" s="27" t="inlineStr">
        <is>
          <t>COMPTAGE</t>
        </is>
      </c>
      <c r="AC31" s="27" t="inlineStr">
        <is>
          <t>EC+PIS+PILOTAGE+FILTRE</t>
        </is>
      </c>
      <c r="AD31" s="28" t="n">
        <v>4</v>
      </c>
      <c r="AE31" s="28" t="n">
        <v>1</v>
      </c>
      <c r="AF31" s="28" t="n">
        <v>1</v>
      </c>
      <c r="AG31" s="27" t="n"/>
      <c r="AH31" s="27" t="n"/>
      <c r="AI31" s="27" t="inlineStr">
        <is>
          <t>Instantané de démonstration – MODELE_GMAO_PREV_ANONYMISE.csv</t>
        </is>
      </c>
      <c r="AJ31" s="31" t="n">
        <v>46309.50763888889</v>
      </c>
    </row>
    <row r="32">
      <c r="A32" s="27" t="inlineStr">
        <is>
          <t>910000012</t>
        </is>
      </c>
      <c r="B32" s="27" t="inlineStr">
        <is>
          <t>EC</t>
        </is>
      </c>
      <c r="C32" s="28" t="n">
        <v>2026</v>
      </c>
      <c r="D32" s="27" t="inlineStr">
        <is>
          <t>SITE02</t>
        </is>
      </c>
      <c r="E32" s="27" t="inlineStr">
        <is>
          <t>EQ1</t>
        </is>
      </c>
      <c r="F32" s="27" t="inlineStr">
        <is>
          <t>G-I-B1300</t>
        </is>
      </c>
      <c r="G32" s="27" t="n"/>
      <c r="H32" s="28" t="n">
        <v>13</v>
      </c>
      <c r="I32" s="29" t="n">
        <v>46039</v>
      </c>
      <c r="J32" s="27" t="n"/>
      <c r="K32" s="27" t="inlineStr">
        <is>
          <t>ZPR2</t>
        </is>
      </c>
      <c r="L32" s="27" t="inlineStr">
        <is>
          <t>PRE</t>
        </is>
      </c>
      <c r="M32" s="27" t="n"/>
      <c r="N32" s="27" t="inlineStr">
        <is>
          <t>Maintenance préventive fictive EC+FILTRE - poste G-I-B1300</t>
        </is>
      </c>
      <c r="O32" s="27" t="inlineStr">
        <is>
          <t>ACTI</t>
        </is>
      </c>
      <c r="P32" s="27" t="inlineStr">
        <is>
          <t>STAT_SYS_A</t>
        </is>
      </c>
      <c r="Q32" s="27" t="inlineStr">
        <is>
          <t>USER01</t>
        </is>
      </c>
      <c r="R32" s="30" t="n">
        <v>320</v>
      </c>
      <c r="S32" s="27" t="inlineStr">
        <is>
          <t>EQ1</t>
        </is>
      </c>
      <c r="T32" s="29" t="n">
        <v>46120</v>
      </c>
      <c r="U32" s="27" t="inlineStr">
        <is>
          <t>TECH-02</t>
        </is>
      </c>
      <c r="V32" s="27" t="inlineStr">
        <is>
          <t>G-I-B1300-SEC01</t>
        </is>
      </c>
      <c r="W32" s="27" t="inlineStr">
        <is>
          <t>Équipement fictif 02-1-3</t>
        </is>
      </c>
      <c r="X32" s="27" t="inlineStr">
        <is>
          <t>EQ-02-1-03</t>
        </is>
      </c>
      <c r="Y32" s="27" t="inlineStr">
        <is>
          <t>GG-PREV</t>
        </is>
      </c>
      <c r="Z32" s="27" t="inlineStr">
        <is>
          <t>3</t>
        </is>
      </c>
      <c r="AA32" s="29" t="n">
        <v>46107</v>
      </c>
      <c r="AB32" s="27" t="inlineStr">
        <is>
          <t>PIQUAGE</t>
        </is>
      </c>
      <c r="AC32" s="27" t="inlineStr">
        <is>
          <t>EC+FILTRE</t>
        </is>
      </c>
      <c r="AD32" s="28" t="n">
        <v>2</v>
      </c>
      <c r="AE32" s="28" t="n">
        <v>1</v>
      </c>
      <c r="AF32" s="28" t="n">
        <v>1</v>
      </c>
      <c r="AG32" s="27" t="n"/>
      <c r="AH32" s="27" t="n"/>
      <c r="AI32" s="27" t="inlineStr">
        <is>
          <t>Instantané de démonstration – MODELE_GMAO_PREV_ANONYMISE.csv</t>
        </is>
      </c>
      <c r="AJ32" s="31" t="n">
        <v>46309.50763888889</v>
      </c>
    </row>
    <row r="33">
      <c r="A33" s="27" t="inlineStr">
        <is>
          <t>910000012</t>
        </is>
      </c>
      <c r="B33" s="27" t="inlineStr">
        <is>
          <t>FILTRE</t>
        </is>
      </c>
      <c r="C33" s="28" t="n">
        <v>2026</v>
      </c>
      <c r="D33" s="27" t="inlineStr">
        <is>
          <t>SITE02</t>
        </is>
      </c>
      <c r="E33" s="27" t="inlineStr">
        <is>
          <t>EQ1</t>
        </is>
      </c>
      <c r="F33" s="27" t="inlineStr">
        <is>
          <t>G-I-B1300</t>
        </is>
      </c>
      <c r="G33" s="27" t="n"/>
      <c r="H33" s="28" t="n">
        <v>13</v>
      </c>
      <c r="I33" s="29" t="n">
        <v>46039</v>
      </c>
      <c r="J33" s="27" t="n"/>
      <c r="K33" s="27" t="inlineStr">
        <is>
          <t>ZPR2</t>
        </is>
      </c>
      <c r="L33" s="27" t="inlineStr">
        <is>
          <t>PRE</t>
        </is>
      </c>
      <c r="M33" s="27" t="n"/>
      <c r="N33" s="27" t="inlineStr">
        <is>
          <t>Maintenance préventive fictive EC+FILTRE - poste G-I-B1300</t>
        </is>
      </c>
      <c r="O33" s="27" t="inlineStr">
        <is>
          <t>ACTI</t>
        </is>
      </c>
      <c r="P33" s="27" t="inlineStr">
        <is>
          <t>STAT_SYS_A</t>
        </is>
      </c>
      <c r="Q33" s="27" t="inlineStr">
        <is>
          <t>USER01</t>
        </is>
      </c>
      <c r="R33" s="30" t="n">
        <v>320</v>
      </c>
      <c r="S33" s="27" t="inlineStr">
        <is>
          <t>EQ1</t>
        </is>
      </c>
      <c r="T33" s="29" t="n">
        <v>46120</v>
      </c>
      <c r="U33" s="27" t="inlineStr">
        <is>
          <t>TECH-02</t>
        </is>
      </c>
      <c r="V33" s="27" t="inlineStr">
        <is>
          <t>G-I-B1300-SEC01</t>
        </is>
      </c>
      <c r="W33" s="27" t="inlineStr">
        <is>
          <t>Équipement fictif 02-1-3</t>
        </is>
      </c>
      <c r="X33" s="27" t="inlineStr">
        <is>
          <t>EQ-02-1-03</t>
        </is>
      </c>
      <c r="Y33" s="27" t="inlineStr">
        <is>
          <t>GG-PREV</t>
        </is>
      </c>
      <c r="Z33" s="27" t="inlineStr">
        <is>
          <t>3</t>
        </is>
      </c>
      <c r="AA33" s="29" t="n">
        <v>46107</v>
      </c>
      <c r="AB33" s="27" t="inlineStr">
        <is>
          <t>PIQUAGE</t>
        </is>
      </c>
      <c r="AC33" s="27" t="inlineStr">
        <is>
          <t>EC+FILTRE</t>
        </is>
      </c>
      <c r="AD33" s="28" t="n">
        <v>4</v>
      </c>
      <c r="AE33" s="28" t="n">
        <v>1</v>
      </c>
      <c r="AF33" s="28" t="n">
        <v>1</v>
      </c>
      <c r="AG33" s="27" t="n"/>
      <c r="AH33" s="27" t="n"/>
      <c r="AI33" s="27" t="inlineStr">
        <is>
          <t>Instantané de démonstration – MODELE_GMAO_PREV_ANONYMISE.csv</t>
        </is>
      </c>
      <c r="AJ33" s="31" t="n">
        <v>46309.50763888889</v>
      </c>
    </row>
    <row r="34">
      <c r="A34" s="27" t="inlineStr">
        <is>
          <t>910000013</t>
        </is>
      </c>
      <c r="B34" s="27" t="inlineStr">
        <is>
          <t>EC</t>
        </is>
      </c>
      <c r="C34" s="28" t="n">
        <v>2026</v>
      </c>
      <c r="D34" s="27" t="inlineStr">
        <is>
          <t>SITE02</t>
        </is>
      </c>
      <c r="E34" s="27" t="inlineStr">
        <is>
          <t>EQ2</t>
        </is>
      </c>
      <c r="F34" s="27" t="inlineStr">
        <is>
          <t>G-I-B2100</t>
        </is>
      </c>
      <c r="G34" s="27" t="n"/>
      <c r="H34" s="28" t="n">
        <v>14</v>
      </c>
      <c r="I34" s="29" t="n">
        <v>46020</v>
      </c>
      <c r="J34" s="27" t="n"/>
      <c r="K34" s="27" t="inlineStr">
        <is>
          <t>ZPR2</t>
        </is>
      </c>
      <c r="L34" s="27" t="inlineStr">
        <is>
          <t>PRE</t>
        </is>
      </c>
      <c r="M34" s="27" t="n"/>
      <c r="N34" s="27" t="inlineStr">
        <is>
          <t>Maintenance préventive fictive EC+PIS+PILOTAGE+FILTRE - poste G-I-B2100</t>
        </is>
      </c>
      <c r="O34" s="27" t="inlineStr">
        <is>
          <t>TERM</t>
        </is>
      </c>
      <c r="P34" s="27" t="inlineStr">
        <is>
          <t>STAT_SYS_A</t>
        </is>
      </c>
      <c r="Q34" s="27" t="inlineStr">
        <is>
          <t>USER02</t>
        </is>
      </c>
      <c r="R34" s="30" t="n">
        <v>340</v>
      </c>
      <c r="S34" s="27" t="inlineStr">
        <is>
          <t>EQ2</t>
        </is>
      </c>
      <c r="T34" s="29" t="n">
        <v>46087</v>
      </c>
      <c r="U34" s="27" t="inlineStr">
        <is>
          <t>TECH-02</t>
        </is>
      </c>
      <c r="V34" s="27" t="inlineStr">
        <is>
          <t>G-I-B2100-VAN01</t>
        </is>
      </c>
      <c r="W34" s="27" t="inlineStr">
        <is>
          <t>Équipement fictif 02-2-1</t>
        </is>
      </c>
      <c r="X34" s="27" t="inlineStr">
        <is>
          <t>EQ-02-2-01</t>
        </is>
      </c>
      <c r="Y34" s="27" t="inlineStr">
        <is>
          <t>GG-PREV</t>
        </is>
      </c>
      <c r="Z34" s="27" t="inlineStr">
        <is>
          <t>1</t>
        </is>
      </c>
      <c r="AA34" s="29" t="n">
        <v>46076</v>
      </c>
      <c r="AB34" s="27" t="inlineStr">
        <is>
          <t>SECTIONNEMENT</t>
        </is>
      </c>
      <c r="AC34" s="27" t="inlineStr">
        <is>
          <t>EC+PIS+PILOTAGE+FILTRE</t>
        </is>
      </c>
      <c r="AD34" s="28" t="n">
        <v>2</v>
      </c>
      <c r="AE34" s="28" t="n">
        <v>1</v>
      </c>
      <c r="AF34" s="28" t="n">
        <v>1</v>
      </c>
      <c r="AG34" s="27" t="n"/>
      <c r="AH34" s="27" t="n"/>
      <c r="AI34" s="27" t="inlineStr">
        <is>
          <t>Instantané de démonstration – MODELE_GMAO_PREV_ANONYMISE.csv</t>
        </is>
      </c>
      <c r="AJ34" s="31" t="n">
        <v>46309.50763888889</v>
      </c>
    </row>
    <row r="35">
      <c r="A35" s="27" t="inlineStr">
        <is>
          <t>910000013</t>
        </is>
      </c>
      <c r="B35" s="27" t="inlineStr">
        <is>
          <t>PIS</t>
        </is>
      </c>
      <c r="C35" s="28" t="n">
        <v>2026</v>
      </c>
      <c r="D35" s="27" t="inlineStr">
        <is>
          <t>SITE02</t>
        </is>
      </c>
      <c r="E35" s="27" t="inlineStr">
        <is>
          <t>EQ2</t>
        </is>
      </c>
      <c r="F35" s="27" t="inlineStr">
        <is>
          <t>G-I-B2100</t>
        </is>
      </c>
      <c r="G35" s="27" t="n"/>
      <c r="H35" s="28" t="n">
        <v>14</v>
      </c>
      <c r="I35" s="29" t="n">
        <v>46020</v>
      </c>
      <c r="J35" s="27" t="n"/>
      <c r="K35" s="27" t="inlineStr">
        <is>
          <t>ZPR2</t>
        </is>
      </c>
      <c r="L35" s="27" t="inlineStr">
        <is>
          <t>PRE</t>
        </is>
      </c>
      <c r="M35" s="27" t="n"/>
      <c r="N35" s="27" t="inlineStr">
        <is>
          <t>Maintenance préventive fictive EC+PIS+PILOTAGE+FILTRE - poste G-I-B2100</t>
        </is>
      </c>
      <c r="O35" s="27" t="inlineStr">
        <is>
          <t>TERM</t>
        </is>
      </c>
      <c r="P35" s="27" t="inlineStr">
        <is>
          <t>STAT_SYS_A</t>
        </is>
      </c>
      <c r="Q35" s="27" t="inlineStr">
        <is>
          <t>USER02</t>
        </is>
      </c>
      <c r="R35" s="30" t="n">
        <v>340</v>
      </c>
      <c r="S35" s="27" t="inlineStr">
        <is>
          <t>EQ2</t>
        </is>
      </c>
      <c r="T35" s="29" t="n">
        <v>46087</v>
      </c>
      <c r="U35" s="27" t="inlineStr">
        <is>
          <t>TECH-02</t>
        </is>
      </c>
      <c r="V35" s="27" t="inlineStr">
        <is>
          <t>G-I-B2100-VAN01</t>
        </is>
      </c>
      <c r="W35" s="27" t="inlineStr">
        <is>
          <t>Équipement fictif 02-2-1</t>
        </is>
      </c>
      <c r="X35" s="27" t="inlineStr">
        <is>
          <t>EQ-02-2-01</t>
        </is>
      </c>
      <c r="Y35" s="27" t="inlineStr">
        <is>
          <t>GG-PREV</t>
        </is>
      </c>
      <c r="Z35" s="27" t="inlineStr">
        <is>
          <t>1</t>
        </is>
      </c>
      <c r="AA35" s="29" t="n">
        <v>46076</v>
      </c>
      <c r="AB35" s="27" t="inlineStr">
        <is>
          <t>SECTIONNEMENT</t>
        </is>
      </c>
      <c r="AC35" s="27" t="inlineStr">
        <is>
          <t>EC+PIS+PILOTAGE+FILTRE</t>
        </is>
      </c>
      <c r="AD35" s="28" t="n">
        <v>1</v>
      </c>
      <c r="AE35" s="28" t="n">
        <v>1</v>
      </c>
      <c r="AF35" s="28" t="n">
        <v>1</v>
      </c>
      <c r="AG35" s="27" t="n"/>
      <c r="AH35" s="27" t="n"/>
      <c r="AI35" s="27" t="inlineStr">
        <is>
          <t>Instantané de démonstration – MODELE_GMAO_PREV_ANONYMISE.csv</t>
        </is>
      </c>
      <c r="AJ35" s="31" t="n">
        <v>46309.50763888889</v>
      </c>
    </row>
    <row r="36">
      <c r="A36" s="27" t="inlineStr">
        <is>
          <t>910000013</t>
        </is>
      </c>
      <c r="B36" s="27" t="inlineStr">
        <is>
          <t>PILOTAGE</t>
        </is>
      </c>
      <c r="C36" s="28" t="n">
        <v>2026</v>
      </c>
      <c r="D36" s="27" t="inlineStr">
        <is>
          <t>SITE02</t>
        </is>
      </c>
      <c r="E36" s="27" t="inlineStr">
        <is>
          <t>EQ2</t>
        </is>
      </c>
      <c r="F36" s="27" t="inlineStr">
        <is>
          <t>G-I-B2100</t>
        </is>
      </c>
      <c r="G36" s="27" t="n"/>
      <c r="H36" s="28" t="n">
        <v>14</v>
      </c>
      <c r="I36" s="29" t="n">
        <v>46020</v>
      </c>
      <c r="J36" s="27" t="n"/>
      <c r="K36" s="27" t="inlineStr">
        <is>
          <t>ZPR2</t>
        </is>
      </c>
      <c r="L36" s="27" t="inlineStr">
        <is>
          <t>PRE</t>
        </is>
      </c>
      <c r="M36" s="27" t="n"/>
      <c r="N36" s="27" t="inlineStr">
        <is>
          <t>Maintenance préventive fictive EC+PIS+PILOTAGE+FILTRE - poste G-I-B2100</t>
        </is>
      </c>
      <c r="O36" s="27" t="inlineStr">
        <is>
          <t>TERM</t>
        </is>
      </c>
      <c r="P36" s="27" t="inlineStr">
        <is>
          <t>STAT_SYS_A</t>
        </is>
      </c>
      <c r="Q36" s="27" t="inlineStr">
        <is>
          <t>USER02</t>
        </is>
      </c>
      <c r="R36" s="30" t="n">
        <v>340</v>
      </c>
      <c r="S36" s="27" t="inlineStr">
        <is>
          <t>EQ2</t>
        </is>
      </c>
      <c r="T36" s="29" t="n">
        <v>46087</v>
      </c>
      <c r="U36" s="27" t="inlineStr">
        <is>
          <t>TECH-02</t>
        </is>
      </c>
      <c r="V36" s="27" t="inlineStr">
        <is>
          <t>G-I-B2100-VAN01</t>
        </is>
      </c>
      <c r="W36" s="27" t="inlineStr">
        <is>
          <t>Équipement fictif 02-2-1</t>
        </is>
      </c>
      <c r="X36" s="27" t="inlineStr">
        <is>
          <t>EQ-02-2-01</t>
        </is>
      </c>
      <c r="Y36" s="27" t="inlineStr">
        <is>
          <t>GG-PREV</t>
        </is>
      </c>
      <c r="Z36" s="27" t="inlineStr">
        <is>
          <t>1</t>
        </is>
      </c>
      <c r="AA36" s="29" t="n">
        <v>46076</v>
      </c>
      <c r="AB36" s="27" t="inlineStr">
        <is>
          <t>SECTIONNEMENT</t>
        </is>
      </c>
      <c r="AC36" s="27" t="inlineStr">
        <is>
          <t>EC+PIS+PILOTAGE+FILTRE</t>
        </is>
      </c>
      <c r="AD36" s="28" t="n">
        <v>3</v>
      </c>
      <c r="AE36" s="28" t="n">
        <v>1</v>
      </c>
      <c r="AF36" s="28" t="n">
        <v>1</v>
      </c>
      <c r="AG36" s="27" t="n"/>
      <c r="AH36" s="27" t="n"/>
      <c r="AI36" s="27" t="inlineStr">
        <is>
          <t>Instantané de démonstration – MODELE_GMAO_PREV_ANONYMISE.csv</t>
        </is>
      </c>
      <c r="AJ36" s="31" t="n">
        <v>46309.50763888889</v>
      </c>
    </row>
    <row r="37">
      <c r="A37" s="27" t="inlineStr">
        <is>
          <t>910000013</t>
        </is>
      </c>
      <c r="B37" s="27" t="inlineStr">
        <is>
          <t>FILTRE</t>
        </is>
      </c>
      <c r="C37" s="28" t="n">
        <v>2026</v>
      </c>
      <c r="D37" s="27" t="inlineStr">
        <is>
          <t>SITE02</t>
        </is>
      </c>
      <c r="E37" s="27" t="inlineStr">
        <is>
          <t>EQ2</t>
        </is>
      </c>
      <c r="F37" s="27" t="inlineStr">
        <is>
          <t>G-I-B2100</t>
        </is>
      </c>
      <c r="G37" s="27" t="n"/>
      <c r="H37" s="28" t="n">
        <v>14</v>
      </c>
      <c r="I37" s="29" t="n">
        <v>46020</v>
      </c>
      <c r="J37" s="27" t="n"/>
      <c r="K37" s="27" t="inlineStr">
        <is>
          <t>ZPR2</t>
        </is>
      </c>
      <c r="L37" s="27" t="inlineStr">
        <is>
          <t>PRE</t>
        </is>
      </c>
      <c r="M37" s="27" t="n"/>
      <c r="N37" s="27" t="inlineStr">
        <is>
          <t>Maintenance préventive fictive EC+PIS+PILOTAGE+FILTRE - poste G-I-B2100</t>
        </is>
      </c>
      <c r="O37" s="27" t="inlineStr">
        <is>
          <t>TERM</t>
        </is>
      </c>
      <c r="P37" s="27" t="inlineStr">
        <is>
          <t>STAT_SYS_A</t>
        </is>
      </c>
      <c r="Q37" s="27" t="inlineStr">
        <is>
          <t>USER02</t>
        </is>
      </c>
      <c r="R37" s="30" t="n">
        <v>340</v>
      </c>
      <c r="S37" s="27" t="inlineStr">
        <is>
          <t>EQ2</t>
        </is>
      </c>
      <c r="T37" s="29" t="n">
        <v>46087</v>
      </c>
      <c r="U37" s="27" t="inlineStr">
        <is>
          <t>TECH-02</t>
        </is>
      </c>
      <c r="V37" s="27" t="inlineStr">
        <is>
          <t>G-I-B2100-VAN01</t>
        </is>
      </c>
      <c r="W37" s="27" t="inlineStr">
        <is>
          <t>Équipement fictif 02-2-1</t>
        </is>
      </c>
      <c r="X37" s="27" t="inlineStr">
        <is>
          <t>EQ-02-2-01</t>
        </is>
      </c>
      <c r="Y37" s="27" t="inlineStr">
        <is>
          <t>GG-PREV</t>
        </is>
      </c>
      <c r="Z37" s="27" t="inlineStr">
        <is>
          <t>1</t>
        </is>
      </c>
      <c r="AA37" s="29" t="n">
        <v>46076</v>
      </c>
      <c r="AB37" s="27" t="inlineStr">
        <is>
          <t>SECTIONNEMENT</t>
        </is>
      </c>
      <c r="AC37" s="27" t="inlineStr">
        <is>
          <t>EC+PIS+PILOTAGE+FILTRE</t>
        </is>
      </c>
      <c r="AD37" s="28" t="n">
        <v>4</v>
      </c>
      <c r="AE37" s="28" t="n">
        <v>1</v>
      </c>
      <c r="AF37" s="28" t="n">
        <v>1</v>
      </c>
      <c r="AG37" s="27" t="n"/>
      <c r="AH37" s="27" t="n"/>
      <c r="AI37" s="27" t="inlineStr">
        <is>
          <t>Instantané de démonstration – MODELE_GMAO_PREV_ANONYMISE.csv</t>
        </is>
      </c>
      <c r="AJ37" s="31" t="n">
        <v>46309.50763888889</v>
      </c>
    </row>
    <row r="38">
      <c r="A38" s="27" t="inlineStr">
        <is>
          <t>910000014</t>
        </is>
      </c>
      <c r="B38" s="27" t="inlineStr">
        <is>
          <t>EC</t>
        </is>
      </c>
      <c r="C38" s="28" t="n">
        <v>2026</v>
      </c>
      <c r="D38" s="27" t="inlineStr">
        <is>
          <t>SITE02</t>
        </is>
      </c>
      <c r="E38" s="27" t="inlineStr">
        <is>
          <t>EQ2</t>
        </is>
      </c>
      <c r="F38" s="27" t="inlineStr">
        <is>
          <t>G-I-B2200</t>
        </is>
      </c>
      <c r="G38" s="27" t="n"/>
      <c r="H38" s="28" t="n">
        <v>15</v>
      </c>
      <c r="I38" s="29" t="n">
        <v>46045</v>
      </c>
      <c r="J38" s="27" t="n"/>
      <c r="K38" s="27" t="inlineStr">
        <is>
          <t>ZPR2</t>
        </is>
      </c>
      <c r="L38" s="27" t="inlineStr">
        <is>
          <t>PRE</t>
        </is>
      </c>
      <c r="M38" s="27" t="n"/>
      <c r="N38" s="27" t="inlineStr">
        <is>
          <t>Maintenance préventive fictive EC+FILTRE - poste G-I-B2200</t>
        </is>
      </c>
      <c r="O38" s="27" t="inlineStr">
        <is>
          <t>ACTI</t>
        </is>
      </c>
      <c r="P38" s="27" t="inlineStr">
        <is>
          <t>STAT_SYS_A</t>
        </is>
      </c>
      <c r="Q38" s="27" t="inlineStr">
        <is>
          <t>USER02</t>
        </is>
      </c>
      <c r="R38" s="30" t="n">
        <v>350</v>
      </c>
      <c r="S38" s="27" t="inlineStr">
        <is>
          <t>EQ2</t>
        </is>
      </c>
      <c r="T38" s="29" t="n">
        <v>46119</v>
      </c>
      <c r="U38" s="27" t="inlineStr">
        <is>
          <t>TECH-02</t>
        </is>
      </c>
      <c r="V38" s="27" t="inlineStr">
        <is>
          <t>G-I-B2200-FILT01</t>
        </is>
      </c>
      <c r="W38" s="27" t="inlineStr">
        <is>
          <t>Équipement fictif 02-2-2</t>
        </is>
      </c>
      <c r="X38" s="27" t="inlineStr">
        <is>
          <t>EQ-02-2-02</t>
        </is>
      </c>
      <c r="Y38" s="27" t="inlineStr">
        <is>
          <t>GG-PREV</t>
        </is>
      </c>
      <c r="Z38" s="27" t="inlineStr">
        <is>
          <t>2</t>
        </is>
      </c>
      <c r="AA38" s="29" t="n">
        <v>46107</v>
      </c>
      <c r="AB38" s="27" t="inlineStr">
        <is>
          <t>COMPTAGE</t>
        </is>
      </c>
      <c r="AC38" s="27" t="inlineStr">
        <is>
          <t>EC+FILTRE</t>
        </is>
      </c>
      <c r="AD38" s="28" t="n">
        <v>2</v>
      </c>
      <c r="AE38" s="28" t="n">
        <v>1</v>
      </c>
      <c r="AF38" s="28" t="n">
        <v>1</v>
      </c>
      <c r="AG38" s="27" t="n"/>
      <c r="AH38" s="27" t="n"/>
      <c r="AI38" s="27" t="inlineStr">
        <is>
          <t>Instantané de démonstration – MODELE_GMAO_PREV_ANONYMISE.csv</t>
        </is>
      </c>
      <c r="AJ38" s="31" t="n">
        <v>46309.50763888889</v>
      </c>
    </row>
    <row r="39">
      <c r="A39" s="27" t="inlineStr">
        <is>
          <t>910000014</t>
        </is>
      </c>
      <c r="B39" s="27" t="inlineStr">
        <is>
          <t>FILTRE</t>
        </is>
      </c>
      <c r="C39" s="28" t="n">
        <v>2026</v>
      </c>
      <c r="D39" s="27" t="inlineStr">
        <is>
          <t>SITE02</t>
        </is>
      </c>
      <c r="E39" s="27" t="inlineStr">
        <is>
          <t>EQ2</t>
        </is>
      </c>
      <c r="F39" s="27" t="inlineStr">
        <is>
          <t>G-I-B2200</t>
        </is>
      </c>
      <c r="G39" s="27" t="n"/>
      <c r="H39" s="28" t="n">
        <v>15</v>
      </c>
      <c r="I39" s="29" t="n">
        <v>46045</v>
      </c>
      <c r="J39" s="27" t="n"/>
      <c r="K39" s="27" t="inlineStr">
        <is>
          <t>ZPR2</t>
        </is>
      </c>
      <c r="L39" s="27" t="inlineStr">
        <is>
          <t>PRE</t>
        </is>
      </c>
      <c r="M39" s="27" t="n"/>
      <c r="N39" s="27" t="inlineStr">
        <is>
          <t>Maintenance préventive fictive EC+FILTRE - poste G-I-B2200</t>
        </is>
      </c>
      <c r="O39" s="27" t="inlineStr">
        <is>
          <t>ACTI</t>
        </is>
      </c>
      <c r="P39" s="27" t="inlineStr">
        <is>
          <t>STAT_SYS_A</t>
        </is>
      </c>
      <c r="Q39" s="27" t="inlineStr">
        <is>
          <t>USER02</t>
        </is>
      </c>
      <c r="R39" s="30" t="n">
        <v>350</v>
      </c>
      <c r="S39" s="27" t="inlineStr">
        <is>
          <t>EQ2</t>
        </is>
      </c>
      <c r="T39" s="29" t="n">
        <v>46119</v>
      </c>
      <c r="U39" s="27" t="inlineStr">
        <is>
          <t>TECH-02</t>
        </is>
      </c>
      <c r="V39" s="27" t="inlineStr">
        <is>
          <t>G-I-B2200-FILT01</t>
        </is>
      </c>
      <c r="W39" s="27" t="inlineStr">
        <is>
          <t>Équipement fictif 02-2-2</t>
        </is>
      </c>
      <c r="X39" s="27" t="inlineStr">
        <is>
          <t>EQ-02-2-02</t>
        </is>
      </c>
      <c r="Y39" s="27" t="inlineStr">
        <is>
          <t>GG-PREV</t>
        </is>
      </c>
      <c r="Z39" s="27" t="inlineStr">
        <is>
          <t>2</t>
        </is>
      </c>
      <c r="AA39" s="29" t="n">
        <v>46107</v>
      </c>
      <c r="AB39" s="27" t="inlineStr">
        <is>
          <t>COMPTAGE</t>
        </is>
      </c>
      <c r="AC39" s="27" t="inlineStr">
        <is>
          <t>EC+FILTRE</t>
        </is>
      </c>
      <c r="AD39" s="28" t="n">
        <v>4</v>
      </c>
      <c r="AE39" s="28" t="n">
        <v>1</v>
      </c>
      <c r="AF39" s="28" t="n">
        <v>1</v>
      </c>
      <c r="AG39" s="27" t="n"/>
      <c r="AH39" s="27" t="n"/>
      <c r="AI39" s="27" t="inlineStr">
        <is>
          <t>Instantané de démonstration – MODELE_GMAO_PREV_ANONYMISE.csv</t>
        </is>
      </c>
      <c r="AJ39" s="31" t="n">
        <v>46309.50763888889</v>
      </c>
    </row>
    <row r="40">
      <c r="A40" s="27" t="inlineStr">
        <is>
          <t>910000015</t>
        </is>
      </c>
      <c r="B40" s="27" t="inlineStr">
        <is>
          <t>PIS</t>
        </is>
      </c>
      <c r="C40" s="28" t="n">
        <v>2026</v>
      </c>
      <c r="D40" s="27" t="inlineStr">
        <is>
          <t>SITE02</t>
        </is>
      </c>
      <c r="E40" s="27" t="inlineStr">
        <is>
          <t>EQ2</t>
        </is>
      </c>
      <c r="F40" s="27" t="inlineStr">
        <is>
          <t>G-I-B2300</t>
        </is>
      </c>
      <c r="G40" s="27" t="n"/>
      <c r="H40" s="28" t="n">
        <v>16</v>
      </c>
      <c r="I40" s="29" t="n">
        <v>46069</v>
      </c>
      <c r="J40" s="27" t="n"/>
      <c r="K40" s="27" t="inlineStr">
        <is>
          <t>ZPR2</t>
        </is>
      </c>
      <c r="L40" s="27" t="inlineStr">
        <is>
          <t>PRE</t>
        </is>
      </c>
      <c r="M40" s="27" t="n"/>
      <c r="N40" s="27" t="inlineStr">
        <is>
          <t>Maintenance préventive fictive PIS+REV - poste G-I-B2300</t>
        </is>
      </c>
      <c r="O40" s="27" t="inlineStr">
        <is>
          <t>ACTI</t>
        </is>
      </c>
      <c r="P40" s="27" t="inlineStr">
        <is>
          <t>STAT_SYS_A</t>
        </is>
      </c>
      <c r="Q40" s="27" t="inlineStr">
        <is>
          <t>USER02</t>
        </is>
      </c>
      <c r="R40" s="30" t="n">
        <v>360</v>
      </c>
      <c r="S40" s="27" t="inlineStr">
        <is>
          <t>EQ2</t>
        </is>
      </c>
      <c r="T40" s="29" t="n">
        <v>46150</v>
      </c>
      <c r="U40" s="27" t="inlineStr">
        <is>
          <t>TECH-02</t>
        </is>
      </c>
      <c r="V40" s="27" t="inlineStr">
        <is>
          <t>G-I-B2300-REG01</t>
        </is>
      </c>
      <c r="W40" s="27" t="inlineStr">
        <is>
          <t>Équipement fictif 02-2-3</t>
        </is>
      </c>
      <c r="X40" s="27" t="inlineStr">
        <is>
          <t>EQ-02-2-03</t>
        </is>
      </c>
      <c r="Y40" s="27" t="inlineStr">
        <is>
          <t>GG-PREV</t>
        </is>
      </c>
      <c r="Z40" s="27" t="inlineStr">
        <is>
          <t>3</t>
        </is>
      </c>
      <c r="AA40" s="29" t="n">
        <v>46137</v>
      </c>
      <c r="AB40" s="27" t="inlineStr">
        <is>
          <t>PIQUAGE</t>
        </is>
      </c>
      <c r="AC40" s="27" t="inlineStr">
        <is>
          <t>PIS+REV</t>
        </is>
      </c>
      <c r="AD40" s="28" t="n">
        <v>1</v>
      </c>
      <c r="AE40" s="28" t="n">
        <v>1</v>
      </c>
      <c r="AF40" s="28" t="n">
        <v>1</v>
      </c>
      <c r="AG40" s="27" t="n"/>
      <c r="AH40" s="27" t="n"/>
      <c r="AI40" s="27" t="inlineStr">
        <is>
          <t>Instantané de démonstration – MODELE_GMAO_PREV_ANONYMISE.csv</t>
        </is>
      </c>
      <c r="AJ40" s="31" t="n">
        <v>46309.50763888889</v>
      </c>
    </row>
    <row r="41">
      <c r="A41" s="27" t="inlineStr">
        <is>
          <t>910000015</t>
        </is>
      </c>
      <c r="B41" s="27" t="inlineStr">
        <is>
          <t>REV</t>
        </is>
      </c>
      <c r="C41" s="28" t="n">
        <v>2026</v>
      </c>
      <c r="D41" s="27" t="inlineStr">
        <is>
          <t>SITE02</t>
        </is>
      </c>
      <c r="E41" s="27" t="inlineStr">
        <is>
          <t>EQ2</t>
        </is>
      </c>
      <c r="F41" s="27" t="inlineStr">
        <is>
          <t>G-I-B2300</t>
        </is>
      </c>
      <c r="G41" s="27" t="n"/>
      <c r="H41" s="28" t="n">
        <v>16</v>
      </c>
      <c r="I41" s="29" t="n">
        <v>46069</v>
      </c>
      <c r="J41" s="27" t="n"/>
      <c r="K41" s="27" t="inlineStr">
        <is>
          <t>ZPR2</t>
        </is>
      </c>
      <c r="L41" s="27" t="inlineStr">
        <is>
          <t>PRE</t>
        </is>
      </c>
      <c r="M41" s="27" t="n"/>
      <c r="N41" s="27" t="inlineStr">
        <is>
          <t>Maintenance préventive fictive PIS+REV - poste G-I-B2300</t>
        </is>
      </c>
      <c r="O41" s="27" t="inlineStr">
        <is>
          <t>ACTI</t>
        </is>
      </c>
      <c r="P41" s="27" t="inlineStr">
        <is>
          <t>STAT_SYS_A</t>
        </is>
      </c>
      <c r="Q41" s="27" t="inlineStr">
        <is>
          <t>USER02</t>
        </is>
      </c>
      <c r="R41" s="30" t="n">
        <v>360</v>
      </c>
      <c r="S41" s="27" t="inlineStr">
        <is>
          <t>EQ2</t>
        </is>
      </c>
      <c r="T41" s="29" t="n">
        <v>46150</v>
      </c>
      <c r="U41" s="27" t="inlineStr">
        <is>
          <t>TECH-02</t>
        </is>
      </c>
      <c r="V41" s="27" t="inlineStr">
        <is>
          <t>G-I-B2300-REG01</t>
        </is>
      </c>
      <c r="W41" s="27" t="inlineStr">
        <is>
          <t>Équipement fictif 02-2-3</t>
        </is>
      </c>
      <c r="X41" s="27" t="inlineStr">
        <is>
          <t>EQ-02-2-03</t>
        </is>
      </c>
      <c r="Y41" s="27" t="inlineStr">
        <is>
          <t>GG-PREV</t>
        </is>
      </c>
      <c r="Z41" s="27" t="inlineStr">
        <is>
          <t>3</t>
        </is>
      </c>
      <c r="AA41" s="29" t="n">
        <v>46137</v>
      </c>
      <c r="AB41" s="27" t="inlineStr">
        <is>
          <t>PIQUAGE</t>
        </is>
      </c>
      <c r="AC41" s="27" t="inlineStr">
        <is>
          <t>PIS+REV</t>
        </is>
      </c>
      <c r="AD41" s="28" t="n">
        <v>5</v>
      </c>
      <c r="AE41" s="28" t="n">
        <v>1</v>
      </c>
      <c r="AF41" s="28" t="n">
        <v>1</v>
      </c>
      <c r="AG41" s="27" t="n"/>
      <c r="AH41" s="27" t="n"/>
      <c r="AI41" s="27" t="inlineStr">
        <is>
          <t>Instantané de démonstration – MODELE_GMAO_PREV_ANONYMISE.csv</t>
        </is>
      </c>
      <c r="AJ41" s="31" t="n">
        <v>46309.50763888889</v>
      </c>
    </row>
    <row r="42">
      <c r="A42" s="27" t="inlineStr">
        <is>
          <t>910000016</t>
        </is>
      </c>
      <c r="B42" s="27" t="inlineStr">
        <is>
          <t>EC</t>
        </is>
      </c>
      <c r="C42" s="28" t="n">
        <v>2026</v>
      </c>
      <c r="D42" s="27" t="inlineStr">
        <is>
          <t>SITE02</t>
        </is>
      </c>
      <c r="E42" s="27" t="inlineStr">
        <is>
          <t>EQ3</t>
        </is>
      </c>
      <c r="F42" s="27" t="inlineStr">
        <is>
          <t>G-I-B3100</t>
        </is>
      </c>
      <c r="G42" s="27" t="n"/>
      <c r="H42" s="28" t="n">
        <v>17</v>
      </c>
      <c r="I42" s="29" t="n">
        <v>46051</v>
      </c>
      <c r="J42" s="27" t="n"/>
      <c r="K42" s="27" t="inlineStr">
        <is>
          <t>ZPR2</t>
        </is>
      </c>
      <c r="L42" s="27" t="inlineStr">
        <is>
          <t>PRE</t>
        </is>
      </c>
      <c r="M42" s="27" t="n"/>
      <c r="N42" s="27" t="inlineStr">
        <is>
          <t>Maintenance préventive fictive EC+FILTRE - poste G-I-B3100</t>
        </is>
      </c>
      <c r="O42" s="27" t="inlineStr">
        <is>
          <t>ACTI</t>
        </is>
      </c>
      <c r="P42" s="27" t="inlineStr">
        <is>
          <t>STAT_SYS_A</t>
        </is>
      </c>
      <c r="Q42" s="27" t="inlineStr">
        <is>
          <t>USER03</t>
        </is>
      </c>
      <c r="R42" s="30" t="n">
        <v>380</v>
      </c>
      <c r="S42" s="27" t="inlineStr">
        <is>
          <t>EQ3</t>
        </is>
      </c>
      <c r="T42" s="29" t="n">
        <v>46118</v>
      </c>
      <c r="U42" s="27" t="inlineStr">
        <is>
          <t>TECH-02</t>
        </is>
      </c>
      <c r="V42" s="27" t="inlineStr">
        <is>
          <t>G-I-B3100-SEC01</t>
        </is>
      </c>
      <c r="W42" s="27" t="inlineStr">
        <is>
          <t>Équipement fictif 02-3-1</t>
        </is>
      </c>
      <c r="X42" s="27" t="inlineStr">
        <is>
          <t>EQ-02-3-01</t>
        </is>
      </c>
      <c r="Y42" s="27" t="inlineStr">
        <is>
          <t>GG-PREV</t>
        </is>
      </c>
      <c r="Z42" s="27" t="inlineStr">
        <is>
          <t>1</t>
        </is>
      </c>
      <c r="AA42" s="29" t="n">
        <v>46107</v>
      </c>
      <c r="AB42" s="27" t="inlineStr">
        <is>
          <t>SECTIONNEMENT</t>
        </is>
      </c>
      <c r="AC42" s="27" t="inlineStr">
        <is>
          <t>EC+FILTRE</t>
        </is>
      </c>
      <c r="AD42" s="28" t="n">
        <v>2</v>
      </c>
      <c r="AE42" s="28" t="n">
        <v>1</v>
      </c>
      <c r="AF42" s="28" t="n">
        <v>1</v>
      </c>
      <c r="AG42" s="27" t="n"/>
      <c r="AH42" s="27" t="n"/>
      <c r="AI42" s="27" t="inlineStr">
        <is>
          <t>Instantané de démonstration – MODELE_GMAO_PREV_ANONYMISE.csv</t>
        </is>
      </c>
      <c r="AJ42" s="31" t="n">
        <v>46309.50763888889</v>
      </c>
    </row>
    <row r="43">
      <c r="A43" s="27" t="inlineStr">
        <is>
          <t>910000016</t>
        </is>
      </c>
      <c r="B43" s="27" t="inlineStr">
        <is>
          <t>FILTRE</t>
        </is>
      </c>
      <c r="C43" s="28" t="n">
        <v>2026</v>
      </c>
      <c r="D43" s="27" t="inlineStr">
        <is>
          <t>SITE02</t>
        </is>
      </c>
      <c r="E43" s="27" t="inlineStr">
        <is>
          <t>EQ3</t>
        </is>
      </c>
      <c r="F43" s="27" t="inlineStr">
        <is>
          <t>G-I-B3100</t>
        </is>
      </c>
      <c r="G43" s="27" t="n"/>
      <c r="H43" s="28" t="n">
        <v>17</v>
      </c>
      <c r="I43" s="29" t="n">
        <v>46051</v>
      </c>
      <c r="J43" s="27" t="n"/>
      <c r="K43" s="27" t="inlineStr">
        <is>
          <t>ZPR2</t>
        </is>
      </c>
      <c r="L43" s="27" t="inlineStr">
        <is>
          <t>PRE</t>
        </is>
      </c>
      <c r="M43" s="27" t="n"/>
      <c r="N43" s="27" t="inlineStr">
        <is>
          <t>Maintenance préventive fictive EC+FILTRE - poste G-I-B3100</t>
        </is>
      </c>
      <c r="O43" s="27" t="inlineStr">
        <is>
          <t>ACTI</t>
        </is>
      </c>
      <c r="P43" s="27" t="inlineStr">
        <is>
          <t>STAT_SYS_A</t>
        </is>
      </c>
      <c r="Q43" s="27" t="inlineStr">
        <is>
          <t>USER03</t>
        </is>
      </c>
      <c r="R43" s="30" t="n">
        <v>380</v>
      </c>
      <c r="S43" s="27" t="inlineStr">
        <is>
          <t>EQ3</t>
        </is>
      </c>
      <c r="T43" s="29" t="n">
        <v>46118</v>
      </c>
      <c r="U43" s="27" t="inlineStr">
        <is>
          <t>TECH-02</t>
        </is>
      </c>
      <c r="V43" s="27" t="inlineStr">
        <is>
          <t>G-I-B3100-SEC01</t>
        </is>
      </c>
      <c r="W43" s="27" t="inlineStr">
        <is>
          <t>Équipement fictif 02-3-1</t>
        </is>
      </c>
      <c r="X43" s="27" t="inlineStr">
        <is>
          <t>EQ-02-3-01</t>
        </is>
      </c>
      <c r="Y43" s="27" t="inlineStr">
        <is>
          <t>GG-PREV</t>
        </is>
      </c>
      <c r="Z43" s="27" t="inlineStr">
        <is>
          <t>1</t>
        </is>
      </c>
      <c r="AA43" s="29" t="n">
        <v>46107</v>
      </c>
      <c r="AB43" s="27" t="inlineStr">
        <is>
          <t>SECTIONNEMENT</t>
        </is>
      </c>
      <c r="AC43" s="27" t="inlineStr">
        <is>
          <t>EC+FILTRE</t>
        </is>
      </c>
      <c r="AD43" s="28" t="n">
        <v>4</v>
      </c>
      <c r="AE43" s="28" t="n">
        <v>1</v>
      </c>
      <c r="AF43" s="28" t="n">
        <v>1</v>
      </c>
      <c r="AG43" s="27" t="n"/>
      <c r="AH43" s="27" t="n"/>
      <c r="AI43" s="27" t="inlineStr">
        <is>
          <t>Instantané de démonstration – MODELE_GMAO_PREV_ANONYMISE.csv</t>
        </is>
      </c>
      <c r="AJ43" s="31" t="n">
        <v>46309.50763888889</v>
      </c>
    </row>
    <row r="44">
      <c r="A44" s="27" t="inlineStr">
        <is>
          <t>910000017</t>
        </is>
      </c>
      <c r="B44" s="27" t="inlineStr">
        <is>
          <t>PIS</t>
        </is>
      </c>
      <c r="C44" s="28" t="n">
        <v>2026</v>
      </c>
      <c r="D44" s="27" t="inlineStr">
        <is>
          <t>SITE02</t>
        </is>
      </c>
      <c r="E44" s="27" t="inlineStr">
        <is>
          <t>EQ3</t>
        </is>
      </c>
      <c r="F44" s="27" t="inlineStr">
        <is>
          <t>G-I-B3200</t>
        </is>
      </c>
      <c r="G44" s="27" t="n"/>
      <c r="H44" s="28" t="n">
        <v>18</v>
      </c>
      <c r="I44" s="29" t="n">
        <v>46075</v>
      </c>
      <c r="J44" s="27" t="n"/>
      <c r="K44" s="27" t="inlineStr">
        <is>
          <t>ZPR2</t>
        </is>
      </c>
      <c r="L44" s="27" t="inlineStr">
        <is>
          <t>PRE</t>
        </is>
      </c>
      <c r="M44" s="27" t="n"/>
      <c r="N44" s="27" t="inlineStr">
        <is>
          <t>Maintenance préventive fictive PIS+REV - poste G-I-B3200</t>
        </is>
      </c>
      <c r="O44" s="27" t="inlineStr">
        <is>
          <t>ACTI</t>
        </is>
      </c>
      <c r="P44" s="27" t="inlineStr">
        <is>
          <t>STAT_SYS_A</t>
        </is>
      </c>
      <c r="Q44" s="27" t="inlineStr">
        <is>
          <t>USER03</t>
        </is>
      </c>
      <c r="R44" s="30" t="n">
        <v>390</v>
      </c>
      <c r="S44" s="27" t="inlineStr">
        <is>
          <t>EQ3</t>
        </is>
      </c>
      <c r="T44" s="29" t="n">
        <v>46149</v>
      </c>
      <c r="U44" s="27" t="inlineStr">
        <is>
          <t>TECH-02</t>
        </is>
      </c>
      <c r="V44" s="27" t="inlineStr">
        <is>
          <t>G-I-B3200-VAN01</t>
        </is>
      </c>
      <c r="W44" s="27" t="inlineStr">
        <is>
          <t>Équipement fictif 02-3-2</t>
        </is>
      </c>
      <c r="X44" s="27" t="inlineStr">
        <is>
          <t>EQ-02-3-02</t>
        </is>
      </c>
      <c r="Y44" s="27" t="inlineStr">
        <is>
          <t>GG-PREV</t>
        </is>
      </c>
      <c r="Z44" s="27" t="inlineStr">
        <is>
          <t>2</t>
        </is>
      </c>
      <c r="AA44" s="29" t="n">
        <v>46137</v>
      </c>
      <c r="AB44" s="27" t="inlineStr">
        <is>
          <t>COMPTAGE</t>
        </is>
      </c>
      <c r="AC44" s="27" t="inlineStr">
        <is>
          <t>PIS+REV</t>
        </is>
      </c>
      <c r="AD44" s="28" t="n">
        <v>1</v>
      </c>
      <c r="AE44" s="28" t="n">
        <v>1</v>
      </c>
      <c r="AF44" s="28" t="n">
        <v>1</v>
      </c>
      <c r="AG44" s="27" t="n"/>
      <c r="AH44" s="27" t="n"/>
      <c r="AI44" s="27" t="inlineStr">
        <is>
          <t>Instantané de démonstration – MODELE_GMAO_PREV_ANONYMISE.csv</t>
        </is>
      </c>
      <c r="AJ44" s="31" t="n">
        <v>46309.50763888889</v>
      </c>
    </row>
    <row r="45">
      <c r="A45" s="27" t="inlineStr">
        <is>
          <t>910000017</t>
        </is>
      </c>
      <c r="B45" s="27" t="inlineStr">
        <is>
          <t>REV</t>
        </is>
      </c>
      <c r="C45" s="28" t="n">
        <v>2026</v>
      </c>
      <c r="D45" s="27" t="inlineStr">
        <is>
          <t>SITE02</t>
        </is>
      </c>
      <c r="E45" s="27" t="inlineStr">
        <is>
          <t>EQ3</t>
        </is>
      </c>
      <c r="F45" s="27" t="inlineStr">
        <is>
          <t>G-I-B3200</t>
        </is>
      </c>
      <c r="G45" s="27" t="n"/>
      <c r="H45" s="28" t="n">
        <v>18</v>
      </c>
      <c r="I45" s="29" t="n">
        <v>46075</v>
      </c>
      <c r="J45" s="27" t="n"/>
      <c r="K45" s="27" t="inlineStr">
        <is>
          <t>ZPR2</t>
        </is>
      </c>
      <c r="L45" s="27" t="inlineStr">
        <is>
          <t>PRE</t>
        </is>
      </c>
      <c r="M45" s="27" t="n"/>
      <c r="N45" s="27" t="inlineStr">
        <is>
          <t>Maintenance préventive fictive PIS+REV - poste G-I-B3200</t>
        </is>
      </c>
      <c r="O45" s="27" t="inlineStr">
        <is>
          <t>ACTI</t>
        </is>
      </c>
      <c r="P45" s="27" t="inlineStr">
        <is>
          <t>STAT_SYS_A</t>
        </is>
      </c>
      <c r="Q45" s="27" t="inlineStr">
        <is>
          <t>USER03</t>
        </is>
      </c>
      <c r="R45" s="30" t="n">
        <v>390</v>
      </c>
      <c r="S45" s="27" t="inlineStr">
        <is>
          <t>EQ3</t>
        </is>
      </c>
      <c r="T45" s="29" t="n">
        <v>46149</v>
      </c>
      <c r="U45" s="27" t="inlineStr">
        <is>
          <t>TECH-02</t>
        </is>
      </c>
      <c r="V45" s="27" t="inlineStr">
        <is>
          <t>G-I-B3200-VAN01</t>
        </is>
      </c>
      <c r="W45" s="27" t="inlineStr">
        <is>
          <t>Équipement fictif 02-3-2</t>
        </is>
      </c>
      <c r="X45" s="27" t="inlineStr">
        <is>
          <t>EQ-02-3-02</t>
        </is>
      </c>
      <c r="Y45" s="27" t="inlineStr">
        <is>
          <t>GG-PREV</t>
        </is>
      </c>
      <c r="Z45" s="27" t="inlineStr">
        <is>
          <t>2</t>
        </is>
      </c>
      <c r="AA45" s="29" t="n">
        <v>46137</v>
      </c>
      <c r="AB45" s="27" t="inlineStr">
        <is>
          <t>COMPTAGE</t>
        </is>
      </c>
      <c r="AC45" s="27" t="inlineStr">
        <is>
          <t>PIS+REV</t>
        </is>
      </c>
      <c r="AD45" s="28" t="n">
        <v>5</v>
      </c>
      <c r="AE45" s="28" t="n">
        <v>1</v>
      </c>
      <c r="AF45" s="28" t="n">
        <v>1</v>
      </c>
      <c r="AG45" s="27" t="n"/>
      <c r="AH45" s="27" t="n"/>
      <c r="AI45" s="27" t="inlineStr">
        <is>
          <t>Instantané de démonstration – MODELE_GMAO_PREV_ANONYMISE.csv</t>
        </is>
      </c>
      <c r="AJ45" s="31" t="n">
        <v>46309.50763888889</v>
      </c>
    </row>
    <row r="46">
      <c r="A46" s="27" t="inlineStr">
        <is>
          <t>910000018</t>
        </is>
      </c>
      <c r="B46" s="27" t="inlineStr">
        <is>
          <t>PIS</t>
        </is>
      </c>
      <c r="C46" s="28" t="n">
        <v>2026</v>
      </c>
      <c r="D46" s="27" t="inlineStr">
        <is>
          <t>SITE02</t>
        </is>
      </c>
      <c r="E46" s="27" t="inlineStr">
        <is>
          <t>EQ3</t>
        </is>
      </c>
      <c r="F46" s="27" t="inlineStr">
        <is>
          <t>G-I-B3300</t>
        </is>
      </c>
      <c r="G46" s="27" t="n"/>
      <c r="H46" s="28" t="n">
        <v>19</v>
      </c>
      <c r="I46" s="29" t="n">
        <v>46100</v>
      </c>
      <c r="J46" s="27" t="n"/>
      <c r="K46" s="27" t="inlineStr">
        <is>
          <t>ZPR2</t>
        </is>
      </c>
      <c r="L46" s="27" t="inlineStr">
        <is>
          <t>PRE</t>
        </is>
      </c>
      <c r="M46" s="27" t="n"/>
      <c r="N46" s="27" t="inlineStr">
        <is>
          <t>Maintenance préventive fictive PIS - poste G-I-B3300</t>
        </is>
      </c>
      <c r="O46" s="27" t="inlineStr">
        <is>
          <t>TERM</t>
        </is>
      </c>
      <c r="P46" s="27" t="inlineStr">
        <is>
          <t>STAT_SYS_A</t>
        </is>
      </c>
      <c r="Q46" s="27" t="inlineStr">
        <is>
          <t>USER03</t>
        </is>
      </c>
      <c r="R46" s="30" t="n">
        <v>400</v>
      </c>
      <c r="S46" s="27" t="inlineStr">
        <is>
          <t>EQ3</t>
        </is>
      </c>
      <c r="T46" s="29" t="n">
        <v>46181</v>
      </c>
      <c r="U46" s="27" t="inlineStr">
        <is>
          <t>TECH-02</t>
        </is>
      </c>
      <c r="V46" s="27" t="inlineStr">
        <is>
          <t>G-I-B3300-SEC01</t>
        </is>
      </c>
      <c r="W46" s="27" t="inlineStr">
        <is>
          <t>Équipement fictif 02-3-3</t>
        </is>
      </c>
      <c r="X46" s="27" t="inlineStr">
        <is>
          <t>EQ-02-3-03</t>
        </is>
      </c>
      <c r="Y46" s="27" t="inlineStr">
        <is>
          <t>GG-PREV</t>
        </is>
      </c>
      <c r="Z46" s="27" t="inlineStr">
        <is>
          <t>3</t>
        </is>
      </c>
      <c r="AA46" s="29" t="n">
        <v>46168</v>
      </c>
      <c r="AB46" s="27" t="inlineStr">
        <is>
          <t>PIQUAGE</t>
        </is>
      </c>
      <c r="AC46" s="27" t="inlineStr">
        <is>
          <t>PIS</t>
        </is>
      </c>
      <c r="AD46" s="28" t="n">
        <v>1</v>
      </c>
      <c r="AE46" s="28" t="n">
        <v>1</v>
      </c>
      <c r="AF46" s="28" t="n">
        <v>1</v>
      </c>
      <c r="AG46" s="27" t="n"/>
      <c r="AH46" s="27" t="n"/>
      <c r="AI46" s="27" t="inlineStr">
        <is>
          <t>Instantané de démonstration – MODELE_GMAO_PREV_ANONYMISE.csv</t>
        </is>
      </c>
      <c r="AJ46" s="31" t="n">
        <v>46309.50763888889</v>
      </c>
    </row>
    <row r="47">
      <c r="A47" s="27" t="inlineStr">
        <is>
          <t>910000019</t>
        </is>
      </c>
      <c r="B47" s="27" t="inlineStr">
        <is>
          <t>EC</t>
        </is>
      </c>
      <c r="C47" s="28" t="n">
        <v>2026</v>
      </c>
      <c r="D47" s="27" t="inlineStr">
        <is>
          <t>SITE03</t>
        </is>
      </c>
      <c r="E47" s="27" t="inlineStr">
        <is>
          <t>EQ1</t>
        </is>
      </c>
      <c r="F47" s="27" t="inlineStr">
        <is>
          <t>G-I-C1100</t>
        </is>
      </c>
      <c r="G47" s="27" t="n"/>
      <c r="H47" s="28" t="n">
        <v>20</v>
      </c>
      <c r="I47" s="29" t="n">
        <v>45993</v>
      </c>
      <c r="J47" s="27" t="n"/>
      <c r="K47" s="27" t="inlineStr">
        <is>
          <t>ZPR2</t>
        </is>
      </c>
      <c r="L47" s="27" t="inlineStr">
        <is>
          <t>PRE</t>
        </is>
      </c>
      <c r="M47" s="27" t="n"/>
      <c r="N47" s="27" t="inlineStr">
        <is>
          <t>Maintenance préventive fictive EC+PIS+PILOTAGE+FILTRE - poste G-I-C1100</t>
        </is>
      </c>
      <c r="O47" s="27" t="inlineStr">
        <is>
          <t>ACTI</t>
        </is>
      </c>
      <c r="P47" s="27" t="inlineStr">
        <is>
          <t>STAT_SYS_A</t>
        </is>
      </c>
      <c r="Q47" s="27" t="inlineStr">
        <is>
          <t>USER01</t>
        </is>
      </c>
      <c r="R47" s="30" t="n">
        <v>425</v>
      </c>
      <c r="S47" s="27" t="inlineStr">
        <is>
          <t>EQ1</t>
        </is>
      </c>
      <c r="T47" s="29" t="n">
        <v>46060</v>
      </c>
      <c r="U47" s="27" t="inlineStr">
        <is>
          <t>TECH-03</t>
        </is>
      </c>
      <c r="V47" s="27" t="inlineStr">
        <is>
          <t>G-I-C1100-VAN01</t>
        </is>
      </c>
      <c r="W47" s="27" t="inlineStr">
        <is>
          <t>Équipement fictif 03-1-1</t>
        </is>
      </c>
      <c r="X47" s="27" t="inlineStr">
        <is>
          <t>EQ-03-1-01</t>
        </is>
      </c>
      <c r="Y47" s="27" t="inlineStr">
        <is>
          <t>GG-PREV</t>
        </is>
      </c>
      <c r="Z47" s="27" t="inlineStr">
        <is>
          <t>1</t>
        </is>
      </c>
      <c r="AA47" s="29" t="n">
        <v>46049</v>
      </c>
      <c r="AB47" s="27" t="inlineStr">
        <is>
          <t>COMPTAGE</t>
        </is>
      </c>
      <c r="AC47" s="27" t="inlineStr">
        <is>
          <t>EC+PIS+PILOTAGE+FILTRE</t>
        </is>
      </c>
      <c r="AD47" s="28" t="n">
        <v>2</v>
      </c>
      <c r="AE47" s="28" t="n">
        <v>1</v>
      </c>
      <c r="AF47" s="28" t="n">
        <v>1</v>
      </c>
      <c r="AG47" s="27" t="n"/>
      <c r="AH47" s="27" t="n"/>
      <c r="AI47" s="27" t="inlineStr">
        <is>
          <t>Instantané de démonstration – MODELE_GMAO_PREV_ANONYMISE.csv</t>
        </is>
      </c>
      <c r="AJ47" s="31" t="n">
        <v>46309.50763888889</v>
      </c>
    </row>
    <row r="48">
      <c r="A48" s="27" t="inlineStr">
        <is>
          <t>910000019</t>
        </is>
      </c>
      <c r="B48" s="27" t="inlineStr">
        <is>
          <t>PIS</t>
        </is>
      </c>
      <c r="C48" s="28" t="n">
        <v>2026</v>
      </c>
      <c r="D48" s="27" t="inlineStr">
        <is>
          <t>SITE03</t>
        </is>
      </c>
      <c r="E48" s="27" t="inlineStr">
        <is>
          <t>EQ1</t>
        </is>
      </c>
      <c r="F48" s="27" t="inlineStr">
        <is>
          <t>G-I-C1100</t>
        </is>
      </c>
      <c r="G48" s="27" t="n"/>
      <c r="H48" s="28" t="n">
        <v>20</v>
      </c>
      <c r="I48" s="29" t="n">
        <v>45993</v>
      </c>
      <c r="J48" s="27" t="n"/>
      <c r="K48" s="27" t="inlineStr">
        <is>
          <t>ZPR2</t>
        </is>
      </c>
      <c r="L48" s="27" t="inlineStr">
        <is>
          <t>PRE</t>
        </is>
      </c>
      <c r="M48" s="27" t="n"/>
      <c r="N48" s="27" t="inlineStr">
        <is>
          <t>Maintenance préventive fictive EC+PIS+PILOTAGE+FILTRE - poste G-I-C1100</t>
        </is>
      </c>
      <c r="O48" s="27" t="inlineStr">
        <is>
          <t>ACTI</t>
        </is>
      </c>
      <c r="P48" s="27" t="inlineStr">
        <is>
          <t>STAT_SYS_A</t>
        </is>
      </c>
      <c r="Q48" s="27" t="inlineStr">
        <is>
          <t>USER01</t>
        </is>
      </c>
      <c r="R48" s="30" t="n">
        <v>425</v>
      </c>
      <c r="S48" s="27" t="inlineStr">
        <is>
          <t>EQ1</t>
        </is>
      </c>
      <c r="T48" s="29" t="n">
        <v>46060</v>
      </c>
      <c r="U48" s="27" t="inlineStr">
        <is>
          <t>TECH-03</t>
        </is>
      </c>
      <c r="V48" s="27" t="inlineStr">
        <is>
          <t>G-I-C1100-VAN01</t>
        </is>
      </c>
      <c r="W48" s="27" t="inlineStr">
        <is>
          <t>Équipement fictif 03-1-1</t>
        </is>
      </c>
      <c r="X48" s="27" t="inlineStr">
        <is>
          <t>EQ-03-1-01</t>
        </is>
      </c>
      <c r="Y48" s="27" t="inlineStr">
        <is>
          <t>GG-PREV</t>
        </is>
      </c>
      <c r="Z48" s="27" t="inlineStr">
        <is>
          <t>1</t>
        </is>
      </c>
      <c r="AA48" s="29" t="n">
        <v>46049</v>
      </c>
      <c r="AB48" s="27" t="inlineStr">
        <is>
          <t>COMPTAGE</t>
        </is>
      </c>
      <c r="AC48" s="27" t="inlineStr">
        <is>
          <t>EC+PIS+PILOTAGE+FILTRE</t>
        </is>
      </c>
      <c r="AD48" s="28" t="n">
        <v>1</v>
      </c>
      <c r="AE48" s="28" t="n">
        <v>1</v>
      </c>
      <c r="AF48" s="28" t="n">
        <v>1</v>
      </c>
      <c r="AG48" s="27" t="n"/>
      <c r="AH48" s="27" t="n"/>
      <c r="AI48" s="27" t="inlineStr">
        <is>
          <t>Instantané de démonstration – MODELE_GMAO_PREV_ANONYMISE.csv</t>
        </is>
      </c>
      <c r="AJ48" s="31" t="n">
        <v>46309.50763888889</v>
      </c>
    </row>
    <row r="49">
      <c r="A49" s="27" t="inlineStr">
        <is>
          <t>910000019</t>
        </is>
      </c>
      <c r="B49" s="27" t="inlineStr">
        <is>
          <t>PILOTAGE</t>
        </is>
      </c>
      <c r="C49" s="28" t="n">
        <v>2026</v>
      </c>
      <c r="D49" s="27" t="inlineStr">
        <is>
          <t>SITE03</t>
        </is>
      </c>
      <c r="E49" s="27" t="inlineStr">
        <is>
          <t>EQ1</t>
        </is>
      </c>
      <c r="F49" s="27" t="inlineStr">
        <is>
          <t>G-I-C1100</t>
        </is>
      </c>
      <c r="G49" s="27" t="n"/>
      <c r="H49" s="28" t="n">
        <v>20</v>
      </c>
      <c r="I49" s="29" t="n">
        <v>45993</v>
      </c>
      <c r="J49" s="27" t="n"/>
      <c r="K49" s="27" t="inlineStr">
        <is>
          <t>ZPR2</t>
        </is>
      </c>
      <c r="L49" s="27" t="inlineStr">
        <is>
          <t>PRE</t>
        </is>
      </c>
      <c r="M49" s="27" t="n"/>
      <c r="N49" s="27" t="inlineStr">
        <is>
          <t>Maintenance préventive fictive EC+PIS+PILOTAGE+FILTRE - poste G-I-C1100</t>
        </is>
      </c>
      <c r="O49" s="27" t="inlineStr">
        <is>
          <t>ACTI</t>
        </is>
      </c>
      <c r="P49" s="27" t="inlineStr">
        <is>
          <t>STAT_SYS_A</t>
        </is>
      </c>
      <c r="Q49" s="27" t="inlineStr">
        <is>
          <t>USER01</t>
        </is>
      </c>
      <c r="R49" s="30" t="n">
        <v>425</v>
      </c>
      <c r="S49" s="27" t="inlineStr">
        <is>
          <t>EQ1</t>
        </is>
      </c>
      <c r="T49" s="29" t="n">
        <v>46060</v>
      </c>
      <c r="U49" s="27" t="inlineStr">
        <is>
          <t>TECH-03</t>
        </is>
      </c>
      <c r="V49" s="27" t="inlineStr">
        <is>
          <t>G-I-C1100-VAN01</t>
        </is>
      </c>
      <c r="W49" s="27" t="inlineStr">
        <is>
          <t>Équipement fictif 03-1-1</t>
        </is>
      </c>
      <c r="X49" s="27" t="inlineStr">
        <is>
          <t>EQ-03-1-01</t>
        </is>
      </c>
      <c r="Y49" s="27" t="inlineStr">
        <is>
          <t>GG-PREV</t>
        </is>
      </c>
      <c r="Z49" s="27" t="inlineStr">
        <is>
          <t>1</t>
        </is>
      </c>
      <c r="AA49" s="29" t="n">
        <v>46049</v>
      </c>
      <c r="AB49" s="27" t="inlineStr">
        <is>
          <t>COMPTAGE</t>
        </is>
      </c>
      <c r="AC49" s="27" t="inlineStr">
        <is>
          <t>EC+PIS+PILOTAGE+FILTRE</t>
        </is>
      </c>
      <c r="AD49" s="28" t="n">
        <v>3</v>
      </c>
      <c r="AE49" s="28" t="n">
        <v>1</v>
      </c>
      <c r="AF49" s="28" t="n">
        <v>1</v>
      </c>
      <c r="AG49" s="27" t="n"/>
      <c r="AH49" s="27" t="n"/>
      <c r="AI49" s="27" t="inlineStr">
        <is>
          <t>Instantané de démonstration – MODELE_GMAO_PREV_ANONYMISE.csv</t>
        </is>
      </c>
      <c r="AJ49" s="31" t="n">
        <v>46309.50763888889</v>
      </c>
    </row>
    <row r="50">
      <c r="A50" s="27" t="inlineStr">
        <is>
          <t>910000019</t>
        </is>
      </c>
      <c r="B50" s="27" t="inlineStr">
        <is>
          <t>FILTRE</t>
        </is>
      </c>
      <c r="C50" s="28" t="n">
        <v>2026</v>
      </c>
      <c r="D50" s="27" t="inlineStr">
        <is>
          <t>SITE03</t>
        </is>
      </c>
      <c r="E50" s="27" t="inlineStr">
        <is>
          <t>EQ1</t>
        </is>
      </c>
      <c r="F50" s="27" t="inlineStr">
        <is>
          <t>G-I-C1100</t>
        </is>
      </c>
      <c r="G50" s="27" t="n"/>
      <c r="H50" s="28" t="n">
        <v>20</v>
      </c>
      <c r="I50" s="29" t="n">
        <v>45993</v>
      </c>
      <c r="J50" s="27" t="n"/>
      <c r="K50" s="27" t="inlineStr">
        <is>
          <t>ZPR2</t>
        </is>
      </c>
      <c r="L50" s="27" t="inlineStr">
        <is>
          <t>PRE</t>
        </is>
      </c>
      <c r="M50" s="27" t="n"/>
      <c r="N50" s="27" t="inlineStr">
        <is>
          <t>Maintenance préventive fictive EC+PIS+PILOTAGE+FILTRE - poste G-I-C1100</t>
        </is>
      </c>
      <c r="O50" s="27" t="inlineStr">
        <is>
          <t>ACTI</t>
        </is>
      </c>
      <c r="P50" s="27" t="inlineStr">
        <is>
          <t>STAT_SYS_A</t>
        </is>
      </c>
      <c r="Q50" s="27" t="inlineStr">
        <is>
          <t>USER01</t>
        </is>
      </c>
      <c r="R50" s="30" t="n">
        <v>425</v>
      </c>
      <c r="S50" s="27" t="inlineStr">
        <is>
          <t>EQ1</t>
        </is>
      </c>
      <c r="T50" s="29" t="n">
        <v>46060</v>
      </c>
      <c r="U50" s="27" t="inlineStr">
        <is>
          <t>TECH-03</t>
        </is>
      </c>
      <c r="V50" s="27" t="inlineStr">
        <is>
          <t>G-I-C1100-VAN01</t>
        </is>
      </c>
      <c r="W50" s="27" t="inlineStr">
        <is>
          <t>Équipement fictif 03-1-1</t>
        </is>
      </c>
      <c r="X50" s="27" t="inlineStr">
        <is>
          <t>EQ-03-1-01</t>
        </is>
      </c>
      <c r="Y50" s="27" t="inlineStr">
        <is>
          <t>GG-PREV</t>
        </is>
      </c>
      <c r="Z50" s="27" t="inlineStr">
        <is>
          <t>1</t>
        </is>
      </c>
      <c r="AA50" s="29" t="n">
        <v>46049</v>
      </c>
      <c r="AB50" s="27" t="inlineStr">
        <is>
          <t>COMPTAGE</t>
        </is>
      </c>
      <c r="AC50" s="27" t="inlineStr">
        <is>
          <t>EC+PIS+PILOTAGE+FILTRE</t>
        </is>
      </c>
      <c r="AD50" s="28" t="n">
        <v>4</v>
      </c>
      <c r="AE50" s="28" t="n">
        <v>1</v>
      </c>
      <c r="AF50" s="28" t="n">
        <v>1</v>
      </c>
      <c r="AG50" s="27" t="n"/>
      <c r="AH50" s="27" t="n"/>
      <c r="AI50" s="27" t="inlineStr">
        <is>
          <t>Instantané de démonstration – MODELE_GMAO_PREV_ANONYMISE.csv</t>
        </is>
      </c>
      <c r="AJ50" s="31" t="n">
        <v>46309.50763888889</v>
      </c>
    </row>
    <row r="51">
      <c r="A51" s="27" t="inlineStr">
        <is>
          <t>910000020</t>
        </is>
      </c>
      <c r="B51" s="27" t="inlineStr">
        <is>
          <t>EC</t>
        </is>
      </c>
      <c r="C51" s="28" t="n">
        <v>2026</v>
      </c>
      <c r="D51" s="27" t="inlineStr">
        <is>
          <t>SITE03</t>
        </is>
      </c>
      <c r="E51" s="27" t="inlineStr">
        <is>
          <t>EQ1</t>
        </is>
      </c>
      <c r="F51" s="27" t="inlineStr">
        <is>
          <t>G-I-C1200</t>
        </is>
      </c>
      <c r="G51" s="27" t="n"/>
      <c r="H51" s="28" t="n">
        <v>21</v>
      </c>
      <c r="I51" s="29" t="n">
        <v>46015</v>
      </c>
      <c r="J51" s="27" t="n"/>
      <c r="K51" s="27" t="inlineStr">
        <is>
          <t>ZPR2</t>
        </is>
      </c>
      <c r="L51" s="27" t="inlineStr">
        <is>
          <t>PRE</t>
        </is>
      </c>
      <c r="M51" s="27" t="n"/>
      <c r="N51" s="27" t="inlineStr">
        <is>
          <t>Maintenance préventive fictive EC+FILTRE - poste G-I-C1200</t>
        </is>
      </c>
      <c r="O51" s="27" t="inlineStr">
        <is>
          <t>TERM</t>
        </is>
      </c>
      <c r="P51" s="27" t="inlineStr">
        <is>
          <t>STAT_SYS_A</t>
        </is>
      </c>
      <c r="Q51" s="27" t="inlineStr">
        <is>
          <t>USER01</t>
        </is>
      </c>
      <c r="R51" s="30" t="n">
        <v>435</v>
      </c>
      <c r="S51" s="27" t="inlineStr">
        <is>
          <t>EQ1</t>
        </is>
      </c>
      <c r="T51" s="29" t="n">
        <v>46089</v>
      </c>
      <c r="U51" s="27" t="inlineStr">
        <is>
          <t>TECH-03</t>
        </is>
      </c>
      <c r="V51" s="27" t="inlineStr">
        <is>
          <t>G-I-C1200-VAN01</t>
        </is>
      </c>
      <c r="W51" s="27" t="inlineStr">
        <is>
          <t>Équipement fictif 03-1-2</t>
        </is>
      </c>
      <c r="X51" s="27" t="inlineStr">
        <is>
          <t>EQ-03-1-02</t>
        </is>
      </c>
      <c r="Y51" s="27" t="inlineStr">
        <is>
          <t>GG-PREV</t>
        </is>
      </c>
      <c r="Z51" s="27" t="inlineStr">
        <is>
          <t>2</t>
        </is>
      </c>
      <c r="AA51" s="29" t="n">
        <v>46077</v>
      </c>
      <c r="AB51" s="27" t="inlineStr">
        <is>
          <t>PIQUAGE</t>
        </is>
      </c>
      <c r="AC51" s="27" t="inlineStr">
        <is>
          <t>EC+FILTRE</t>
        </is>
      </c>
      <c r="AD51" s="28" t="n">
        <v>2</v>
      </c>
      <c r="AE51" s="28" t="n">
        <v>1</v>
      </c>
      <c r="AF51" s="28" t="n">
        <v>1</v>
      </c>
      <c r="AG51" s="27" t="n"/>
      <c r="AH51" s="27" t="n"/>
      <c r="AI51" s="27" t="inlineStr">
        <is>
          <t>Instantané de démonstration – MODELE_GMAO_PREV_ANONYMISE.csv</t>
        </is>
      </c>
      <c r="AJ51" s="31" t="n">
        <v>46309.50763888889</v>
      </c>
    </row>
    <row r="52">
      <c r="A52" s="27" t="inlineStr">
        <is>
          <t>910000020</t>
        </is>
      </c>
      <c r="B52" s="27" t="inlineStr">
        <is>
          <t>FILTRE</t>
        </is>
      </c>
      <c r="C52" s="28" t="n">
        <v>2026</v>
      </c>
      <c r="D52" s="27" t="inlineStr">
        <is>
          <t>SITE03</t>
        </is>
      </c>
      <c r="E52" s="27" t="inlineStr">
        <is>
          <t>EQ1</t>
        </is>
      </c>
      <c r="F52" s="27" t="inlineStr">
        <is>
          <t>G-I-C1200</t>
        </is>
      </c>
      <c r="G52" s="27" t="n"/>
      <c r="H52" s="28" t="n">
        <v>21</v>
      </c>
      <c r="I52" s="29" t="n">
        <v>46015</v>
      </c>
      <c r="J52" s="27" t="n"/>
      <c r="K52" s="27" t="inlineStr">
        <is>
          <t>ZPR2</t>
        </is>
      </c>
      <c r="L52" s="27" t="inlineStr">
        <is>
          <t>PRE</t>
        </is>
      </c>
      <c r="M52" s="27" t="n"/>
      <c r="N52" s="27" t="inlineStr">
        <is>
          <t>Maintenance préventive fictive EC+FILTRE - poste G-I-C1200</t>
        </is>
      </c>
      <c r="O52" s="27" t="inlineStr">
        <is>
          <t>TERM</t>
        </is>
      </c>
      <c r="P52" s="27" t="inlineStr">
        <is>
          <t>STAT_SYS_A</t>
        </is>
      </c>
      <c r="Q52" s="27" t="inlineStr">
        <is>
          <t>USER01</t>
        </is>
      </c>
      <c r="R52" s="30" t="n">
        <v>435</v>
      </c>
      <c r="S52" s="27" t="inlineStr">
        <is>
          <t>EQ1</t>
        </is>
      </c>
      <c r="T52" s="29" t="n">
        <v>46089</v>
      </c>
      <c r="U52" s="27" t="inlineStr">
        <is>
          <t>TECH-03</t>
        </is>
      </c>
      <c r="V52" s="27" t="inlineStr">
        <is>
          <t>G-I-C1200-VAN01</t>
        </is>
      </c>
      <c r="W52" s="27" t="inlineStr">
        <is>
          <t>Équipement fictif 03-1-2</t>
        </is>
      </c>
      <c r="X52" s="27" t="inlineStr">
        <is>
          <t>EQ-03-1-02</t>
        </is>
      </c>
      <c r="Y52" s="27" t="inlineStr">
        <is>
          <t>GG-PREV</t>
        </is>
      </c>
      <c r="Z52" s="27" t="inlineStr">
        <is>
          <t>2</t>
        </is>
      </c>
      <c r="AA52" s="29" t="n">
        <v>46077</v>
      </c>
      <c r="AB52" s="27" t="inlineStr">
        <is>
          <t>PIQUAGE</t>
        </is>
      </c>
      <c r="AC52" s="27" t="inlineStr">
        <is>
          <t>EC+FILTRE</t>
        </is>
      </c>
      <c r="AD52" s="28" t="n">
        <v>4</v>
      </c>
      <c r="AE52" s="28" t="n">
        <v>1</v>
      </c>
      <c r="AF52" s="28" t="n">
        <v>1</v>
      </c>
      <c r="AG52" s="27" t="n"/>
      <c r="AH52" s="27" t="n"/>
      <c r="AI52" s="27" t="inlineStr">
        <is>
          <t>Instantané de démonstration – MODELE_GMAO_PREV_ANONYMISE.csv</t>
        </is>
      </c>
      <c r="AJ52" s="31" t="n">
        <v>46309.50763888889</v>
      </c>
    </row>
    <row r="53">
      <c r="A53" s="27" t="inlineStr">
        <is>
          <t>910000021</t>
        </is>
      </c>
      <c r="B53" s="27" t="inlineStr">
        <is>
          <t>PIS</t>
        </is>
      </c>
      <c r="C53" s="28" t="n">
        <v>2026</v>
      </c>
      <c r="D53" s="27" t="inlineStr">
        <is>
          <t>SITE03</t>
        </is>
      </c>
      <c r="E53" s="27" t="inlineStr">
        <is>
          <t>EQ1</t>
        </is>
      </c>
      <c r="F53" s="27" t="inlineStr">
        <is>
          <t>G-I-C1300</t>
        </is>
      </c>
      <c r="G53" s="27" t="n"/>
      <c r="H53" s="28" t="n">
        <v>22</v>
      </c>
      <c r="I53" s="29" t="n">
        <v>46040</v>
      </c>
      <c r="J53" s="27" t="n"/>
      <c r="K53" s="27" t="inlineStr">
        <is>
          <t>ZPR2</t>
        </is>
      </c>
      <c r="L53" s="27" t="inlineStr">
        <is>
          <t>PRE</t>
        </is>
      </c>
      <c r="M53" s="27" t="n"/>
      <c r="N53" s="27" t="inlineStr">
        <is>
          <t>Maintenance préventive fictive PIS+REV - poste G-I-C1300</t>
        </is>
      </c>
      <c r="O53" s="27" t="inlineStr">
        <is>
          <t>ACTI</t>
        </is>
      </c>
      <c r="P53" s="27" t="inlineStr">
        <is>
          <t>STAT_SYS_A</t>
        </is>
      </c>
      <c r="Q53" s="27" t="inlineStr">
        <is>
          <t>USER01</t>
        </is>
      </c>
      <c r="R53" s="30" t="n">
        <v>445</v>
      </c>
      <c r="S53" s="27" t="inlineStr">
        <is>
          <t>EQ1</t>
        </is>
      </c>
      <c r="T53" s="29" t="n">
        <v>46121</v>
      </c>
      <c r="U53" s="27" t="inlineStr">
        <is>
          <t>TECH-03</t>
        </is>
      </c>
      <c r="V53" s="27" t="inlineStr">
        <is>
          <t>G-I-C1300-SEC01</t>
        </is>
      </c>
      <c r="W53" s="27" t="inlineStr">
        <is>
          <t>Équipement fictif 03-1-3</t>
        </is>
      </c>
      <c r="X53" s="27" t="inlineStr">
        <is>
          <t>EQ-03-1-03</t>
        </is>
      </c>
      <c r="Y53" s="27" t="inlineStr">
        <is>
          <t>GG-PREV</t>
        </is>
      </c>
      <c r="Z53" s="27" t="inlineStr">
        <is>
          <t>3</t>
        </is>
      </c>
      <c r="AA53" s="29" t="n">
        <v>46108</v>
      </c>
      <c r="AB53" s="27" t="inlineStr">
        <is>
          <t>FILTRE</t>
        </is>
      </c>
      <c r="AC53" s="27" t="inlineStr">
        <is>
          <t>PIS+REV</t>
        </is>
      </c>
      <c r="AD53" s="28" t="n">
        <v>1</v>
      </c>
      <c r="AE53" s="28" t="n">
        <v>1</v>
      </c>
      <c r="AF53" s="28" t="n">
        <v>1</v>
      </c>
      <c r="AG53" s="27" t="n"/>
      <c r="AH53" s="27" t="n"/>
      <c r="AI53" s="27" t="inlineStr">
        <is>
          <t>Instantané de démonstration – MODELE_GMAO_PREV_ANONYMISE.csv</t>
        </is>
      </c>
      <c r="AJ53" s="31" t="n">
        <v>46309.50763888889</v>
      </c>
    </row>
    <row r="54">
      <c r="A54" s="27" t="inlineStr">
        <is>
          <t>910000021</t>
        </is>
      </c>
      <c r="B54" s="27" t="inlineStr">
        <is>
          <t>REV</t>
        </is>
      </c>
      <c r="C54" s="28" t="n">
        <v>2026</v>
      </c>
      <c r="D54" s="27" t="inlineStr">
        <is>
          <t>SITE03</t>
        </is>
      </c>
      <c r="E54" s="27" t="inlineStr">
        <is>
          <t>EQ1</t>
        </is>
      </c>
      <c r="F54" s="27" t="inlineStr">
        <is>
          <t>G-I-C1300</t>
        </is>
      </c>
      <c r="G54" s="27" t="n"/>
      <c r="H54" s="28" t="n">
        <v>22</v>
      </c>
      <c r="I54" s="29" t="n">
        <v>46040</v>
      </c>
      <c r="J54" s="27" t="n"/>
      <c r="K54" s="27" t="inlineStr">
        <is>
          <t>ZPR2</t>
        </is>
      </c>
      <c r="L54" s="27" t="inlineStr">
        <is>
          <t>PRE</t>
        </is>
      </c>
      <c r="M54" s="27" t="n"/>
      <c r="N54" s="27" t="inlineStr">
        <is>
          <t>Maintenance préventive fictive PIS+REV - poste G-I-C1300</t>
        </is>
      </c>
      <c r="O54" s="27" t="inlineStr">
        <is>
          <t>ACTI</t>
        </is>
      </c>
      <c r="P54" s="27" t="inlineStr">
        <is>
          <t>STAT_SYS_A</t>
        </is>
      </c>
      <c r="Q54" s="27" t="inlineStr">
        <is>
          <t>USER01</t>
        </is>
      </c>
      <c r="R54" s="30" t="n">
        <v>445</v>
      </c>
      <c r="S54" s="27" t="inlineStr">
        <is>
          <t>EQ1</t>
        </is>
      </c>
      <c r="T54" s="29" t="n">
        <v>46121</v>
      </c>
      <c r="U54" s="27" t="inlineStr">
        <is>
          <t>TECH-03</t>
        </is>
      </c>
      <c r="V54" s="27" t="inlineStr">
        <is>
          <t>G-I-C1300-SEC01</t>
        </is>
      </c>
      <c r="W54" s="27" t="inlineStr">
        <is>
          <t>Équipement fictif 03-1-3</t>
        </is>
      </c>
      <c r="X54" s="27" t="inlineStr">
        <is>
          <t>EQ-03-1-03</t>
        </is>
      </c>
      <c r="Y54" s="27" t="inlineStr">
        <is>
          <t>GG-PREV</t>
        </is>
      </c>
      <c r="Z54" s="27" t="inlineStr">
        <is>
          <t>3</t>
        </is>
      </c>
      <c r="AA54" s="29" t="n">
        <v>46108</v>
      </c>
      <c r="AB54" s="27" t="inlineStr">
        <is>
          <t>FILTRE</t>
        </is>
      </c>
      <c r="AC54" s="27" t="inlineStr">
        <is>
          <t>PIS+REV</t>
        </is>
      </c>
      <c r="AD54" s="28" t="n">
        <v>5</v>
      </c>
      <c r="AE54" s="28" t="n">
        <v>1</v>
      </c>
      <c r="AF54" s="28" t="n">
        <v>1</v>
      </c>
      <c r="AG54" s="27" t="n"/>
      <c r="AH54" s="27" t="n"/>
      <c r="AI54" s="27" t="inlineStr">
        <is>
          <t>Instantané de démonstration – MODELE_GMAO_PREV_ANONYMISE.csv</t>
        </is>
      </c>
      <c r="AJ54" s="31" t="n">
        <v>46309.50763888889</v>
      </c>
    </row>
    <row r="55">
      <c r="A55" s="27" t="inlineStr">
        <is>
          <t>910000022</t>
        </is>
      </c>
      <c r="B55" s="27" t="inlineStr">
        <is>
          <t>EC</t>
        </is>
      </c>
      <c r="C55" s="28" t="n">
        <v>2026</v>
      </c>
      <c r="D55" s="27" t="inlineStr">
        <is>
          <t>SITE03</t>
        </is>
      </c>
      <c r="E55" s="27" t="inlineStr">
        <is>
          <t>EQ2</t>
        </is>
      </c>
      <c r="F55" s="27" t="inlineStr">
        <is>
          <t>G-I-C2100</t>
        </is>
      </c>
      <c r="G55" s="27" t="n"/>
      <c r="H55" s="28" t="n">
        <v>23</v>
      </c>
      <c r="I55" s="29" t="n">
        <v>46021</v>
      </c>
      <c r="J55" s="27" t="n"/>
      <c r="K55" s="27" t="inlineStr">
        <is>
          <t>ZPR2</t>
        </is>
      </c>
      <c r="L55" s="27" t="inlineStr">
        <is>
          <t>PRE</t>
        </is>
      </c>
      <c r="M55" s="27" t="n"/>
      <c r="N55" s="27" t="inlineStr">
        <is>
          <t>Maintenance préventive fictive EC+FILTRE - poste G-I-C2100</t>
        </is>
      </c>
      <c r="O55" s="27" t="inlineStr">
        <is>
          <t>TERM</t>
        </is>
      </c>
      <c r="P55" s="27" t="inlineStr">
        <is>
          <t>STAT_SYS_A</t>
        </is>
      </c>
      <c r="Q55" s="27" t="inlineStr">
        <is>
          <t>USER02</t>
        </is>
      </c>
      <c r="R55" s="30" t="n">
        <v>465</v>
      </c>
      <c r="S55" s="27" t="inlineStr">
        <is>
          <t>EQ2</t>
        </is>
      </c>
      <c r="T55" s="29" t="n">
        <v>46088</v>
      </c>
      <c r="U55" s="27" t="inlineStr">
        <is>
          <t>TECH-03</t>
        </is>
      </c>
      <c r="V55" s="27" t="inlineStr">
        <is>
          <t>G-I-C2100-FILT01</t>
        </is>
      </c>
      <c r="W55" s="27" t="inlineStr">
        <is>
          <t>Équipement fictif 03-2-1</t>
        </is>
      </c>
      <c r="X55" s="27" t="inlineStr">
        <is>
          <t>EQ-03-2-01</t>
        </is>
      </c>
      <c r="Y55" s="27" t="inlineStr">
        <is>
          <t>GG-PREV</t>
        </is>
      </c>
      <c r="Z55" s="27" t="inlineStr">
        <is>
          <t>1</t>
        </is>
      </c>
      <c r="AA55" s="29" t="n">
        <v>46077</v>
      </c>
      <c r="AB55" s="27" t="inlineStr">
        <is>
          <t>COMPTAGE</t>
        </is>
      </c>
      <c r="AC55" s="27" t="inlineStr">
        <is>
          <t>EC+FILTRE</t>
        </is>
      </c>
      <c r="AD55" s="28" t="n">
        <v>2</v>
      </c>
      <c r="AE55" s="28" t="n">
        <v>1</v>
      </c>
      <c r="AF55" s="28" t="n">
        <v>1</v>
      </c>
      <c r="AG55" s="27" t="n"/>
      <c r="AH55" s="27" t="n"/>
      <c r="AI55" s="27" t="inlineStr">
        <is>
          <t>Instantané de démonstration – MODELE_GMAO_PREV_ANONYMISE.csv</t>
        </is>
      </c>
      <c r="AJ55" s="31" t="n">
        <v>46309.50763888889</v>
      </c>
    </row>
    <row r="56">
      <c r="A56" s="27" t="inlineStr">
        <is>
          <t>910000022</t>
        </is>
      </c>
      <c r="B56" s="27" t="inlineStr">
        <is>
          <t>FILTRE</t>
        </is>
      </c>
      <c r="C56" s="28" t="n">
        <v>2026</v>
      </c>
      <c r="D56" s="27" t="inlineStr">
        <is>
          <t>SITE03</t>
        </is>
      </c>
      <c r="E56" s="27" t="inlineStr">
        <is>
          <t>EQ2</t>
        </is>
      </c>
      <c r="F56" s="27" t="inlineStr">
        <is>
          <t>G-I-C2100</t>
        </is>
      </c>
      <c r="G56" s="27" t="n"/>
      <c r="H56" s="28" t="n">
        <v>23</v>
      </c>
      <c r="I56" s="29" t="n">
        <v>46021</v>
      </c>
      <c r="J56" s="27" t="n"/>
      <c r="K56" s="27" t="inlineStr">
        <is>
          <t>ZPR2</t>
        </is>
      </c>
      <c r="L56" s="27" t="inlineStr">
        <is>
          <t>PRE</t>
        </is>
      </c>
      <c r="M56" s="27" t="n"/>
      <c r="N56" s="27" t="inlineStr">
        <is>
          <t>Maintenance préventive fictive EC+FILTRE - poste G-I-C2100</t>
        </is>
      </c>
      <c r="O56" s="27" t="inlineStr">
        <is>
          <t>TERM</t>
        </is>
      </c>
      <c r="P56" s="27" t="inlineStr">
        <is>
          <t>STAT_SYS_A</t>
        </is>
      </c>
      <c r="Q56" s="27" t="inlineStr">
        <is>
          <t>USER02</t>
        </is>
      </c>
      <c r="R56" s="30" t="n">
        <v>465</v>
      </c>
      <c r="S56" s="27" t="inlineStr">
        <is>
          <t>EQ2</t>
        </is>
      </c>
      <c r="T56" s="29" t="n">
        <v>46088</v>
      </c>
      <c r="U56" s="27" t="inlineStr">
        <is>
          <t>TECH-03</t>
        </is>
      </c>
      <c r="V56" s="27" t="inlineStr">
        <is>
          <t>G-I-C2100-FILT01</t>
        </is>
      </c>
      <c r="W56" s="27" t="inlineStr">
        <is>
          <t>Équipement fictif 03-2-1</t>
        </is>
      </c>
      <c r="X56" s="27" t="inlineStr">
        <is>
          <t>EQ-03-2-01</t>
        </is>
      </c>
      <c r="Y56" s="27" t="inlineStr">
        <is>
          <t>GG-PREV</t>
        </is>
      </c>
      <c r="Z56" s="27" t="inlineStr">
        <is>
          <t>1</t>
        </is>
      </c>
      <c r="AA56" s="29" t="n">
        <v>46077</v>
      </c>
      <c r="AB56" s="27" t="inlineStr">
        <is>
          <t>COMPTAGE</t>
        </is>
      </c>
      <c r="AC56" s="27" t="inlineStr">
        <is>
          <t>EC+FILTRE</t>
        </is>
      </c>
      <c r="AD56" s="28" t="n">
        <v>4</v>
      </c>
      <c r="AE56" s="28" t="n">
        <v>1</v>
      </c>
      <c r="AF56" s="28" t="n">
        <v>1</v>
      </c>
      <c r="AG56" s="27" t="n"/>
      <c r="AH56" s="27" t="n"/>
      <c r="AI56" s="27" t="inlineStr">
        <is>
          <t>Instantané de démonstration – MODELE_GMAO_PREV_ANONYMISE.csv</t>
        </is>
      </c>
      <c r="AJ56" s="31" t="n">
        <v>46309.50763888889</v>
      </c>
    </row>
    <row r="57">
      <c r="A57" s="27" t="inlineStr">
        <is>
          <t>910000023</t>
        </is>
      </c>
      <c r="B57" s="27" t="inlineStr">
        <is>
          <t>PIS</t>
        </is>
      </c>
      <c r="C57" s="28" t="n">
        <v>2026</v>
      </c>
      <c r="D57" s="27" t="inlineStr">
        <is>
          <t>SITE03</t>
        </is>
      </c>
      <c r="E57" s="27" t="inlineStr">
        <is>
          <t>EQ2</t>
        </is>
      </c>
      <c r="F57" s="27" t="inlineStr">
        <is>
          <t>G-I-C2200</t>
        </is>
      </c>
      <c r="G57" s="27" t="n"/>
      <c r="H57" s="28" t="n">
        <v>24</v>
      </c>
      <c r="I57" s="29" t="n">
        <v>46046</v>
      </c>
      <c r="J57" s="27" t="n"/>
      <c r="K57" s="27" t="inlineStr">
        <is>
          <t>ZPR2</t>
        </is>
      </c>
      <c r="L57" s="27" t="inlineStr">
        <is>
          <t>PRE</t>
        </is>
      </c>
      <c r="M57" s="27" t="n"/>
      <c r="N57" s="27" t="inlineStr">
        <is>
          <t>Maintenance préventive fictive PIS+REV - poste G-I-C2200</t>
        </is>
      </c>
      <c r="O57" s="27" t="inlineStr">
        <is>
          <t>ACTI</t>
        </is>
      </c>
      <c r="P57" s="27" t="inlineStr">
        <is>
          <t>STAT_SYS_A</t>
        </is>
      </c>
      <c r="Q57" s="27" t="inlineStr">
        <is>
          <t>USER02</t>
        </is>
      </c>
      <c r="R57" s="30" t="n">
        <v>475</v>
      </c>
      <c r="S57" s="27" t="inlineStr">
        <is>
          <t>EQ2</t>
        </is>
      </c>
      <c r="T57" s="29" t="n">
        <v>46120</v>
      </c>
      <c r="U57" s="27" t="inlineStr">
        <is>
          <t>TECH-03</t>
        </is>
      </c>
      <c r="V57" s="27" t="inlineStr">
        <is>
          <t>G-I-C2200-REG01</t>
        </is>
      </c>
      <c r="W57" s="27" t="inlineStr">
        <is>
          <t>Équipement fictif 03-2-2</t>
        </is>
      </c>
      <c r="X57" s="27" t="inlineStr">
        <is>
          <t>EQ-03-2-02</t>
        </is>
      </c>
      <c r="Y57" s="27" t="inlineStr">
        <is>
          <t>GG-PREV</t>
        </is>
      </c>
      <c r="Z57" s="27" t="inlineStr">
        <is>
          <t>2</t>
        </is>
      </c>
      <c r="AA57" s="29" t="n">
        <v>46108</v>
      </c>
      <c r="AB57" s="27" t="inlineStr">
        <is>
          <t>PIQUAGE</t>
        </is>
      </c>
      <c r="AC57" s="27" t="inlineStr">
        <is>
          <t>PIS+REV</t>
        </is>
      </c>
      <c r="AD57" s="28" t="n">
        <v>1</v>
      </c>
      <c r="AE57" s="28" t="n">
        <v>1</v>
      </c>
      <c r="AF57" s="28" t="n">
        <v>1</v>
      </c>
      <c r="AG57" s="27" t="n"/>
      <c r="AH57" s="27" t="n"/>
      <c r="AI57" s="27" t="inlineStr">
        <is>
          <t>Instantané de démonstration – MODELE_GMAO_PREV_ANONYMISE.csv</t>
        </is>
      </c>
      <c r="AJ57" s="31" t="n">
        <v>46309.50763888889</v>
      </c>
    </row>
    <row r="58">
      <c r="A58" s="27" t="inlineStr">
        <is>
          <t>910000023</t>
        </is>
      </c>
      <c r="B58" s="27" t="inlineStr">
        <is>
          <t>REV</t>
        </is>
      </c>
      <c r="C58" s="28" t="n">
        <v>2026</v>
      </c>
      <c r="D58" s="27" t="inlineStr">
        <is>
          <t>SITE03</t>
        </is>
      </c>
      <c r="E58" s="27" t="inlineStr">
        <is>
          <t>EQ2</t>
        </is>
      </c>
      <c r="F58" s="27" t="inlineStr">
        <is>
          <t>G-I-C2200</t>
        </is>
      </c>
      <c r="G58" s="27" t="n"/>
      <c r="H58" s="28" t="n">
        <v>24</v>
      </c>
      <c r="I58" s="29" t="n">
        <v>46046</v>
      </c>
      <c r="J58" s="27" t="n"/>
      <c r="K58" s="27" t="inlineStr">
        <is>
          <t>ZPR2</t>
        </is>
      </c>
      <c r="L58" s="27" t="inlineStr">
        <is>
          <t>PRE</t>
        </is>
      </c>
      <c r="M58" s="27" t="n"/>
      <c r="N58" s="27" t="inlineStr">
        <is>
          <t>Maintenance préventive fictive PIS+REV - poste G-I-C2200</t>
        </is>
      </c>
      <c r="O58" s="27" t="inlineStr">
        <is>
          <t>ACTI</t>
        </is>
      </c>
      <c r="P58" s="27" t="inlineStr">
        <is>
          <t>STAT_SYS_A</t>
        </is>
      </c>
      <c r="Q58" s="27" t="inlineStr">
        <is>
          <t>USER02</t>
        </is>
      </c>
      <c r="R58" s="30" t="n">
        <v>475</v>
      </c>
      <c r="S58" s="27" t="inlineStr">
        <is>
          <t>EQ2</t>
        </is>
      </c>
      <c r="T58" s="29" t="n">
        <v>46120</v>
      </c>
      <c r="U58" s="27" t="inlineStr">
        <is>
          <t>TECH-03</t>
        </is>
      </c>
      <c r="V58" s="27" t="inlineStr">
        <is>
          <t>G-I-C2200-REG01</t>
        </is>
      </c>
      <c r="W58" s="27" t="inlineStr">
        <is>
          <t>Équipement fictif 03-2-2</t>
        </is>
      </c>
      <c r="X58" s="27" t="inlineStr">
        <is>
          <t>EQ-03-2-02</t>
        </is>
      </c>
      <c r="Y58" s="27" t="inlineStr">
        <is>
          <t>GG-PREV</t>
        </is>
      </c>
      <c r="Z58" s="27" t="inlineStr">
        <is>
          <t>2</t>
        </is>
      </c>
      <c r="AA58" s="29" t="n">
        <v>46108</v>
      </c>
      <c r="AB58" s="27" t="inlineStr">
        <is>
          <t>PIQUAGE</t>
        </is>
      </c>
      <c r="AC58" s="27" t="inlineStr">
        <is>
          <t>PIS+REV</t>
        </is>
      </c>
      <c r="AD58" s="28" t="n">
        <v>5</v>
      </c>
      <c r="AE58" s="28" t="n">
        <v>1</v>
      </c>
      <c r="AF58" s="28" t="n">
        <v>1</v>
      </c>
      <c r="AG58" s="27" t="n"/>
      <c r="AH58" s="27" t="n"/>
      <c r="AI58" s="27" t="inlineStr">
        <is>
          <t>Instantané de démonstration – MODELE_GMAO_PREV_ANONYMISE.csv</t>
        </is>
      </c>
      <c r="AJ58" s="31" t="n">
        <v>46309.50763888889</v>
      </c>
    </row>
    <row r="59">
      <c r="A59" s="27" t="inlineStr">
        <is>
          <t>910000024</t>
        </is>
      </c>
      <c r="B59" s="27" t="inlineStr">
        <is>
          <t>PIS</t>
        </is>
      </c>
      <c r="C59" s="28" t="n">
        <v>2026</v>
      </c>
      <c r="D59" s="27" t="inlineStr">
        <is>
          <t>SITE03</t>
        </is>
      </c>
      <c r="E59" s="27" t="inlineStr">
        <is>
          <t>EQ2</t>
        </is>
      </c>
      <c r="F59" s="27" t="inlineStr">
        <is>
          <t>G-I-C2300</t>
        </is>
      </c>
      <c r="G59" s="27" t="n"/>
      <c r="H59" s="28" t="n">
        <v>25</v>
      </c>
      <c r="I59" s="29" t="n">
        <v>46070</v>
      </c>
      <c r="J59" s="27" t="n"/>
      <c r="K59" s="27" t="inlineStr">
        <is>
          <t>ZPR2</t>
        </is>
      </c>
      <c r="L59" s="27" t="inlineStr">
        <is>
          <t>PRE</t>
        </is>
      </c>
      <c r="M59" s="27" t="n"/>
      <c r="N59" s="27" t="inlineStr">
        <is>
          <t>Maintenance préventive fictive PIS - poste G-I-C2300</t>
        </is>
      </c>
      <c r="O59" s="27" t="inlineStr">
        <is>
          <t>ACTI</t>
        </is>
      </c>
      <c r="P59" s="27" t="inlineStr">
        <is>
          <t>STAT_SYS_A</t>
        </is>
      </c>
      <c r="Q59" s="27" t="inlineStr">
        <is>
          <t>USER02</t>
        </is>
      </c>
      <c r="R59" s="30" t="n">
        <v>485</v>
      </c>
      <c r="S59" s="27" t="inlineStr">
        <is>
          <t>EQ2</t>
        </is>
      </c>
      <c r="T59" s="29" t="n">
        <v>46151</v>
      </c>
      <c r="U59" s="27" t="inlineStr">
        <is>
          <t>TECH-03</t>
        </is>
      </c>
      <c r="V59" s="27" t="inlineStr">
        <is>
          <t>G-I-C2300-VAN01</t>
        </is>
      </c>
      <c r="W59" s="27" t="inlineStr">
        <is>
          <t>Équipement fictif 03-2-3</t>
        </is>
      </c>
      <c r="X59" s="27" t="inlineStr">
        <is>
          <t>EQ-03-2-03</t>
        </is>
      </c>
      <c r="Y59" s="27" t="inlineStr">
        <is>
          <t>GG-PREV</t>
        </is>
      </c>
      <c r="Z59" s="27" t="inlineStr">
        <is>
          <t>3</t>
        </is>
      </c>
      <c r="AA59" s="29" t="n">
        <v>46138</v>
      </c>
      <c r="AB59" s="27" t="inlineStr">
        <is>
          <t>FILTRE</t>
        </is>
      </c>
      <c r="AC59" s="27" t="inlineStr">
        <is>
          <t>PIS</t>
        </is>
      </c>
      <c r="AD59" s="28" t="n">
        <v>1</v>
      </c>
      <c r="AE59" s="28" t="n">
        <v>1</v>
      </c>
      <c r="AF59" s="28" t="n">
        <v>1</v>
      </c>
      <c r="AG59" s="27" t="n"/>
      <c r="AH59" s="27" t="n"/>
      <c r="AI59" s="27" t="inlineStr">
        <is>
          <t>Instantané de démonstration – MODELE_GMAO_PREV_ANONYMISE.csv</t>
        </is>
      </c>
      <c r="AJ59" s="31" t="n">
        <v>46309.50763888889</v>
      </c>
    </row>
    <row r="60">
      <c r="A60" s="27" t="inlineStr">
        <is>
          <t>910000025</t>
        </is>
      </c>
      <c r="B60" s="27" t="inlineStr">
        <is>
          <t>PIS</t>
        </is>
      </c>
      <c r="C60" s="28" t="n">
        <v>2026</v>
      </c>
      <c r="D60" s="27" t="inlineStr">
        <is>
          <t>SITE03</t>
        </is>
      </c>
      <c r="E60" s="27" t="inlineStr">
        <is>
          <t>EQ3</t>
        </is>
      </c>
      <c r="F60" s="27" t="inlineStr">
        <is>
          <t>G-I-C3100</t>
        </is>
      </c>
      <c r="G60" s="27" t="n"/>
      <c r="H60" s="28" t="n">
        <v>26</v>
      </c>
      <c r="I60" s="29" t="n">
        <v>46052</v>
      </c>
      <c r="J60" s="27" t="n"/>
      <c r="K60" s="27" t="inlineStr">
        <is>
          <t>ZPR2</t>
        </is>
      </c>
      <c r="L60" s="27" t="inlineStr">
        <is>
          <t>PRE</t>
        </is>
      </c>
      <c r="M60" s="27" t="n"/>
      <c r="N60" s="27" t="inlineStr">
        <is>
          <t>Maintenance préventive fictive PIS+REV - poste G-I-C3100</t>
        </is>
      </c>
      <c r="O60" s="27" t="inlineStr">
        <is>
          <t>ACTI</t>
        </is>
      </c>
      <c r="P60" s="27" t="inlineStr">
        <is>
          <t>STAT_SYS_A</t>
        </is>
      </c>
      <c r="Q60" s="27" t="inlineStr">
        <is>
          <t>USER03</t>
        </is>
      </c>
      <c r="R60" s="30" t="n">
        <v>505</v>
      </c>
      <c r="S60" s="27" t="inlineStr">
        <is>
          <t>EQ3</t>
        </is>
      </c>
      <c r="T60" s="29" t="n">
        <v>46119</v>
      </c>
      <c r="U60" s="27" t="inlineStr">
        <is>
          <t>TECH-03</t>
        </is>
      </c>
      <c r="V60" s="27" t="inlineStr">
        <is>
          <t>G-I-C3100-FILT01</t>
        </is>
      </c>
      <c r="W60" s="27" t="inlineStr">
        <is>
          <t>Équipement fictif 03-3-1</t>
        </is>
      </c>
      <c r="X60" s="27" t="inlineStr">
        <is>
          <t>EQ-03-3-01</t>
        </is>
      </c>
      <c r="Y60" s="27" t="inlineStr">
        <is>
          <t>GG-PREV</t>
        </is>
      </c>
      <c r="Z60" s="27" t="inlineStr">
        <is>
          <t>1</t>
        </is>
      </c>
      <c r="AA60" s="29" t="n">
        <v>46108</v>
      </c>
      <c r="AB60" s="27" t="inlineStr">
        <is>
          <t>COMPTAGE</t>
        </is>
      </c>
      <c r="AC60" s="27" t="inlineStr">
        <is>
          <t>PIS+REV</t>
        </is>
      </c>
      <c r="AD60" s="28" t="n">
        <v>1</v>
      </c>
      <c r="AE60" s="28" t="n">
        <v>1</v>
      </c>
      <c r="AF60" s="28" t="n">
        <v>1</v>
      </c>
      <c r="AG60" s="27" t="n"/>
      <c r="AH60" s="27" t="n"/>
      <c r="AI60" s="27" t="inlineStr">
        <is>
          <t>Instantané de démonstration – MODELE_GMAO_PREV_ANONYMISE.csv</t>
        </is>
      </c>
      <c r="AJ60" s="31" t="n">
        <v>46309.50763888889</v>
      </c>
    </row>
    <row r="61">
      <c r="A61" s="27" t="inlineStr">
        <is>
          <t>910000025</t>
        </is>
      </c>
      <c r="B61" s="27" t="inlineStr">
        <is>
          <t>REV</t>
        </is>
      </c>
      <c r="C61" s="28" t="n">
        <v>2026</v>
      </c>
      <c r="D61" s="27" t="inlineStr">
        <is>
          <t>SITE03</t>
        </is>
      </c>
      <c r="E61" s="27" t="inlineStr">
        <is>
          <t>EQ3</t>
        </is>
      </c>
      <c r="F61" s="27" t="inlineStr">
        <is>
          <t>G-I-C3100</t>
        </is>
      </c>
      <c r="G61" s="27" t="n"/>
      <c r="H61" s="28" t="n">
        <v>26</v>
      </c>
      <c r="I61" s="29" t="n">
        <v>46052</v>
      </c>
      <c r="J61" s="27" t="n"/>
      <c r="K61" s="27" t="inlineStr">
        <is>
          <t>ZPR2</t>
        </is>
      </c>
      <c r="L61" s="27" t="inlineStr">
        <is>
          <t>PRE</t>
        </is>
      </c>
      <c r="M61" s="27" t="n"/>
      <c r="N61" s="27" t="inlineStr">
        <is>
          <t>Maintenance préventive fictive PIS+REV - poste G-I-C3100</t>
        </is>
      </c>
      <c r="O61" s="27" t="inlineStr">
        <is>
          <t>ACTI</t>
        </is>
      </c>
      <c r="P61" s="27" t="inlineStr">
        <is>
          <t>STAT_SYS_A</t>
        </is>
      </c>
      <c r="Q61" s="27" t="inlineStr">
        <is>
          <t>USER03</t>
        </is>
      </c>
      <c r="R61" s="30" t="n">
        <v>505</v>
      </c>
      <c r="S61" s="27" t="inlineStr">
        <is>
          <t>EQ3</t>
        </is>
      </c>
      <c r="T61" s="29" t="n">
        <v>46119</v>
      </c>
      <c r="U61" s="27" t="inlineStr">
        <is>
          <t>TECH-03</t>
        </is>
      </c>
      <c r="V61" s="27" t="inlineStr">
        <is>
          <t>G-I-C3100-FILT01</t>
        </is>
      </c>
      <c r="W61" s="27" t="inlineStr">
        <is>
          <t>Équipement fictif 03-3-1</t>
        </is>
      </c>
      <c r="X61" s="27" t="inlineStr">
        <is>
          <t>EQ-03-3-01</t>
        </is>
      </c>
      <c r="Y61" s="27" t="inlineStr">
        <is>
          <t>GG-PREV</t>
        </is>
      </c>
      <c r="Z61" s="27" t="inlineStr">
        <is>
          <t>1</t>
        </is>
      </c>
      <c r="AA61" s="29" t="n">
        <v>46108</v>
      </c>
      <c r="AB61" s="27" t="inlineStr">
        <is>
          <t>COMPTAGE</t>
        </is>
      </c>
      <c r="AC61" s="27" t="inlineStr">
        <is>
          <t>PIS+REV</t>
        </is>
      </c>
      <c r="AD61" s="28" t="n">
        <v>5</v>
      </c>
      <c r="AE61" s="28" t="n">
        <v>1</v>
      </c>
      <c r="AF61" s="28" t="n">
        <v>1</v>
      </c>
      <c r="AG61" s="27" t="n"/>
      <c r="AH61" s="27" t="n"/>
      <c r="AI61" s="27" t="inlineStr">
        <is>
          <t>Instantané de démonstration – MODELE_GMAO_PREV_ANONYMISE.csv</t>
        </is>
      </c>
      <c r="AJ61" s="31" t="n">
        <v>46309.50763888889</v>
      </c>
    </row>
    <row r="62">
      <c r="A62" s="27" t="inlineStr">
        <is>
          <t>910000026</t>
        </is>
      </c>
      <c r="B62" s="27" t="inlineStr">
        <is>
          <t>PIS</t>
        </is>
      </c>
      <c r="C62" s="28" t="n">
        <v>2026</v>
      </c>
      <c r="D62" s="27" t="inlineStr">
        <is>
          <t>SITE03</t>
        </is>
      </c>
      <c r="E62" s="27" t="inlineStr">
        <is>
          <t>EQ3</t>
        </is>
      </c>
      <c r="F62" s="27" t="inlineStr">
        <is>
          <t>G-I-C3200</t>
        </is>
      </c>
      <c r="G62" s="27" t="n"/>
      <c r="H62" s="28" t="n">
        <v>27</v>
      </c>
      <c r="I62" s="29" t="n">
        <v>46076</v>
      </c>
      <c r="J62" s="27" t="n"/>
      <c r="K62" s="27" t="inlineStr">
        <is>
          <t>ZPR2</t>
        </is>
      </c>
      <c r="L62" s="27" t="inlineStr">
        <is>
          <t>PRE</t>
        </is>
      </c>
      <c r="M62" s="27" t="n"/>
      <c r="N62" s="27" t="inlineStr">
        <is>
          <t>Maintenance préventive fictive PIS - poste G-I-C3200</t>
        </is>
      </c>
      <c r="O62" s="27" t="inlineStr">
        <is>
          <t>ACTI</t>
        </is>
      </c>
      <c r="P62" s="27" t="inlineStr">
        <is>
          <t>STAT_SYS_A</t>
        </is>
      </c>
      <c r="Q62" s="27" t="inlineStr">
        <is>
          <t>USER03</t>
        </is>
      </c>
      <c r="R62" s="30" t="n">
        <v>515</v>
      </c>
      <c r="S62" s="27" t="inlineStr">
        <is>
          <t>EQ3</t>
        </is>
      </c>
      <c r="T62" s="29" t="n">
        <v>46150</v>
      </c>
      <c r="U62" s="27" t="inlineStr">
        <is>
          <t>TECH-03</t>
        </is>
      </c>
      <c r="V62" s="27" t="inlineStr">
        <is>
          <t>G-I-C3200-REG01</t>
        </is>
      </c>
      <c r="W62" s="27" t="inlineStr">
        <is>
          <t>Équipement fictif 03-3-2</t>
        </is>
      </c>
      <c r="X62" s="27" t="inlineStr">
        <is>
          <t>EQ-03-3-02</t>
        </is>
      </c>
      <c r="Y62" s="27" t="inlineStr">
        <is>
          <t>GG-PREV</t>
        </is>
      </c>
      <c r="Z62" s="27" t="inlineStr">
        <is>
          <t>2</t>
        </is>
      </c>
      <c r="AA62" s="29" t="n">
        <v>46138</v>
      </c>
      <c r="AB62" s="27" t="inlineStr">
        <is>
          <t>PIQUAGE</t>
        </is>
      </c>
      <c r="AC62" s="27" t="inlineStr">
        <is>
          <t>PIS</t>
        </is>
      </c>
      <c r="AD62" s="28" t="n">
        <v>1</v>
      </c>
      <c r="AE62" s="28" t="n">
        <v>1</v>
      </c>
      <c r="AF62" s="28" t="n">
        <v>1</v>
      </c>
      <c r="AG62" s="27" t="n"/>
      <c r="AH62" s="27" t="n"/>
      <c r="AI62" s="27" t="inlineStr">
        <is>
          <t>Instantané de démonstration – MODELE_GMAO_PREV_ANONYMISE.csv</t>
        </is>
      </c>
      <c r="AJ62" s="31" t="n">
        <v>46309.50763888889</v>
      </c>
    </row>
    <row r="63">
      <c r="A63" s="27" t="inlineStr">
        <is>
          <t>910000027</t>
        </is>
      </c>
      <c r="B63" s="27" t="inlineStr">
        <is>
          <t>EC</t>
        </is>
      </c>
      <c r="C63" s="28" t="n">
        <v>2026</v>
      </c>
      <c r="D63" s="27" t="inlineStr">
        <is>
          <t>SITE03</t>
        </is>
      </c>
      <c r="E63" s="27" t="inlineStr">
        <is>
          <t>EQ3</t>
        </is>
      </c>
      <c r="F63" s="27" t="inlineStr">
        <is>
          <t>G-I-C3300</t>
        </is>
      </c>
      <c r="G63" s="27" t="n"/>
      <c r="H63" s="28" t="n">
        <v>28</v>
      </c>
      <c r="I63" s="29" t="n">
        <v>46101</v>
      </c>
      <c r="J63" s="27" t="n"/>
      <c r="K63" s="27" t="inlineStr">
        <is>
          <t>ZPR2</t>
        </is>
      </c>
      <c r="L63" s="27" t="inlineStr">
        <is>
          <t>PRE</t>
        </is>
      </c>
      <c r="M63" s="27" t="n"/>
      <c r="N63" s="27" t="inlineStr">
        <is>
          <t>Maintenance préventive fictive EC - poste G-I-C3300</t>
        </is>
      </c>
      <c r="O63" s="27" t="inlineStr">
        <is>
          <t>TERM</t>
        </is>
      </c>
      <c r="P63" s="27" t="inlineStr">
        <is>
          <t>STAT_SYS_A</t>
        </is>
      </c>
      <c r="Q63" s="27" t="inlineStr">
        <is>
          <t>USER03</t>
        </is>
      </c>
      <c r="R63" s="30" t="n">
        <v>525</v>
      </c>
      <c r="S63" s="27" t="inlineStr">
        <is>
          <t>EQ3</t>
        </is>
      </c>
      <c r="T63" s="29" t="n">
        <v>46182</v>
      </c>
      <c r="U63" s="27" t="inlineStr">
        <is>
          <t>TECH-03</t>
        </is>
      </c>
      <c r="V63" s="27" t="inlineStr">
        <is>
          <t>G-I-C3300-SEC01</t>
        </is>
      </c>
      <c r="W63" s="27" t="inlineStr">
        <is>
          <t>Équipement fictif 03-3-3</t>
        </is>
      </c>
      <c r="X63" s="27" t="inlineStr">
        <is>
          <t>EQ-03-3-03</t>
        </is>
      </c>
      <c r="Y63" s="27" t="inlineStr">
        <is>
          <t>GG-PREV</t>
        </is>
      </c>
      <c r="Z63" s="27" t="inlineStr">
        <is>
          <t>3</t>
        </is>
      </c>
      <c r="AA63" s="29" t="n">
        <v>46169</v>
      </c>
      <c r="AB63" s="27" t="inlineStr">
        <is>
          <t>FILTRE</t>
        </is>
      </c>
      <c r="AC63" s="27" t="inlineStr">
        <is>
          <t>EC</t>
        </is>
      </c>
      <c r="AD63" s="28" t="n">
        <v>2</v>
      </c>
      <c r="AE63" s="28" t="n">
        <v>1</v>
      </c>
      <c r="AF63" s="28" t="n">
        <v>1</v>
      </c>
      <c r="AG63" s="27" t="n"/>
      <c r="AH63" s="27" t="n"/>
      <c r="AI63" s="27" t="inlineStr">
        <is>
          <t>Instantané de démonstration – MODELE_GMAO_PREV_ANONYMISE.csv</t>
        </is>
      </c>
      <c r="AJ63" s="31" t="n">
        <v>46309.50763888889</v>
      </c>
    </row>
    <row r="64">
      <c r="A64" s="27" t="inlineStr">
        <is>
          <t>910000028</t>
        </is>
      </c>
      <c r="B64" s="27" t="inlineStr">
        <is>
          <t>EC</t>
        </is>
      </c>
      <c r="C64" s="28" t="n">
        <v>2026</v>
      </c>
      <c r="D64" s="27" t="inlineStr">
        <is>
          <t>SITE04</t>
        </is>
      </c>
      <c r="E64" s="27" t="inlineStr">
        <is>
          <t>EQ1</t>
        </is>
      </c>
      <c r="F64" s="27" t="inlineStr">
        <is>
          <t>G-I-D1100</t>
        </is>
      </c>
      <c r="G64" s="27" t="n"/>
      <c r="H64" s="28" t="n">
        <v>29</v>
      </c>
      <c r="I64" s="29" t="n">
        <v>45994</v>
      </c>
      <c r="J64" s="27" t="n"/>
      <c r="K64" s="27" t="inlineStr">
        <is>
          <t>ZPR2</t>
        </is>
      </c>
      <c r="L64" s="27" t="inlineStr">
        <is>
          <t>PRE</t>
        </is>
      </c>
      <c r="M64" s="27" t="n"/>
      <c r="N64" s="27" t="inlineStr">
        <is>
          <t>Maintenance préventive fictive EC+FILTRE - poste G-I-D1100</t>
        </is>
      </c>
      <c r="O64" s="27" t="inlineStr">
        <is>
          <t>ACTI</t>
        </is>
      </c>
      <c r="P64" s="27" t="inlineStr">
        <is>
          <t>STAT_SYS_A</t>
        </is>
      </c>
      <c r="Q64" s="27" t="inlineStr">
        <is>
          <t>USER01</t>
        </is>
      </c>
      <c r="R64" s="30" t="n">
        <v>550</v>
      </c>
      <c r="S64" s="27" t="inlineStr">
        <is>
          <t>EQ1</t>
        </is>
      </c>
      <c r="T64" s="29" t="n">
        <v>46061</v>
      </c>
      <c r="U64" s="27" t="inlineStr">
        <is>
          <t>TECH-04</t>
        </is>
      </c>
      <c r="V64" s="27" t="inlineStr">
        <is>
          <t>G-I-D1100-REG01</t>
        </is>
      </c>
      <c r="W64" s="27" t="inlineStr">
        <is>
          <t>Équipement fictif 04-1-1</t>
        </is>
      </c>
      <c r="X64" s="27" t="inlineStr">
        <is>
          <t>EQ-04-1-01</t>
        </is>
      </c>
      <c r="Y64" s="27" t="inlineStr">
        <is>
          <t>GG-PREV</t>
        </is>
      </c>
      <c r="Z64" s="27" t="inlineStr">
        <is>
          <t>1</t>
        </is>
      </c>
      <c r="AA64" s="29" t="n">
        <v>46050</v>
      </c>
      <c r="AB64" s="27" t="inlineStr">
        <is>
          <t>PIQUAGE</t>
        </is>
      </c>
      <c r="AC64" s="27" t="inlineStr">
        <is>
          <t>EC+FILTRE</t>
        </is>
      </c>
      <c r="AD64" s="28" t="n">
        <v>2</v>
      </c>
      <c r="AE64" s="28" t="n">
        <v>1</v>
      </c>
      <c r="AF64" s="28" t="n">
        <v>1</v>
      </c>
      <c r="AG64" s="27" t="n"/>
      <c r="AH64" s="27" t="n"/>
      <c r="AI64" s="27" t="inlineStr">
        <is>
          <t>Instantané de démonstration – MODELE_GMAO_PREV_ANONYMISE.csv</t>
        </is>
      </c>
      <c r="AJ64" s="31" t="n">
        <v>46309.50763888889</v>
      </c>
    </row>
    <row r="65">
      <c r="A65" s="27" t="inlineStr">
        <is>
          <t>910000028</t>
        </is>
      </c>
      <c r="B65" s="27" t="inlineStr">
        <is>
          <t>FILTRE</t>
        </is>
      </c>
      <c r="C65" s="28" t="n">
        <v>2026</v>
      </c>
      <c r="D65" s="27" t="inlineStr">
        <is>
          <t>SITE04</t>
        </is>
      </c>
      <c r="E65" s="27" t="inlineStr">
        <is>
          <t>EQ1</t>
        </is>
      </c>
      <c r="F65" s="27" t="inlineStr">
        <is>
          <t>G-I-D1100</t>
        </is>
      </c>
      <c r="G65" s="27" t="n"/>
      <c r="H65" s="28" t="n">
        <v>29</v>
      </c>
      <c r="I65" s="29" t="n">
        <v>45994</v>
      </c>
      <c r="J65" s="27" t="n"/>
      <c r="K65" s="27" t="inlineStr">
        <is>
          <t>ZPR2</t>
        </is>
      </c>
      <c r="L65" s="27" t="inlineStr">
        <is>
          <t>PRE</t>
        </is>
      </c>
      <c r="M65" s="27" t="n"/>
      <c r="N65" s="27" t="inlineStr">
        <is>
          <t>Maintenance préventive fictive EC+FILTRE - poste G-I-D1100</t>
        </is>
      </c>
      <c r="O65" s="27" t="inlineStr">
        <is>
          <t>ACTI</t>
        </is>
      </c>
      <c r="P65" s="27" t="inlineStr">
        <is>
          <t>STAT_SYS_A</t>
        </is>
      </c>
      <c r="Q65" s="27" t="inlineStr">
        <is>
          <t>USER01</t>
        </is>
      </c>
      <c r="R65" s="30" t="n">
        <v>550</v>
      </c>
      <c r="S65" s="27" t="inlineStr">
        <is>
          <t>EQ1</t>
        </is>
      </c>
      <c r="T65" s="29" t="n">
        <v>46061</v>
      </c>
      <c r="U65" s="27" t="inlineStr">
        <is>
          <t>TECH-04</t>
        </is>
      </c>
      <c r="V65" s="27" t="inlineStr">
        <is>
          <t>G-I-D1100-REG01</t>
        </is>
      </c>
      <c r="W65" s="27" t="inlineStr">
        <is>
          <t>Équipement fictif 04-1-1</t>
        </is>
      </c>
      <c r="X65" s="27" t="inlineStr">
        <is>
          <t>EQ-04-1-01</t>
        </is>
      </c>
      <c r="Y65" s="27" t="inlineStr">
        <is>
          <t>GG-PREV</t>
        </is>
      </c>
      <c r="Z65" s="27" t="inlineStr">
        <is>
          <t>1</t>
        </is>
      </c>
      <c r="AA65" s="29" t="n">
        <v>46050</v>
      </c>
      <c r="AB65" s="27" t="inlineStr">
        <is>
          <t>PIQUAGE</t>
        </is>
      </c>
      <c r="AC65" s="27" t="inlineStr">
        <is>
          <t>EC+FILTRE</t>
        </is>
      </c>
      <c r="AD65" s="28" t="n">
        <v>4</v>
      </c>
      <c r="AE65" s="28" t="n">
        <v>1</v>
      </c>
      <c r="AF65" s="28" t="n">
        <v>1</v>
      </c>
      <c r="AG65" s="27" t="n"/>
      <c r="AH65" s="27" t="n"/>
      <c r="AI65" s="27" t="inlineStr">
        <is>
          <t>Instantané de démonstration – MODELE_GMAO_PREV_ANONYMISE.csv</t>
        </is>
      </c>
      <c r="AJ65" s="31" t="n">
        <v>46309.50763888889</v>
      </c>
    </row>
    <row r="66">
      <c r="A66" s="27" t="inlineStr">
        <is>
          <t>910000029</t>
        </is>
      </c>
      <c r="B66" s="27" t="inlineStr">
        <is>
          <t>PIS</t>
        </is>
      </c>
      <c r="C66" s="28" t="n">
        <v>2026</v>
      </c>
      <c r="D66" s="27" t="inlineStr">
        <is>
          <t>SITE04</t>
        </is>
      </c>
      <c r="E66" s="27" t="inlineStr">
        <is>
          <t>EQ1</t>
        </is>
      </c>
      <c r="F66" s="27" t="inlineStr">
        <is>
          <t>G-I-D1200</t>
        </is>
      </c>
      <c r="G66" s="27" t="n"/>
      <c r="H66" s="28" t="n">
        <v>30</v>
      </c>
      <c r="I66" s="29" t="n">
        <v>46016</v>
      </c>
      <c r="J66" s="27" t="n"/>
      <c r="K66" s="27" t="inlineStr">
        <is>
          <t>ZPR2</t>
        </is>
      </c>
      <c r="L66" s="27" t="inlineStr">
        <is>
          <t>PRE</t>
        </is>
      </c>
      <c r="M66" s="27" t="n"/>
      <c r="N66" s="27" t="inlineStr">
        <is>
          <t>Maintenance préventive fictive PIS+REV - poste G-I-D1200</t>
        </is>
      </c>
      <c r="O66" s="27" t="inlineStr">
        <is>
          <t>TERM</t>
        </is>
      </c>
      <c r="P66" s="27" t="inlineStr">
        <is>
          <t>STAT_SYS_A</t>
        </is>
      </c>
      <c r="Q66" s="27" t="inlineStr">
        <is>
          <t>USER01</t>
        </is>
      </c>
      <c r="R66" s="30" t="n">
        <v>560</v>
      </c>
      <c r="S66" s="27" t="inlineStr">
        <is>
          <t>EQ1</t>
        </is>
      </c>
      <c r="T66" s="29" t="n">
        <v>46090</v>
      </c>
      <c r="U66" s="27" t="inlineStr">
        <is>
          <t>TECH-04</t>
        </is>
      </c>
      <c r="V66" s="27" t="inlineStr">
        <is>
          <t>G-I-D1200-REG01</t>
        </is>
      </c>
      <c r="W66" s="27" t="inlineStr">
        <is>
          <t>Équipement fictif 04-1-2</t>
        </is>
      </c>
      <c r="X66" s="27" t="inlineStr">
        <is>
          <t>EQ-04-1-02</t>
        </is>
      </c>
      <c r="Y66" s="27" t="inlineStr">
        <is>
          <t>GG-PREV</t>
        </is>
      </c>
      <c r="Z66" s="27" t="inlineStr">
        <is>
          <t>2</t>
        </is>
      </c>
      <c r="AA66" s="29" t="n">
        <v>46078</v>
      </c>
      <c r="AB66" s="27" t="inlineStr">
        <is>
          <t>FILTRE</t>
        </is>
      </c>
      <c r="AC66" s="27" t="inlineStr">
        <is>
          <t>PIS+REV</t>
        </is>
      </c>
      <c r="AD66" s="28" t="n">
        <v>1</v>
      </c>
      <c r="AE66" s="28" t="n">
        <v>1</v>
      </c>
      <c r="AF66" s="28" t="n">
        <v>1</v>
      </c>
      <c r="AG66" s="27" t="n"/>
      <c r="AH66" s="27" t="n"/>
      <c r="AI66" s="27" t="inlineStr">
        <is>
          <t>Instantané de démonstration – MODELE_GMAO_PREV_ANONYMISE.csv</t>
        </is>
      </c>
      <c r="AJ66" s="31" t="n">
        <v>46309.50763888889</v>
      </c>
    </row>
    <row r="67">
      <c r="A67" s="27" t="inlineStr">
        <is>
          <t>910000029</t>
        </is>
      </c>
      <c r="B67" s="27" t="inlineStr">
        <is>
          <t>REV</t>
        </is>
      </c>
      <c r="C67" s="28" t="n">
        <v>2026</v>
      </c>
      <c r="D67" s="27" t="inlineStr">
        <is>
          <t>SITE04</t>
        </is>
      </c>
      <c r="E67" s="27" t="inlineStr">
        <is>
          <t>EQ1</t>
        </is>
      </c>
      <c r="F67" s="27" t="inlineStr">
        <is>
          <t>G-I-D1200</t>
        </is>
      </c>
      <c r="G67" s="27" t="n"/>
      <c r="H67" s="28" t="n">
        <v>30</v>
      </c>
      <c r="I67" s="29" t="n">
        <v>46016</v>
      </c>
      <c r="J67" s="27" t="n"/>
      <c r="K67" s="27" t="inlineStr">
        <is>
          <t>ZPR2</t>
        </is>
      </c>
      <c r="L67" s="27" t="inlineStr">
        <is>
          <t>PRE</t>
        </is>
      </c>
      <c r="M67" s="27" t="n"/>
      <c r="N67" s="27" t="inlineStr">
        <is>
          <t>Maintenance préventive fictive PIS+REV - poste G-I-D1200</t>
        </is>
      </c>
      <c r="O67" s="27" t="inlineStr">
        <is>
          <t>TERM</t>
        </is>
      </c>
      <c r="P67" s="27" t="inlineStr">
        <is>
          <t>STAT_SYS_A</t>
        </is>
      </c>
      <c r="Q67" s="27" t="inlineStr">
        <is>
          <t>USER01</t>
        </is>
      </c>
      <c r="R67" s="30" t="n">
        <v>560</v>
      </c>
      <c r="S67" s="27" t="inlineStr">
        <is>
          <t>EQ1</t>
        </is>
      </c>
      <c r="T67" s="29" t="n">
        <v>46090</v>
      </c>
      <c r="U67" s="27" t="inlineStr">
        <is>
          <t>TECH-04</t>
        </is>
      </c>
      <c r="V67" s="27" t="inlineStr">
        <is>
          <t>G-I-D1200-REG01</t>
        </is>
      </c>
      <c r="W67" s="27" t="inlineStr">
        <is>
          <t>Équipement fictif 04-1-2</t>
        </is>
      </c>
      <c r="X67" s="27" t="inlineStr">
        <is>
          <t>EQ-04-1-02</t>
        </is>
      </c>
      <c r="Y67" s="27" t="inlineStr">
        <is>
          <t>GG-PREV</t>
        </is>
      </c>
      <c r="Z67" s="27" t="inlineStr">
        <is>
          <t>2</t>
        </is>
      </c>
      <c r="AA67" s="29" t="n">
        <v>46078</v>
      </c>
      <c r="AB67" s="27" t="inlineStr">
        <is>
          <t>FILTRE</t>
        </is>
      </c>
      <c r="AC67" s="27" t="inlineStr">
        <is>
          <t>PIS+REV</t>
        </is>
      </c>
      <c r="AD67" s="28" t="n">
        <v>5</v>
      </c>
      <c r="AE67" s="28" t="n">
        <v>1</v>
      </c>
      <c r="AF67" s="28" t="n">
        <v>1</v>
      </c>
      <c r="AG67" s="27" t="n"/>
      <c r="AH67" s="27" t="n"/>
      <c r="AI67" s="27" t="inlineStr">
        <is>
          <t>Instantané de démonstration – MODELE_GMAO_PREV_ANONYMISE.csv</t>
        </is>
      </c>
      <c r="AJ67" s="31" t="n">
        <v>46309.50763888889</v>
      </c>
    </row>
    <row r="68">
      <c r="A68" s="27" t="inlineStr">
        <is>
          <t>910000030</t>
        </is>
      </c>
      <c r="B68" s="27" t="inlineStr">
        <is>
          <t>PIS</t>
        </is>
      </c>
      <c r="C68" s="28" t="n">
        <v>2026</v>
      </c>
      <c r="D68" s="27" t="inlineStr">
        <is>
          <t>SITE04</t>
        </is>
      </c>
      <c r="E68" s="27" t="inlineStr">
        <is>
          <t>EQ1</t>
        </is>
      </c>
      <c r="F68" s="27" t="inlineStr">
        <is>
          <t>G-I-D1300</t>
        </is>
      </c>
      <c r="G68" s="27" t="n"/>
      <c r="H68" s="28" t="n">
        <v>31</v>
      </c>
      <c r="I68" s="29" t="n">
        <v>46041</v>
      </c>
      <c r="J68" s="27" t="n"/>
      <c r="K68" s="27" t="inlineStr">
        <is>
          <t>ZPR2</t>
        </is>
      </c>
      <c r="L68" s="27" t="inlineStr">
        <is>
          <t>PRE</t>
        </is>
      </c>
      <c r="M68" s="27" t="n"/>
      <c r="N68" s="27" t="inlineStr">
        <is>
          <t>Maintenance préventive fictive PIS - poste G-I-D1300</t>
        </is>
      </c>
      <c r="O68" s="27" t="inlineStr">
        <is>
          <t>ACTI</t>
        </is>
      </c>
      <c r="P68" s="27" t="inlineStr">
        <is>
          <t>STAT_SYS_A</t>
        </is>
      </c>
      <c r="Q68" s="27" t="inlineStr">
        <is>
          <t>USER01</t>
        </is>
      </c>
      <c r="R68" s="30" t="n">
        <v>570</v>
      </c>
      <c r="S68" s="27" t="inlineStr">
        <is>
          <t>EQ1</t>
        </is>
      </c>
      <c r="T68" s="29" t="n">
        <v>46122</v>
      </c>
      <c r="U68" s="27" t="inlineStr">
        <is>
          <t>TECH-04</t>
        </is>
      </c>
      <c r="V68" s="27" t="inlineStr">
        <is>
          <t>G-I-D1300-REG01</t>
        </is>
      </c>
      <c r="W68" s="27" t="inlineStr">
        <is>
          <t>Équipement fictif 04-1-3</t>
        </is>
      </c>
      <c r="X68" s="27" t="inlineStr">
        <is>
          <t>EQ-04-1-03</t>
        </is>
      </c>
      <c r="Y68" s="27" t="inlineStr">
        <is>
          <t>GG-PREV</t>
        </is>
      </c>
      <c r="Z68" s="27" t="inlineStr">
        <is>
          <t>3</t>
        </is>
      </c>
      <c r="AA68" s="29" t="n">
        <v>46109</v>
      </c>
      <c r="AB68" s="27" t="inlineStr">
        <is>
          <t>LIVRAISON</t>
        </is>
      </c>
      <c r="AC68" s="27" t="inlineStr">
        <is>
          <t>PIS</t>
        </is>
      </c>
      <c r="AD68" s="28" t="n">
        <v>1</v>
      </c>
      <c r="AE68" s="28" t="n">
        <v>1</v>
      </c>
      <c r="AF68" s="28" t="n">
        <v>1</v>
      </c>
      <c r="AG68" s="27" t="n"/>
      <c r="AH68" s="27" t="n"/>
      <c r="AI68" s="27" t="inlineStr">
        <is>
          <t>Instantané de démonstration – MODELE_GMAO_PREV_ANONYMISE.csv</t>
        </is>
      </c>
      <c r="AJ68" s="31" t="n">
        <v>46309.50763888889</v>
      </c>
    </row>
    <row r="69">
      <c r="A69" s="27" t="inlineStr">
        <is>
          <t>910000031</t>
        </is>
      </c>
      <c r="B69" s="27" t="inlineStr">
        <is>
          <t>PIS</t>
        </is>
      </c>
      <c r="C69" s="28" t="n">
        <v>2026</v>
      </c>
      <c r="D69" s="27" t="inlineStr">
        <is>
          <t>SITE04</t>
        </is>
      </c>
      <c r="E69" s="27" t="inlineStr">
        <is>
          <t>EQ2</t>
        </is>
      </c>
      <c r="F69" s="27" t="inlineStr">
        <is>
          <t>G-I-D2100</t>
        </is>
      </c>
      <c r="G69" s="27" t="n"/>
      <c r="H69" s="28" t="n">
        <v>32</v>
      </c>
      <c r="I69" s="29" t="n">
        <v>46022</v>
      </c>
      <c r="J69" s="27" t="n"/>
      <c r="K69" s="27" t="inlineStr">
        <is>
          <t>ZPR2</t>
        </is>
      </c>
      <c r="L69" s="27" t="inlineStr">
        <is>
          <t>PRE</t>
        </is>
      </c>
      <c r="M69" s="27" t="n"/>
      <c r="N69" s="27" t="inlineStr">
        <is>
          <t>Maintenance préventive fictive PIS+REV - poste G-I-D2100</t>
        </is>
      </c>
      <c r="O69" s="27" t="inlineStr">
        <is>
          <t>TERM</t>
        </is>
      </c>
      <c r="P69" s="27" t="inlineStr">
        <is>
          <t>STAT_SYS_A</t>
        </is>
      </c>
      <c r="Q69" s="27" t="inlineStr">
        <is>
          <t>USER02</t>
        </is>
      </c>
      <c r="R69" s="30" t="n">
        <v>590</v>
      </c>
      <c r="S69" s="27" t="inlineStr">
        <is>
          <t>EQ2</t>
        </is>
      </c>
      <c r="T69" s="29" t="n">
        <v>46089</v>
      </c>
      <c r="U69" s="27" t="inlineStr">
        <is>
          <t>TECH-04</t>
        </is>
      </c>
      <c r="V69" s="27" t="inlineStr">
        <is>
          <t>G-I-D2100-VAN01</t>
        </is>
      </c>
      <c r="W69" s="27" t="inlineStr">
        <is>
          <t>Équipement fictif 04-2-1</t>
        </is>
      </c>
      <c r="X69" s="27" t="inlineStr">
        <is>
          <t>EQ-04-2-01</t>
        </is>
      </c>
      <c r="Y69" s="27" t="inlineStr">
        <is>
          <t>GG-PREV</t>
        </is>
      </c>
      <c r="Z69" s="27" t="inlineStr">
        <is>
          <t>1</t>
        </is>
      </c>
      <c r="AA69" s="29" t="n">
        <v>46078</v>
      </c>
      <c r="AB69" s="27" t="inlineStr">
        <is>
          <t>PIQUAGE</t>
        </is>
      </c>
      <c r="AC69" s="27" t="inlineStr">
        <is>
          <t>PIS+REV</t>
        </is>
      </c>
      <c r="AD69" s="28" t="n">
        <v>1</v>
      </c>
      <c r="AE69" s="28" t="n">
        <v>1</v>
      </c>
      <c r="AF69" s="28" t="n">
        <v>1</v>
      </c>
      <c r="AG69" s="27" t="n"/>
      <c r="AH69" s="27" t="n"/>
      <c r="AI69" s="27" t="inlineStr">
        <is>
          <t>Instantané de démonstration – MODELE_GMAO_PREV_ANONYMISE.csv</t>
        </is>
      </c>
      <c r="AJ69" s="31" t="n">
        <v>46309.50763888889</v>
      </c>
    </row>
    <row r="70">
      <c r="A70" s="27" t="inlineStr">
        <is>
          <t>910000031</t>
        </is>
      </c>
      <c r="B70" s="27" t="inlineStr">
        <is>
          <t>REV</t>
        </is>
      </c>
      <c r="C70" s="28" t="n">
        <v>2026</v>
      </c>
      <c r="D70" s="27" t="inlineStr">
        <is>
          <t>SITE04</t>
        </is>
      </c>
      <c r="E70" s="27" t="inlineStr">
        <is>
          <t>EQ2</t>
        </is>
      </c>
      <c r="F70" s="27" t="inlineStr">
        <is>
          <t>G-I-D2100</t>
        </is>
      </c>
      <c r="G70" s="27" t="n"/>
      <c r="H70" s="28" t="n">
        <v>32</v>
      </c>
      <c r="I70" s="29" t="n">
        <v>46022</v>
      </c>
      <c r="J70" s="27" t="n"/>
      <c r="K70" s="27" t="inlineStr">
        <is>
          <t>ZPR2</t>
        </is>
      </c>
      <c r="L70" s="27" t="inlineStr">
        <is>
          <t>PRE</t>
        </is>
      </c>
      <c r="M70" s="27" t="n"/>
      <c r="N70" s="27" t="inlineStr">
        <is>
          <t>Maintenance préventive fictive PIS+REV - poste G-I-D2100</t>
        </is>
      </c>
      <c r="O70" s="27" t="inlineStr">
        <is>
          <t>TERM</t>
        </is>
      </c>
      <c r="P70" s="27" t="inlineStr">
        <is>
          <t>STAT_SYS_A</t>
        </is>
      </c>
      <c r="Q70" s="27" t="inlineStr">
        <is>
          <t>USER02</t>
        </is>
      </c>
      <c r="R70" s="30" t="n">
        <v>590</v>
      </c>
      <c r="S70" s="27" t="inlineStr">
        <is>
          <t>EQ2</t>
        </is>
      </c>
      <c r="T70" s="29" t="n">
        <v>46089</v>
      </c>
      <c r="U70" s="27" t="inlineStr">
        <is>
          <t>TECH-04</t>
        </is>
      </c>
      <c r="V70" s="27" t="inlineStr">
        <is>
          <t>G-I-D2100-VAN01</t>
        </is>
      </c>
      <c r="W70" s="27" t="inlineStr">
        <is>
          <t>Équipement fictif 04-2-1</t>
        </is>
      </c>
      <c r="X70" s="27" t="inlineStr">
        <is>
          <t>EQ-04-2-01</t>
        </is>
      </c>
      <c r="Y70" s="27" t="inlineStr">
        <is>
          <t>GG-PREV</t>
        </is>
      </c>
      <c r="Z70" s="27" t="inlineStr">
        <is>
          <t>1</t>
        </is>
      </c>
      <c r="AA70" s="29" t="n">
        <v>46078</v>
      </c>
      <c r="AB70" s="27" t="inlineStr">
        <is>
          <t>PIQUAGE</t>
        </is>
      </c>
      <c r="AC70" s="27" t="inlineStr">
        <is>
          <t>PIS+REV</t>
        </is>
      </c>
      <c r="AD70" s="28" t="n">
        <v>5</v>
      </c>
      <c r="AE70" s="28" t="n">
        <v>1</v>
      </c>
      <c r="AF70" s="28" t="n">
        <v>1</v>
      </c>
      <c r="AG70" s="27" t="n"/>
      <c r="AH70" s="27" t="n"/>
      <c r="AI70" s="27" t="inlineStr">
        <is>
          <t>Instantané de démonstration – MODELE_GMAO_PREV_ANONYMISE.csv</t>
        </is>
      </c>
      <c r="AJ70" s="31" t="n">
        <v>46309.50763888889</v>
      </c>
    </row>
    <row r="71">
      <c r="A71" s="27" t="inlineStr">
        <is>
          <t>910000032</t>
        </is>
      </c>
      <c r="B71" s="27" t="inlineStr">
        <is>
          <t>PIS</t>
        </is>
      </c>
      <c r="C71" s="28" t="n">
        <v>2026</v>
      </c>
      <c r="D71" s="27" t="inlineStr">
        <is>
          <t>SITE04</t>
        </is>
      </c>
      <c r="E71" s="27" t="inlineStr">
        <is>
          <t>EQ2</t>
        </is>
      </c>
      <c r="F71" s="27" t="inlineStr">
        <is>
          <t>G-I-D2200</t>
        </is>
      </c>
      <c r="G71" s="27" t="n"/>
      <c r="H71" s="28" t="n">
        <v>33</v>
      </c>
      <c r="I71" s="29" t="n">
        <v>46047</v>
      </c>
      <c r="J71" s="27" t="n"/>
      <c r="K71" s="27" t="inlineStr">
        <is>
          <t>ZPR2</t>
        </is>
      </c>
      <c r="L71" s="27" t="inlineStr">
        <is>
          <t>PRE</t>
        </is>
      </c>
      <c r="M71" s="27" t="n"/>
      <c r="N71" s="27" t="inlineStr">
        <is>
          <t>Maintenance préventive fictive PIS - poste G-I-D2200</t>
        </is>
      </c>
      <c r="O71" s="27" t="inlineStr">
        <is>
          <t>ACTI</t>
        </is>
      </c>
      <c r="P71" s="27" t="inlineStr">
        <is>
          <t>STAT_SYS_A</t>
        </is>
      </c>
      <c r="Q71" s="27" t="inlineStr">
        <is>
          <t>USER02</t>
        </is>
      </c>
      <c r="R71" s="30" t="n">
        <v>600</v>
      </c>
      <c r="S71" s="27" t="inlineStr">
        <is>
          <t>EQ2</t>
        </is>
      </c>
      <c r="T71" s="29" t="n">
        <v>46121</v>
      </c>
      <c r="U71" s="27" t="inlineStr">
        <is>
          <t>TECH-04</t>
        </is>
      </c>
      <c r="V71" s="27" t="inlineStr">
        <is>
          <t>G-I-D2200-VAN01</t>
        </is>
      </c>
      <c r="W71" s="27" t="inlineStr">
        <is>
          <t>Équipement fictif 04-2-2</t>
        </is>
      </c>
      <c r="X71" s="27" t="inlineStr">
        <is>
          <t>EQ-04-2-02</t>
        </is>
      </c>
      <c r="Y71" s="27" t="inlineStr">
        <is>
          <t>GG-PREV</t>
        </is>
      </c>
      <c r="Z71" s="27" t="inlineStr">
        <is>
          <t>2</t>
        </is>
      </c>
      <c r="AA71" s="29" t="n">
        <v>46109</v>
      </c>
      <c r="AB71" s="27" t="inlineStr">
        <is>
          <t>FILTRE</t>
        </is>
      </c>
      <c r="AC71" s="27" t="inlineStr">
        <is>
          <t>PIS</t>
        </is>
      </c>
      <c r="AD71" s="28" t="n">
        <v>1</v>
      </c>
      <c r="AE71" s="28" t="n">
        <v>1</v>
      </c>
      <c r="AF71" s="28" t="n">
        <v>1</v>
      </c>
      <c r="AG71" s="27" t="n"/>
      <c r="AH71" s="27" t="n"/>
      <c r="AI71" s="27" t="inlineStr">
        <is>
          <t>Instantané de démonstration – MODELE_GMAO_PREV_ANONYMISE.csv</t>
        </is>
      </c>
      <c r="AJ71" s="31" t="n">
        <v>46309.50763888889</v>
      </c>
    </row>
    <row r="72">
      <c r="A72" s="27" t="inlineStr">
        <is>
          <t>910000033</t>
        </is>
      </c>
      <c r="B72" s="27" t="inlineStr">
        <is>
          <t>EC</t>
        </is>
      </c>
      <c r="C72" s="28" t="n">
        <v>2026</v>
      </c>
      <c r="D72" s="27" t="inlineStr">
        <is>
          <t>SITE04</t>
        </is>
      </c>
      <c r="E72" s="27" t="inlineStr">
        <is>
          <t>EQ2</t>
        </is>
      </c>
      <c r="F72" s="27" t="inlineStr">
        <is>
          <t>G-I-D2300</t>
        </is>
      </c>
      <c r="G72" s="27" t="n"/>
      <c r="H72" s="28" t="n">
        <v>34</v>
      </c>
      <c r="I72" s="29" t="n">
        <v>46071</v>
      </c>
      <c r="J72" s="27" t="n"/>
      <c r="K72" s="27" t="inlineStr">
        <is>
          <t>ZPR2</t>
        </is>
      </c>
      <c r="L72" s="27" t="inlineStr">
        <is>
          <t>PRE</t>
        </is>
      </c>
      <c r="M72" s="27" t="n"/>
      <c r="N72" s="27" t="inlineStr">
        <is>
          <t>Maintenance préventive fictive EC - poste G-I-D2300</t>
        </is>
      </c>
      <c r="O72" s="27" t="inlineStr">
        <is>
          <t>ACTI</t>
        </is>
      </c>
      <c r="P72" s="27" t="inlineStr">
        <is>
          <t>STAT_SYS_A</t>
        </is>
      </c>
      <c r="Q72" s="27" t="inlineStr">
        <is>
          <t>USER02</t>
        </is>
      </c>
      <c r="R72" s="30" t="n">
        <v>610</v>
      </c>
      <c r="S72" s="27" t="inlineStr">
        <is>
          <t>EQ2</t>
        </is>
      </c>
      <c r="T72" s="29" t="n">
        <v>46152</v>
      </c>
      <c r="U72" s="27" t="inlineStr">
        <is>
          <t>TECH-04</t>
        </is>
      </c>
      <c r="V72" s="27" t="inlineStr">
        <is>
          <t>G-I-D2300-SEC01</t>
        </is>
      </c>
      <c r="W72" s="27" t="inlineStr">
        <is>
          <t>Équipement fictif 04-2-3</t>
        </is>
      </c>
      <c r="X72" s="27" t="inlineStr">
        <is>
          <t>EQ-04-2-03</t>
        </is>
      </c>
      <c r="Y72" s="27" t="inlineStr">
        <is>
          <t>GG-PREV</t>
        </is>
      </c>
      <c r="Z72" s="27" t="inlineStr">
        <is>
          <t>3</t>
        </is>
      </c>
      <c r="AA72" s="29" t="n">
        <v>46139</v>
      </c>
      <c r="AB72" s="27" t="inlineStr">
        <is>
          <t>LIVRAISON</t>
        </is>
      </c>
      <c r="AC72" s="27" t="inlineStr">
        <is>
          <t>EC</t>
        </is>
      </c>
      <c r="AD72" s="28" t="n">
        <v>2</v>
      </c>
      <c r="AE72" s="28" t="n">
        <v>1</v>
      </c>
      <c r="AF72" s="28" t="n">
        <v>1</v>
      </c>
      <c r="AG72" s="27" t="n"/>
      <c r="AH72" s="27" t="n"/>
      <c r="AI72" s="27" t="inlineStr">
        <is>
          <t>Instantané de démonstration – MODELE_GMAO_PREV_ANONYMISE.csv</t>
        </is>
      </c>
      <c r="AJ72" s="31" t="n">
        <v>46309.50763888889</v>
      </c>
    </row>
    <row r="73">
      <c r="A73" s="27" t="inlineStr">
        <is>
          <t>910000034</t>
        </is>
      </c>
      <c r="B73" s="27" t="inlineStr">
        <is>
          <t>PIS</t>
        </is>
      </c>
      <c r="C73" s="28" t="n">
        <v>2026</v>
      </c>
      <c r="D73" s="27" t="inlineStr">
        <is>
          <t>SITE04</t>
        </is>
      </c>
      <c r="E73" s="27" t="inlineStr">
        <is>
          <t>EQ3</t>
        </is>
      </c>
      <c r="F73" s="27" t="inlineStr">
        <is>
          <t>G-I-D3100</t>
        </is>
      </c>
      <c r="G73" s="27" t="n"/>
      <c r="H73" s="28" t="n">
        <v>35</v>
      </c>
      <c r="I73" s="29" t="n">
        <v>46053</v>
      </c>
      <c r="J73" s="27" t="n"/>
      <c r="K73" s="27" t="inlineStr">
        <is>
          <t>ZPR2</t>
        </is>
      </c>
      <c r="L73" s="27" t="inlineStr">
        <is>
          <t>PRE</t>
        </is>
      </c>
      <c r="M73" s="27" t="n"/>
      <c r="N73" s="27" t="inlineStr">
        <is>
          <t>Maintenance préventive fictive PIS - poste G-I-D3100</t>
        </is>
      </c>
      <c r="O73" s="27" t="inlineStr">
        <is>
          <t>ACTI</t>
        </is>
      </c>
      <c r="P73" s="27" t="inlineStr">
        <is>
          <t>STAT_SYS_A</t>
        </is>
      </c>
      <c r="Q73" s="27" t="inlineStr">
        <is>
          <t>USER03</t>
        </is>
      </c>
      <c r="R73" s="30" t="n">
        <v>630</v>
      </c>
      <c r="S73" s="27" t="inlineStr">
        <is>
          <t>EQ3</t>
        </is>
      </c>
      <c r="T73" s="29" t="n">
        <v>46120</v>
      </c>
      <c r="U73" s="27" t="inlineStr">
        <is>
          <t>TECH-04</t>
        </is>
      </c>
      <c r="V73" s="27" t="inlineStr">
        <is>
          <t>G-I-D3100-REG01</t>
        </is>
      </c>
      <c r="W73" s="27" t="inlineStr">
        <is>
          <t>Équipement fictif 04-3-1</t>
        </is>
      </c>
      <c r="X73" s="27" t="inlineStr">
        <is>
          <t>EQ-04-3-01</t>
        </is>
      </c>
      <c r="Y73" s="27" t="inlineStr">
        <is>
          <t>GG-PREV</t>
        </is>
      </c>
      <c r="Z73" s="27" t="inlineStr">
        <is>
          <t>1</t>
        </is>
      </c>
      <c r="AA73" s="29" t="n">
        <v>46109</v>
      </c>
      <c r="AB73" s="27" t="inlineStr">
        <is>
          <t>PIQUAGE</t>
        </is>
      </c>
      <c r="AC73" s="27" t="inlineStr">
        <is>
          <t>PIS</t>
        </is>
      </c>
      <c r="AD73" s="28" t="n">
        <v>1</v>
      </c>
      <c r="AE73" s="28" t="n">
        <v>1</v>
      </c>
      <c r="AF73" s="28" t="n">
        <v>1</v>
      </c>
      <c r="AG73" s="27" t="n"/>
      <c r="AH73" s="27" t="n"/>
      <c r="AI73" s="27" t="inlineStr">
        <is>
          <t>Instantané de démonstration – MODELE_GMAO_PREV_ANONYMISE.csv</t>
        </is>
      </c>
      <c r="AJ73" s="31" t="n">
        <v>46309.50763888889</v>
      </c>
    </row>
    <row r="74">
      <c r="A74" s="27" t="inlineStr">
        <is>
          <t>910000035</t>
        </is>
      </c>
      <c r="B74" s="27" t="inlineStr">
        <is>
          <t>EC</t>
        </is>
      </c>
      <c r="C74" s="28" t="n">
        <v>2026</v>
      </c>
      <c r="D74" s="27" t="inlineStr">
        <is>
          <t>SITE04</t>
        </is>
      </c>
      <c r="E74" s="27" t="inlineStr">
        <is>
          <t>EQ3</t>
        </is>
      </c>
      <c r="F74" s="27" t="inlineStr">
        <is>
          <t>G-I-D3200</t>
        </is>
      </c>
      <c r="G74" s="27" t="n"/>
      <c r="H74" s="28" t="n">
        <v>36</v>
      </c>
      <c r="I74" s="29" t="n">
        <v>46077</v>
      </c>
      <c r="J74" s="27" t="n"/>
      <c r="K74" s="27" t="inlineStr">
        <is>
          <t>ZPR2</t>
        </is>
      </c>
      <c r="L74" s="27" t="inlineStr">
        <is>
          <t>PRE</t>
        </is>
      </c>
      <c r="M74" s="27" t="n"/>
      <c r="N74" s="27" t="inlineStr">
        <is>
          <t>Maintenance préventive fictive EC - poste G-I-D3200</t>
        </is>
      </c>
      <c r="O74" s="27" t="inlineStr">
        <is>
          <t>ACTI</t>
        </is>
      </c>
      <c r="P74" s="27" t="inlineStr">
        <is>
          <t>STAT_SYS_A</t>
        </is>
      </c>
      <c r="Q74" s="27" t="inlineStr">
        <is>
          <t>USER03</t>
        </is>
      </c>
      <c r="R74" s="30" t="n">
        <v>640</v>
      </c>
      <c r="S74" s="27" t="inlineStr">
        <is>
          <t>EQ3</t>
        </is>
      </c>
      <c r="T74" s="29" t="n">
        <v>46151</v>
      </c>
      <c r="U74" s="27" t="inlineStr">
        <is>
          <t>TECH-04</t>
        </is>
      </c>
      <c r="V74" s="27" t="inlineStr">
        <is>
          <t>G-I-D3200-SEC01</t>
        </is>
      </c>
      <c r="W74" s="27" t="inlineStr">
        <is>
          <t>Équipement fictif 04-3-2</t>
        </is>
      </c>
      <c r="X74" s="27" t="inlineStr">
        <is>
          <t>EQ-04-3-02</t>
        </is>
      </c>
      <c r="Y74" s="27" t="inlineStr">
        <is>
          <t>GG-PREV</t>
        </is>
      </c>
      <c r="Z74" s="27" t="inlineStr">
        <is>
          <t>2</t>
        </is>
      </c>
      <c r="AA74" s="29" t="n">
        <v>46139</v>
      </c>
      <c r="AB74" s="27" t="inlineStr">
        <is>
          <t>FILTRE</t>
        </is>
      </c>
      <c r="AC74" s="27" t="inlineStr">
        <is>
          <t>EC</t>
        </is>
      </c>
      <c r="AD74" s="28" t="n">
        <v>2</v>
      </c>
      <c r="AE74" s="28" t="n">
        <v>1</v>
      </c>
      <c r="AF74" s="28" t="n">
        <v>1</v>
      </c>
      <c r="AG74" s="27" t="n"/>
      <c r="AH74" s="27" t="n"/>
      <c r="AI74" s="27" t="inlineStr">
        <is>
          <t>Instantané de démonstration – MODELE_GMAO_PREV_ANONYMISE.csv</t>
        </is>
      </c>
      <c r="AJ74" s="31" t="n">
        <v>46309.50763888889</v>
      </c>
    </row>
    <row r="75">
      <c r="A75" s="27" t="inlineStr">
        <is>
          <t>910000036</t>
        </is>
      </c>
      <c r="B75" s="27" t="inlineStr">
        <is>
          <t>REV</t>
        </is>
      </c>
      <c r="C75" s="28" t="n">
        <v>2026</v>
      </c>
      <c r="D75" s="27" t="inlineStr">
        <is>
          <t>SITE04</t>
        </is>
      </c>
      <c r="E75" s="27" t="inlineStr">
        <is>
          <t>EQ3</t>
        </is>
      </c>
      <c r="F75" s="27" t="inlineStr">
        <is>
          <t>G-I-D3300</t>
        </is>
      </c>
      <c r="G75" s="27" t="n"/>
      <c r="H75" s="28" t="n">
        <v>37</v>
      </c>
      <c r="I75" s="29" t="n">
        <v>46102</v>
      </c>
      <c r="J75" s="27" t="n"/>
      <c r="K75" s="27" t="inlineStr">
        <is>
          <t>ZPR2</t>
        </is>
      </c>
      <c r="L75" s="27" t="inlineStr">
        <is>
          <t>PRE</t>
        </is>
      </c>
      <c r="M75" s="27" t="n"/>
      <c r="N75" s="27" t="inlineStr">
        <is>
          <t>Maintenance préventive fictive REV - poste G-I-D3300</t>
        </is>
      </c>
      <c r="O75" s="27" t="inlineStr">
        <is>
          <t>TERM</t>
        </is>
      </c>
      <c r="P75" s="27" t="inlineStr">
        <is>
          <t>STAT_SYS_A</t>
        </is>
      </c>
      <c r="Q75" s="27" t="inlineStr">
        <is>
          <t>USER03</t>
        </is>
      </c>
      <c r="R75" s="30" t="n">
        <v>650</v>
      </c>
      <c r="S75" s="27" t="inlineStr">
        <is>
          <t>EQ3</t>
        </is>
      </c>
      <c r="T75" s="29" t="n">
        <v>46183</v>
      </c>
      <c r="U75" s="27" t="inlineStr">
        <is>
          <t>TECH-04</t>
        </is>
      </c>
      <c r="V75" s="27" t="inlineStr">
        <is>
          <t>G-I-D3300-SEC01</t>
        </is>
      </c>
      <c r="W75" s="27" t="inlineStr">
        <is>
          <t>Équipement fictif 04-3-3</t>
        </is>
      </c>
      <c r="X75" s="27" t="inlineStr">
        <is>
          <t>EQ-04-3-03</t>
        </is>
      </c>
      <c r="Y75" s="27" t="inlineStr">
        <is>
          <t>GG-PREV</t>
        </is>
      </c>
      <c r="Z75" s="27" t="inlineStr">
        <is>
          <t>3</t>
        </is>
      </c>
      <c r="AA75" s="29" t="n">
        <v>46170</v>
      </c>
      <c r="AB75" s="27" t="inlineStr">
        <is>
          <t>LIVRAISON</t>
        </is>
      </c>
      <c r="AC75" s="27" t="inlineStr">
        <is>
          <t>REV</t>
        </is>
      </c>
      <c r="AD75" s="28" t="n">
        <v>5</v>
      </c>
      <c r="AE75" s="28" t="n">
        <v>1</v>
      </c>
      <c r="AF75" s="28" t="n">
        <v>1</v>
      </c>
      <c r="AG75" s="27" t="n"/>
      <c r="AH75" s="27" t="n"/>
      <c r="AI75" s="27" t="inlineStr">
        <is>
          <t>Instantané de démonstration – MODELE_GMAO_PREV_ANONYMISE.csv</t>
        </is>
      </c>
      <c r="AJ75" s="31" t="n">
        <v>46309.50763888889</v>
      </c>
    </row>
    <row r="76">
      <c r="A76" s="27" t="inlineStr">
        <is>
          <t>910000037</t>
        </is>
      </c>
      <c r="B76" s="27" t="inlineStr">
        <is>
          <t>PIS</t>
        </is>
      </c>
      <c r="C76" s="28" t="n">
        <v>2026</v>
      </c>
      <c r="D76" s="27" t="inlineStr">
        <is>
          <t>SITE05</t>
        </is>
      </c>
      <c r="E76" s="27" t="inlineStr">
        <is>
          <t>EQ1</t>
        </is>
      </c>
      <c r="F76" s="27" t="inlineStr">
        <is>
          <t>G-I-E1100</t>
        </is>
      </c>
      <c r="G76" s="27" t="n"/>
      <c r="H76" s="28" t="n">
        <v>38</v>
      </c>
      <c r="I76" s="29" t="n">
        <v>45995</v>
      </c>
      <c r="J76" s="27" t="n"/>
      <c r="K76" s="27" t="inlineStr">
        <is>
          <t>ZPR2</t>
        </is>
      </c>
      <c r="L76" s="27" t="inlineStr">
        <is>
          <t>PRE</t>
        </is>
      </c>
      <c r="M76" s="27" t="n"/>
      <c r="N76" s="27" t="inlineStr">
        <is>
          <t>Maintenance préventive fictive PIS+REV - poste G-I-E1100</t>
        </is>
      </c>
      <c r="O76" s="27" t="inlineStr">
        <is>
          <t>ACTI</t>
        </is>
      </c>
      <c r="P76" s="27" t="inlineStr">
        <is>
          <t>STAT_SYS_A</t>
        </is>
      </c>
      <c r="Q76" s="27" t="inlineStr">
        <is>
          <t>USER01</t>
        </is>
      </c>
      <c r="R76" s="30" t="n">
        <v>675</v>
      </c>
      <c r="S76" s="27" t="inlineStr">
        <is>
          <t>EQ1</t>
        </is>
      </c>
      <c r="T76" s="29" t="n">
        <v>46062</v>
      </c>
      <c r="U76" s="27" t="inlineStr">
        <is>
          <t>TECH-05</t>
        </is>
      </c>
      <c r="V76" s="27" t="inlineStr">
        <is>
          <t>G-I-E1100-REG01</t>
        </is>
      </c>
      <c r="W76" s="27" t="inlineStr">
        <is>
          <t>Équipement fictif 05-1-1</t>
        </is>
      </c>
      <c r="X76" s="27" t="inlineStr">
        <is>
          <t>EQ-05-1-01</t>
        </is>
      </c>
      <c r="Y76" s="27" t="inlineStr">
        <is>
          <t>GG-PREV</t>
        </is>
      </c>
      <c r="Z76" s="27" t="inlineStr">
        <is>
          <t>1</t>
        </is>
      </c>
      <c r="AA76" s="29" t="n">
        <v>46051</v>
      </c>
      <c r="AB76" s="27" t="inlineStr">
        <is>
          <t>FILTRE</t>
        </is>
      </c>
      <c r="AC76" s="27" t="inlineStr">
        <is>
          <t>PIS+REV</t>
        </is>
      </c>
      <c r="AD76" s="28" t="n">
        <v>1</v>
      </c>
      <c r="AE76" s="28" t="n">
        <v>1</v>
      </c>
      <c r="AF76" s="28" t="n">
        <v>1</v>
      </c>
      <c r="AG76" s="27" t="n"/>
      <c r="AH76" s="27" t="n"/>
      <c r="AI76" s="27" t="inlineStr">
        <is>
          <t>Instantané de démonstration – MODELE_GMAO_PREV_ANONYMISE.csv</t>
        </is>
      </c>
      <c r="AJ76" s="31" t="n">
        <v>46309.50763888889</v>
      </c>
    </row>
    <row r="77">
      <c r="A77" s="27" t="inlineStr">
        <is>
          <t>910000037</t>
        </is>
      </c>
      <c r="B77" s="27" t="inlineStr">
        <is>
          <t>REV</t>
        </is>
      </c>
      <c r="C77" s="28" t="n">
        <v>2026</v>
      </c>
      <c r="D77" s="27" t="inlineStr">
        <is>
          <t>SITE05</t>
        </is>
      </c>
      <c r="E77" s="27" t="inlineStr">
        <is>
          <t>EQ1</t>
        </is>
      </c>
      <c r="F77" s="27" t="inlineStr">
        <is>
          <t>G-I-E1100</t>
        </is>
      </c>
      <c r="G77" s="27" t="n"/>
      <c r="H77" s="28" t="n">
        <v>38</v>
      </c>
      <c r="I77" s="29" t="n">
        <v>45995</v>
      </c>
      <c r="J77" s="27" t="n"/>
      <c r="K77" s="27" t="inlineStr">
        <is>
          <t>ZPR2</t>
        </is>
      </c>
      <c r="L77" s="27" t="inlineStr">
        <is>
          <t>PRE</t>
        </is>
      </c>
      <c r="M77" s="27" t="n"/>
      <c r="N77" s="27" t="inlineStr">
        <is>
          <t>Maintenance préventive fictive PIS+REV - poste G-I-E1100</t>
        </is>
      </c>
      <c r="O77" s="27" t="inlineStr">
        <is>
          <t>ACTI</t>
        </is>
      </c>
      <c r="P77" s="27" t="inlineStr">
        <is>
          <t>STAT_SYS_A</t>
        </is>
      </c>
      <c r="Q77" s="27" t="inlineStr">
        <is>
          <t>USER01</t>
        </is>
      </c>
      <c r="R77" s="30" t="n">
        <v>675</v>
      </c>
      <c r="S77" s="27" t="inlineStr">
        <is>
          <t>EQ1</t>
        </is>
      </c>
      <c r="T77" s="29" t="n">
        <v>46062</v>
      </c>
      <c r="U77" s="27" t="inlineStr">
        <is>
          <t>TECH-05</t>
        </is>
      </c>
      <c r="V77" s="27" t="inlineStr">
        <is>
          <t>G-I-E1100-REG01</t>
        </is>
      </c>
      <c r="W77" s="27" t="inlineStr">
        <is>
          <t>Équipement fictif 05-1-1</t>
        </is>
      </c>
      <c r="X77" s="27" t="inlineStr">
        <is>
          <t>EQ-05-1-01</t>
        </is>
      </c>
      <c r="Y77" s="27" t="inlineStr">
        <is>
          <t>GG-PREV</t>
        </is>
      </c>
      <c r="Z77" s="27" t="inlineStr">
        <is>
          <t>1</t>
        </is>
      </c>
      <c r="AA77" s="29" t="n">
        <v>46051</v>
      </c>
      <c r="AB77" s="27" t="inlineStr">
        <is>
          <t>FILTRE</t>
        </is>
      </c>
      <c r="AC77" s="27" t="inlineStr">
        <is>
          <t>PIS+REV</t>
        </is>
      </c>
      <c r="AD77" s="28" t="n">
        <v>5</v>
      </c>
      <c r="AE77" s="28" t="n">
        <v>1</v>
      </c>
      <c r="AF77" s="28" t="n">
        <v>1</v>
      </c>
      <c r="AG77" s="27" t="n"/>
      <c r="AH77" s="27" t="n"/>
      <c r="AI77" s="27" t="inlineStr">
        <is>
          <t>Instantané de démonstration – MODELE_GMAO_PREV_ANONYMISE.csv</t>
        </is>
      </c>
      <c r="AJ77" s="31" t="n">
        <v>46309.50763888889</v>
      </c>
    </row>
    <row r="78">
      <c r="A78" s="27" t="inlineStr">
        <is>
          <t>910000038</t>
        </is>
      </c>
      <c r="B78" s="27" t="inlineStr">
        <is>
          <t>PIS</t>
        </is>
      </c>
      <c r="C78" s="28" t="n">
        <v>2026</v>
      </c>
      <c r="D78" s="27" t="inlineStr">
        <is>
          <t>SITE05</t>
        </is>
      </c>
      <c r="E78" s="27" t="inlineStr">
        <is>
          <t>EQ1</t>
        </is>
      </c>
      <c r="F78" s="27" t="inlineStr">
        <is>
          <t>G-I-E1200</t>
        </is>
      </c>
      <c r="G78" s="27" t="n"/>
      <c r="H78" s="28" t="n">
        <v>39</v>
      </c>
      <c r="I78" s="29" t="n">
        <v>46017</v>
      </c>
      <c r="J78" s="27" t="n"/>
      <c r="K78" s="27" t="inlineStr">
        <is>
          <t>ZPR2</t>
        </is>
      </c>
      <c r="L78" s="27" t="inlineStr">
        <is>
          <t>PRE</t>
        </is>
      </c>
      <c r="M78" s="27" t="n"/>
      <c r="N78" s="27" t="inlineStr">
        <is>
          <t>Maintenance préventive fictive PIS - poste G-I-E1200</t>
        </is>
      </c>
      <c r="O78" s="27" t="inlineStr">
        <is>
          <t>TERM</t>
        </is>
      </c>
      <c r="P78" s="27" t="inlineStr">
        <is>
          <t>STAT_SYS_A</t>
        </is>
      </c>
      <c r="Q78" s="27" t="inlineStr">
        <is>
          <t>USER01</t>
        </is>
      </c>
      <c r="R78" s="30" t="n">
        <v>685</v>
      </c>
      <c r="S78" s="27" t="inlineStr">
        <is>
          <t>EQ1</t>
        </is>
      </c>
      <c r="T78" s="29" t="n">
        <v>46091</v>
      </c>
      <c r="U78" s="27" t="inlineStr">
        <is>
          <t>TECH-05</t>
        </is>
      </c>
      <c r="V78" s="27" t="inlineStr">
        <is>
          <t>G-I-E1200-FILT01</t>
        </is>
      </c>
      <c r="W78" s="27" t="inlineStr">
        <is>
          <t>Équipement fictif 05-1-2</t>
        </is>
      </c>
      <c r="X78" s="27" t="inlineStr">
        <is>
          <t>EQ-05-1-02</t>
        </is>
      </c>
      <c r="Y78" s="27" t="inlineStr">
        <is>
          <t>GG-PREV</t>
        </is>
      </c>
      <c r="Z78" s="27" t="inlineStr">
        <is>
          <t>2</t>
        </is>
      </c>
      <c r="AA78" s="29" t="n">
        <v>46079</v>
      </c>
      <c r="AB78" s="27" t="inlineStr">
        <is>
          <t>LIVRAISON</t>
        </is>
      </c>
      <c r="AC78" s="27" t="inlineStr">
        <is>
          <t>PIS</t>
        </is>
      </c>
      <c r="AD78" s="28" t="n">
        <v>1</v>
      </c>
      <c r="AE78" s="28" t="n">
        <v>1</v>
      </c>
      <c r="AF78" s="28" t="n">
        <v>1</v>
      </c>
      <c r="AG78" s="27" t="n"/>
      <c r="AH78" s="27" t="n"/>
      <c r="AI78" s="27" t="inlineStr">
        <is>
          <t>Instantané de démonstration – MODELE_GMAO_PREV_ANONYMISE.csv</t>
        </is>
      </c>
      <c r="AJ78" s="31" t="n">
        <v>46309.50763888889</v>
      </c>
    </row>
    <row r="79">
      <c r="A79" s="27" t="inlineStr">
        <is>
          <t>910000039</t>
        </is>
      </c>
      <c r="B79" s="27" t="inlineStr">
        <is>
          <t>EC</t>
        </is>
      </c>
      <c r="C79" s="28" t="n">
        <v>2026</v>
      </c>
      <c r="D79" s="27" t="inlineStr">
        <is>
          <t>SITE05</t>
        </is>
      </c>
      <c r="E79" s="27" t="inlineStr">
        <is>
          <t>EQ1</t>
        </is>
      </c>
      <c r="F79" s="27" t="inlineStr">
        <is>
          <t>G-I-E1300</t>
        </is>
      </c>
      <c r="G79" s="27" t="n"/>
      <c r="H79" s="28" t="n">
        <v>40</v>
      </c>
      <c r="I79" s="29" t="n">
        <v>46042</v>
      </c>
      <c r="J79" s="27" t="n"/>
      <c r="K79" s="27" t="inlineStr">
        <is>
          <t>ZPR2</t>
        </is>
      </c>
      <c r="L79" s="27" t="inlineStr">
        <is>
          <t>PRE</t>
        </is>
      </c>
      <c r="M79" s="27" t="n"/>
      <c r="N79" s="27" t="inlineStr">
        <is>
          <t>Maintenance préventive fictive EC - poste G-I-E1300</t>
        </is>
      </c>
      <c r="O79" s="27" t="inlineStr">
        <is>
          <t>ACTI</t>
        </is>
      </c>
      <c r="P79" s="27" t="inlineStr">
        <is>
          <t>STAT_SYS_A</t>
        </is>
      </c>
      <c r="Q79" s="27" t="inlineStr">
        <is>
          <t>USER01</t>
        </is>
      </c>
      <c r="R79" s="30" t="n">
        <v>695</v>
      </c>
      <c r="S79" s="27" t="inlineStr">
        <is>
          <t>EQ1</t>
        </is>
      </c>
      <c r="T79" s="29" t="n">
        <v>46123</v>
      </c>
      <c r="U79" s="27" t="inlineStr">
        <is>
          <t>TECH-05</t>
        </is>
      </c>
      <c r="V79" s="27" t="inlineStr">
        <is>
          <t>G-I-E1300-FILT01</t>
        </is>
      </c>
      <c r="W79" s="27" t="inlineStr">
        <is>
          <t>Équipement fictif 05-1-3</t>
        </is>
      </c>
      <c r="X79" s="27" t="inlineStr">
        <is>
          <t>EQ-05-1-03</t>
        </is>
      </c>
      <c r="Y79" s="27" t="inlineStr">
        <is>
          <t>GG-PREV</t>
        </is>
      </c>
      <c r="Z79" s="27" t="inlineStr">
        <is>
          <t>3</t>
        </is>
      </c>
      <c r="AA79" s="29" t="n">
        <v>46110</v>
      </c>
      <c r="AB79" s="27" t="inlineStr">
        <is>
          <t>DETENTE</t>
        </is>
      </c>
      <c r="AC79" s="27" t="inlineStr">
        <is>
          <t>EC</t>
        </is>
      </c>
      <c r="AD79" s="28" t="n">
        <v>2</v>
      </c>
      <c r="AE79" s="28" t="n">
        <v>1</v>
      </c>
      <c r="AF79" s="28" t="n">
        <v>1</v>
      </c>
      <c r="AG79" s="27" t="n"/>
      <c r="AH79" s="27" t="n"/>
      <c r="AI79" s="27" t="inlineStr">
        <is>
          <t>Instantané de démonstration – MODELE_GMAO_PREV_ANONYMISE.csv</t>
        </is>
      </c>
      <c r="AJ79" s="31" t="n">
        <v>46309.50763888889</v>
      </c>
    </row>
    <row r="80">
      <c r="A80" s="27" t="inlineStr">
        <is>
          <t>910000040</t>
        </is>
      </c>
      <c r="B80" s="27" t="inlineStr">
        <is>
          <t>PIS</t>
        </is>
      </c>
      <c r="C80" s="28" t="n">
        <v>2026</v>
      </c>
      <c r="D80" s="27" t="inlineStr">
        <is>
          <t>SITE05</t>
        </is>
      </c>
      <c r="E80" s="27" t="inlineStr">
        <is>
          <t>EQ2</t>
        </is>
      </c>
      <c r="F80" s="27" t="inlineStr">
        <is>
          <t>G-I-E2100</t>
        </is>
      </c>
      <c r="G80" s="27" t="n"/>
      <c r="H80" s="28" t="n">
        <v>41</v>
      </c>
      <c r="I80" s="29" t="n">
        <v>46023</v>
      </c>
      <c r="J80" s="27" t="n"/>
      <c r="K80" s="27" t="inlineStr">
        <is>
          <t>ZPR2</t>
        </is>
      </c>
      <c r="L80" s="27" t="inlineStr">
        <is>
          <t>PRE</t>
        </is>
      </c>
      <c r="M80" s="27" t="n"/>
      <c r="N80" s="27" t="inlineStr">
        <is>
          <t>Maintenance préventive fictive PIS - poste G-I-E2100</t>
        </is>
      </c>
      <c r="O80" s="27" t="inlineStr">
        <is>
          <t>TERM</t>
        </is>
      </c>
      <c r="P80" s="27" t="inlineStr">
        <is>
          <t>STAT_SYS_A</t>
        </is>
      </c>
      <c r="Q80" s="27" t="inlineStr">
        <is>
          <t>USER02</t>
        </is>
      </c>
      <c r="R80" s="30" t="n">
        <v>715</v>
      </c>
      <c r="S80" s="27" t="inlineStr">
        <is>
          <t>EQ2</t>
        </is>
      </c>
      <c r="T80" s="29" t="n">
        <v>46090</v>
      </c>
      <c r="U80" s="27" t="inlineStr">
        <is>
          <t>TECH-05</t>
        </is>
      </c>
      <c r="V80" s="27" t="inlineStr">
        <is>
          <t>G-I-E2100-VAN01</t>
        </is>
      </c>
      <c r="W80" s="27" t="inlineStr">
        <is>
          <t>Équipement fictif 05-2-1</t>
        </is>
      </c>
      <c r="X80" s="27" t="inlineStr">
        <is>
          <t>EQ-05-2-01</t>
        </is>
      </c>
      <c r="Y80" s="27" t="inlineStr">
        <is>
          <t>GG-PREV</t>
        </is>
      </c>
      <c r="Z80" s="27" t="inlineStr">
        <is>
          <t>1</t>
        </is>
      </c>
      <c r="AA80" s="29" t="n">
        <v>46079</v>
      </c>
      <c r="AB80" s="27" t="inlineStr">
        <is>
          <t>FILTRE</t>
        </is>
      </c>
      <c r="AC80" s="27" t="inlineStr">
        <is>
          <t>PIS</t>
        </is>
      </c>
      <c r="AD80" s="28" t="n">
        <v>1</v>
      </c>
      <c r="AE80" s="28" t="n">
        <v>1</v>
      </c>
      <c r="AF80" s="28" t="n">
        <v>1</v>
      </c>
      <c r="AG80" s="27" t="n"/>
      <c r="AH80" s="27" t="n"/>
      <c r="AI80" s="27" t="inlineStr">
        <is>
          <t>Instantané de démonstration – MODELE_GMAO_PREV_ANONYMISE.csv</t>
        </is>
      </c>
      <c r="AJ80" s="31" t="n">
        <v>46309.50763888889</v>
      </c>
    </row>
    <row r="81">
      <c r="A81" s="27" t="inlineStr">
        <is>
          <t>910000041</t>
        </is>
      </c>
      <c r="B81" s="27" t="inlineStr">
        <is>
          <t>EC</t>
        </is>
      </c>
      <c r="C81" s="28" t="n">
        <v>2026</v>
      </c>
      <c r="D81" s="27" t="inlineStr">
        <is>
          <t>SITE05</t>
        </is>
      </c>
      <c r="E81" s="27" t="inlineStr">
        <is>
          <t>EQ2</t>
        </is>
      </c>
      <c r="F81" s="27" t="inlineStr">
        <is>
          <t>G-I-E2200</t>
        </is>
      </c>
      <c r="G81" s="27" t="n"/>
      <c r="H81" s="28" t="n">
        <v>42</v>
      </c>
      <c r="I81" s="29" t="n">
        <v>46048</v>
      </c>
      <c r="J81" s="27" t="n"/>
      <c r="K81" s="27" t="inlineStr">
        <is>
          <t>ZPR2</t>
        </is>
      </c>
      <c r="L81" s="27" t="inlineStr">
        <is>
          <t>PRE</t>
        </is>
      </c>
      <c r="M81" s="27" t="n"/>
      <c r="N81" s="27" t="inlineStr">
        <is>
          <t>Maintenance préventive fictive EC - poste G-I-E2200</t>
        </is>
      </c>
      <c r="O81" s="27" t="inlineStr">
        <is>
          <t>ACTI</t>
        </is>
      </c>
      <c r="P81" s="27" t="inlineStr">
        <is>
          <t>STAT_SYS_A</t>
        </is>
      </c>
      <c r="Q81" s="27" t="inlineStr">
        <is>
          <t>USER02</t>
        </is>
      </c>
      <c r="R81" s="30" t="n">
        <v>725</v>
      </c>
      <c r="S81" s="27" t="inlineStr">
        <is>
          <t>EQ2</t>
        </is>
      </c>
      <c r="T81" s="29" t="n">
        <v>46122</v>
      </c>
      <c r="U81" s="27" t="inlineStr">
        <is>
          <t>TECH-05</t>
        </is>
      </c>
      <c r="V81" s="27" t="inlineStr">
        <is>
          <t>G-I-E2200-VAN01</t>
        </is>
      </c>
      <c r="W81" s="27" t="inlineStr">
        <is>
          <t>Équipement fictif 05-2-2</t>
        </is>
      </c>
      <c r="X81" s="27" t="inlineStr">
        <is>
          <t>EQ-05-2-02</t>
        </is>
      </c>
      <c r="Y81" s="27" t="inlineStr">
        <is>
          <t>GG-PREV</t>
        </is>
      </c>
      <c r="Z81" s="27" t="inlineStr">
        <is>
          <t>2</t>
        </is>
      </c>
      <c r="AA81" s="29" t="n">
        <v>46110</v>
      </c>
      <c r="AB81" s="27" t="inlineStr">
        <is>
          <t>LIVRAISON</t>
        </is>
      </c>
      <c r="AC81" s="27" t="inlineStr">
        <is>
          <t>EC</t>
        </is>
      </c>
      <c r="AD81" s="28" t="n">
        <v>2</v>
      </c>
      <c r="AE81" s="28" t="n">
        <v>1</v>
      </c>
      <c r="AF81" s="28" t="n">
        <v>1</v>
      </c>
      <c r="AG81" s="27" t="n"/>
      <c r="AH81" s="27" t="n"/>
      <c r="AI81" s="27" t="inlineStr">
        <is>
          <t>Instantané de démonstration – MODELE_GMAO_PREV_ANONYMISE.csv</t>
        </is>
      </c>
      <c r="AJ81" s="31" t="n">
        <v>46309.50763888889</v>
      </c>
    </row>
    <row r="82">
      <c r="A82" s="27" t="inlineStr">
        <is>
          <t>910000042</t>
        </is>
      </c>
      <c r="B82" s="27" t="inlineStr">
        <is>
          <t>REV</t>
        </is>
      </c>
      <c r="C82" s="28" t="n">
        <v>2026</v>
      </c>
      <c r="D82" s="27" t="inlineStr">
        <is>
          <t>SITE05</t>
        </is>
      </c>
      <c r="E82" s="27" t="inlineStr">
        <is>
          <t>EQ2</t>
        </is>
      </c>
      <c r="F82" s="27" t="inlineStr">
        <is>
          <t>G-I-E2300</t>
        </is>
      </c>
      <c r="G82" s="27" t="n"/>
      <c r="H82" s="28" t="n">
        <v>43</v>
      </c>
      <c r="I82" s="29" t="n">
        <v>46072</v>
      </c>
      <c r="J82" s="27" t="n"/>
      <c r="K82" s="27" t="inlineStr">
        <is>
          <t>ZPR2</t>
        </is>
      </c>
      <c r="L82" s="27" t="inlineStr">
        <is>
          <t>PRE</t>
        </is>
      </c>
      <c r="M82" s="27" t="n"/>
      <c r="N82" s="27" t="inlineStr">
        <is>
          <t>Maintenance préventive fictive REV - poste G-I-E2300</t>
        </is>
      </c>
      <c r="O82" s="27" t="inlineStr">
        <is>
          <t>ACTI</t>
        </is>
      </c>
      <c r="P82" s="27" t="inlineStr">
        <is>
          <t>STAT_SYS_A</t>
        </is>
      </c>
      <c r="Q82" s="27" t="inlineStr">
        <is>
          <t>USER02</t>
        </is>
      </c>
      <c r="R82" s="30" t="n">
        <v>735</v>
      </c>
      <c r="S82" s="27" t="inlineStr">
        <is>
          <t>EQ2</t>
        </is>
      </c>
      <c r="T82" s="29" t="n">
        <v>46153</v>
      </c>
      <c r="U82" s="27" t="inlineStr">
        <is>
          <t>TECH-05</t>
        </is>
      </c>
      <c r="V82" s="27" t="inlineStr">
        <is>
          <t>G-I-E2300-REG01</t>
        </is>
      </c>
      <c r="W82" s="27" t="inlineStr">
        <is>
          <t>Équipement fictif 05-2-3</t>
        </is>
      </c>
      <c r="X82" s="27" t="inlineStr">
        <is>
          <t>EQ-05-2-03</t>
        </is>
      </c>
      <c r="Y82" s="27" t="inlineStr">
        <is>
          <t>GG-PREV</t>
        </is>
      </c>
      <c r="Z82" s="27" t="inlineStr">
        <is>
          <t>3</t>
        </is>
      </c>
      <c r="AA82" s="29" t="n">
        <v>46140</v>
      </c>
      <c r="AB82" s="27" t="inlineStr">
        <is>
          <t>DETENTE</t>
        </is>
      </c>
      <c r="AC82" s="27" t="inlineStr">
        <is>
          <t>REV</t>
        </is>
      </c>
      <c r="AD82" s="28" t="n">
        <v>5</v>
      </c>
      <c r="AE82" s="28" t="n">
        <v>1</v>
      </c>
      <c r="AF82" s="28" t="n">
        <v>1</v>
      </c>
      <c r="AG82" s="27" t="n"/>
      <c r="AH82" s="27" t="n"/>
      <c r="AI82" s="27" t="inlineStr">
        <is>
          <t>Instantané de démonstration – MODELE_GMAO_PREV_ANONYMISE.csv</t>
        </is>
      </c>
      <c r="AJ82" s="31" t="n">
        <v>46309.50763888889</v>
      </c>
    </row>
    <row r="83">
      <c r="A83" s="27" t="inlineStr">
        <is>
          <t>910000043</t>
        </is>
      </c>
      <c r="B83" s="27" t="inlineStr">
        <is>
          <t>EC</t>
        </is>
      </c>
      <c r="C83" s="28" t="n">
        <v>2026</v>
      </c>
      <c r="D83" s="27" t="inlineStr">
        <is>
          <t>SITE05</t>
        </is>
      </c>
      <c r="E83" s="27" t="inlineStr">
        <is>
          <t>EQ3</t>
        </is>
      </c>
      <c r="F83" s="27" t="inlineStr">
        <is>
          <t>G-I-E3100</t>
        </is>
      </c>
      <c r="G83" s="27" t="n"/>
      <c r="H83" s="28" t="n">
        <v>44</v>
      </c>
      <c r="I83" s="29" t="n">
        <v>46054</v>
      </c>
      <c r="J83" s="27" t="n"/>
      <c r="K83" s="27" t="inlineStr">
        <is>
          <t>ZPR2</t>
        </is>
      </c>
      <c r="L83" s="27" t="inlineStr">
        <is>
          <t>PRE</t>
        </is>
      </c>
      <c r="M83" s="27" t="n"/>
      <c r="N83" s="27" t="inlineStr">
        <is>
          <t>Maintenance préventive fictive EC - poste G-I-E3100</t>
        </is>
      </c>
      <c r="O83" s="27" t="inlineStr">
        <is>
          <t>ACTI</t>
        </is>
      </c>
      <c r="P83" s="27" t="inlineStr">
        <is>
          <t>STAT_SYS_A</t>
        </is>
      </c>
      <c r="Q83" s="27" t="inlineStr">
        <is>
          <t>USER03</t>
        </is>
      </c>
      <c r="R83" s="30" t="n">
        <v>755</v>
      </c>
      <c r="S83" s="27" t="inlineStr">
        <is>
          <t>EQ3</t>
        </is>
      </c>
      <c r="T83" s="29" t="n">
        <v>46121</v>
      </c>
      <c r="U83" s="27" t="inlineStr">
        <is>
          <t>TECH-05</t>
        </is>
      </c>
      <c r="V83" s="27" t="inlineStr">
        <is>
          <t>G-I-E3100-VAN01</t>
        </is>
      </c>
      <c r="W83" s="27" t="inlineStr">
        <is>
          <t>Équipement fictif 05-3-1</t>
        </is>
      </c>
      <c r="X83" s="27" t="inlineStr">
        <is>
          <t>EQ-05-3-01</t>
        </is>
      </c>
      <c r="Y83" s="27" t="inlineStr">
        <is>
          <t>GG-PREV</t>
        </is>
      </c>
      <c r="Z83" s="27" t="inlineStr">
        <is>
          <t>1</t>
        </is>
      </c>
      <c r="AA83" s="29" t="n">
        <v>46110</v>
      </c>
      <c r="AB83" s="27" t="inlineStr">
        <is>
          <t>FILTRE</t>
        </is>
      </c>
      <c r="AC83" s="27" t="inlineStr">
        <is>
          <t>EC</t>
        </is>
      </c>
      <c r="AD83" s="28" t="n">
        <v>2</v>
      </c>
      <c r="AE83" s="28" t="n">
        <v>1</v>
      </c>
      <c r="AF83" s="28" t="n">
        <v>1</v>
      </c>
      <c r="AG83" s="27" t="n"/>
      <c r="AH83" s="27" t="n"/>
      <c r="AI83" s="27" t="inlineStr">
        <is>
          <t>Instantané de démonstration – MODELE_GMAO_PREV_ANONYMISE.csv</t>
        </is>
      </c>
      <c r="AJ83" s="31" t="n">
        <v>46309.50763888889</v>
      </c>
    </row>
    <row r="84">
      <c r="A84" s="27" t="inlineStr">
        <is>
          <t>910000044</t>
        </is>
      </c>
      <c r="B84" s="27" t="inlineStr">
        <is>
          <t>REV</t>
        </is>
      </c>
      <c r="C84" s="28" t="n">
        <v>2026</v>
      </c>
      <c r="D84" s="27" t="inlineStr">
        <is>
          <t>SITE05</t>
        </is>
      </c>
      <c r="E84" s="27" t="inlineStr">
        <is>
          <t>EQ3</t>
        </is>
      </c>
      <c r="F84" s="27" t="inlineStr">
        <is>
          <t>G-I-E3200</t>
        </is>
      </c>
      <c r="G84" s="27" t="n"/>
      <c r="H84" s="28" t="n">
        <v>45</v>
      </c>
      <c r="I84" s="29" t="n">
        <v>46078</v>
      </c>
      <c r="J84" s="27" t="n"/>
      <c r="K84" s="27" t="inlineStr">
        <is>
          <t>ZPR2</t>
        </is>
      </c>
      <c r="L84" s="27" t="inlineStr">
        <is>
          <t>PRE</t>
        </is>
      </c>
      <c r="M84" s="27" t="n"/>
      <c r="N84" s="27" t="inlineStr">
        <is>
          <t>Maintenance préventive fictive REV - poste G-I-E3200</t>
        </is>
      </c>
      <c r="O84" s="27" t="inlineStr">
        <is>
          <t>ACTI</t>
        </is>
      </c>
      <c r="P84" s="27" t="inlineStr">
        <is>
          <t>STAT_SYS_A</t>
        </is>
      </c>
      <c r="Q84" s="27" t="inlineStr">
        <is>
          <t>USER03</t>
        </is>
      </c>
      <c r="R84" s="30" t="n">
        <v>765</v>
      </c>
      <c r="S84" s="27" t="inlineStr">
        <is>
          <t>EQ3</t>
        </is>
      </c>
      <c r="T84" s="29" t="n">
        <v>46152</v>
      </c>
      <c r="U84" s="27" t="inlineStr">
        <is>
          <t>TECH-05</t>
        </is>
      </c>
      <c r="V84" s="27" t="inlineStr">
        <is>
          <t>G-I-E3200-FILT01</t>
        </is>
      </c>
      <c r="W84" s="27" t="inlineStr">
        <is>
          <t>Équipement fictif 05-3-2</t>
        </is>
      </c>
      <c r="X84" s="27" t="inlineStr">
        <is>
          <t>EQ-05-3-02</t>
        </is>
      </c>
      <c r="Y84" s="27" t="inlineStr">
        <is>
          <t>GG-PREV</t>
        </is>
      </c>
      <c r="Z84" s="27" t="inlineStr">
        <is>
          <t>2</t>
        </is>
      </c>
      <c r="AA84" s="29" t="n">
        <v>46140</v>
      </c>
      <c r="AB84" s="27" t="inlineStr">
        <is>
          <t>LIVRAISON</t>
        </is>
      </c>
      <c r="AC84" s="27" t="inlineStr">
        <is>
          <t>REV</t>
        </is>
      </c>
      <c r="AD84" s="28" t="n">
        <v>5</v>
      </c>
      <c r="AE84" s="28" t="n">
        <v>1</v>
      </c>
      <c r="AF84" s="28" t="n">
        <v>1</v>
      </c>
      <c r="AG84" s="27" t="n"/>
      <c r="AH84" s="27" t="n"/>
      <c r="AI84" s="27" t="inlineStr">
        <is>
          <t>Instantané de démonstration – MODELE_GMAO_PREV_ANONYMISE.csv</t>
        </is>
      </c>
      <c r="AJ84" s="31" t="n">
        <v>46309.50763888889</v>
      </c>
    </row>
    <row r="85">
      <c r="A85" s="27" t="inlineStr">
        <is>
          <t>910000045</t>
        </is>
      </c>
      <c r="B85" s="27" t="inlineStr">
        <is>
          <t>EC</t>
        </is>
      </c>
      <c r="C85" s="28" t="n">
        <v>2026</v>
      </c>
      <c r="D85" s="27" t="inlineStr">
        <is>
          <t>SITE05</t>
        </is>
      </c>
      <c r="E85" s="27" t="inlineStr">
        <is>
          <t>EQ3</t>
        </is>
      </c>
      <c r="F85" s="27" t="inlineStr">
        <is>
          <t>G-I-E3300</t>
        </is>
      </c>
      <c r="G85" s="27" t="n"/>
      <c r="H85" s="28" t="n">
        <v>46</v>
      </c>
      <c r="I85" s="29" t="n">
        <v>46103</v>
      </c>
      <c r="J85" s="27" t="n"/>
      <c r="K85" s="27" t="inlineStr">
        <is>
          <t>ZPR2</t>
        </is>
      </c>
      <c r="L85" s="27" t="inlineStr">
        <is>
          <t>PRE</t>
        </is>
      </c>
      <c r="M85" s="27" t="n"/>
      <c r="N85" s="27" t="inlineStr">
        <is>
          <t>Maintenance préventive fictive EC+PIS - poste G-I-E3300</t>
        </is>
      </c>
      <c r="O85" s="27" t="inlineStr">
        <is>
          <t>TERM</t>
        </is>
      </c>
      <c r="P85" s="27" t="inlineStr">
        <is>
          <t>STAT_SYS_A</t>
        </is>
      </c>
      <c r="Q85" s="27" t="inlineStr">
        <is>
          <t>USER03</t>
        </is>
      </c>
      <c r="R85" s="30" t="n">
        <v>775</v>
      </c>
      <c r="S85" s="27" t="inlineStr">
        <is>
          <t>EQ3</t>
        </is>
      </c>
      <c r="T85" s="29" t="n">
        <v>46184</v>
      </c>
      <c r="U85" s="27" t="inlineStr">
        <is>
          <t>TECH-05</t>
        </is>
      </c>
      <c r="V85" s="27" t="inlineStr">
        <is>
          <t>G-I-E3300-REG01</t>
        </is>
      </c>
      <c r="W85" s="27" t="inlineStr">
        <is>
          <t>Équipement fictif 05-3-3</t>
        </is>
      </c>
      <c r="X85" s="27" t="inlineStr">
        <is>
          <t>EQ-05-3-03</t>
        </is>
      </c>
      <c r="Y85" s="27" t="inlineStr">
        <is>
          <t>GG-PREV</t>
        </is>
      </c>
      <c r="Z85" s="27" t="inlineStr">
        <is>
          <t>3</t>
        </is>
      </c>
      <c r="AA85" s="29" t="n">
        <v>46171</v>
      </c>
      <c r="AB85" s="27" t="inlineStr">
        <is>
          <t>DETENTE</t>
        </is>
      </c>
      <c r="AC85" s="27" t="inlineStr">
        <is>
          <t>EC+PIS</t>
        </is>
      </c>
      <c r="AD85" s="28" t="n">
        <v>2</v>
      </c>
      <c r="AE85" s="28" t="n">
        <v>1</v>
      </c>
      <c r="AF85" s="28" t="n">
        <v>1</v>
      </c>
      <c r="AG85" s="27" t="n"/>
      <c r="AH85" s="27" t="n"/>
      <c r="AI85" s="27" t="inlineStr">
        <is>
          <t>Instantané de démonstration – MODELE_GMAO_PREV_ANONYMISE.csv</t>
        </is>
      </c>
      <c r="AJ85" s="31" t="n">
        <v>46309.50763888889</v>
      </c>
    </row>
    <row r="86">
      <c r="A86" s="27" t="inlineStr">
        <is>
          <t>910000045</t>
        </is>
      </c>
      <c r="B86" s="27" t="inlineStr">
        <is>
          <t>PIS</t>
        </is>
      </c>
      <c r="C86" s="28" t="n">
        <v>2026</v>
      </c>
      <c r="D86" s="27" t="inlineStr">
        <is>
          <t>SITE05</t>
        </is>
      </c>
      <c r="E86" s="27" t="inlineStr">
        <is>
          <t>EQ3</t>
        </is>
      </c>
      <c r="F86" s="27" t="inlineStr">
        <is>
          <t>G-I-E3300</t>
        </is>
      </c>
      <c r="G86" s="27" t="n"/>
      <c r="H86" s="28" t="n">
        <v>46</v>
      </c>
      <c r="I86" s="29" t="n">
        <v>46103</v>
      </c>
      <c r="J86" s="27" t="n"/>
      <c r="K86" s="27" t="inlineStr">
        <is>
          <t>ZPR2</t>
        </is>
      </c>
      <c r="L86" s="27" t="inlineStr">
        <is>
          <t>PRE</t>
        </is>
      </c>
      <c r="M86" s="27" t="n"/>
      <c r="N86" s="27" t="inlineStr">
        <is>
          <t>Maintenance préventive fictive EC+PIS - poste G-I-E3300</t>
        </is>
      </c>
      <c r="O86" s="27" t="inlineStr">
        <is>
          <t>TERM</t>
        </is>
      </c>
      <c r="P86" s="27" t="inlineStr">
        <is>
          <t>STAT_SYS_A</t>
        </is>
      </c>
      <c r="Q86" s="27" t="inlineStr">
        <is>
          <t>USER03</t>
        </is>
      </c>
      <c r="R86" s="30" t="n">
        <v>775</v>
      </c>
      <c r="S86" s="27" t="inlineStr">
        <is>
          <t>EQ3</t>
        </is>
      </c>
      <c r="T86" s="29" t="n">
        <v>46184</v>
      </c>
      <c r="U86" s="27" t="inlineStr">
        <is>
          <t>TECH-05</t>
        </is>
      </c>
      <c r="V86" s="27" t="inlineStr">
        <is>
          <t>G-I-E3300-REG01</t>
        </is>
      </c>
      <c r="W86" s="27" t="inlineStr">
        <is>
          <t>Équipement fictif 05-3-3</t>
        </is>
      </c>
      <c r="X86" s="27" t="inlineStr">
        <is>
          <t>EQ-05-3-03</t>
        </is>
      </c>
      <c r="Y86" s="27" t="inlineStr">
        <is>
          <t>GG-PREV</t>
        </is>
      </c>
      <c r="Z86" s="27" t="inlineStr">
        <is>
          <t>3</t>
        </is>
      </c>
      <c r="AA86" s="29" t="n">
        <v>46171</v>
      </c>
      <c r="AB86" s="27" t="inlineStr">
        <is>
          <t>DETENTE</t>
        </is>
      </c>
      <c r="AC86" s="27" t="inlineStr">
        <is>
          <t>EC+PIS</t>
        </is>
      </c>
      <c r="AD86" s="28" t="n">
        <v>1</v>
      </c>
      <c r="AE86" s="28" t="n">
        <v>1</v>
      </c>
      <c r="AF86" s="28" t="n">
        <v>1</v>
      </c>
      <c r="AG86" s="27" t="n"/>
      <c r="AH86" s="27" t="n"/>
      <c r="AI86" s="27" t="inlineStr">
        <is>
          <t>Instantané de démonstration – MODELE_GMAO_PREV_ANONYMISE.csv</t>
        </is>
      </c>
      <c r="AJ86" s="31" t="n">
        <v>46309.50763888889</v>
      </c>
    </row>
    <row r="87">
      <c r="A87" s="27" t="inlineStr">
        <is>
          <t>910000046</t>
        </is>
      </c>
      <c r="B87" s="27" t="inlineStr">
        <is>
          <t>PIS</t>
        </is>
      </c>
      <c r="C87" s="28" t="n">
        <v>2026</v>
      </c>
      <c r="D87" s="27" t="inlineStr">
        <is>
          <t>SITE06</t>
        </is>
      </c>
      <c r="E87" s="27" t="inlineStr">
        <is>
          <t>EQ1</t>
        </is>
      </c>
      <c r="F87" s="27" t="inlineStr">
        <is>
          <t>G-I-F1100</t>
        </is>
      </c>
      <c r="G87" s="27" t="n"/>
      <c r="H87" s="28" t="n">
        <v>47</v>
      </c>
      <c r="I87" s="29" t="n">
        <v>45996</v>
      </c>
      <c r="J87" s="27" t="n"/>
      <c r="K87" s="27" t="inlineStr">
        <is>
          <t>ZPR2</t>
        </is>
      </c>
      <c r="L87" s="27" t="inlineStr">
        <is>
          <t>PRE</t>
        </is>
      </c>
      <c r="M87" s="27" t="n"/>
      <c r="N87" s="27" t="inlineStr">
        <is>
          <t>Maintenance préventive fictive PIS - poste G-I-F1100</t>
        </is>
      </c>
      <c r="O87" s="27" t="inlineStr">
        <is>
          <t>ACTI</t>
        </is>
      </c>
      <c r="P87" s="27" t="inlineStr">
        <is>
          <t>STAT_SYS_A</t>
        </is>
      </c>
      <c r="Q87" s="27" t="inlineStr">
        <is>
          <t>USER01</t>
        </is>
      </c>
      <c r="R87" s="30" t="n">
        <v>800</v>
      </c>
      <c r="S87" s="27" t="inlineStr">
        <is>
          <t>EQ1</t>
        </is>
      </c>
      <c r="T87" s="29" t="n">
        <v>46063</v>
      </c>
      <c r="U87" s="27" t="inlineStr">
        <is>
          <t>TECH-06</t>
        </is>
      </c>
      <c r="V87" s="27" t="inlineStr">
        <is>
          <t>G-I-F1100-FILT01</t>
        </is>
      </c>
      <c r="W87" s="27" t="inlineStr">
        <is>
          <t>Équipement fictif 06-1-1</t>
        </is>
      </c>
      <c r="X87" s="27" t="inlineStr">
        <is>
          <t>EQ-06-1-01</t>
        </is>
      </c>
      <c r="Y87" s="27" t="inlineStr">
        <is>
          <t>GG-PREV</t>
        </is>
      </c>
      <c r="Z87" s="27" t="inlineStr">
        <is>
          <t>1</t>
        </is>
      </c>
      <c r="AA87" s="29" t="n">
        <v>46052</v>
      </c>
      <c r="AB87" s="27" t="inlineStr">
        <is>
          <t>LIVRAISON</t>
        </is>
      </c>
      <c r="AC87" s="27" t="inlineStr">
        <is>
          <t>PIS</t>
        </is>
      </c>
      <c r="AD87" s="28" t="n">
        <v>1</v>
      </c>
      <c r="AE87" s="28" t="n">
        <v>1</v>
      </c>
      <c r="AF87" s="28" t="n">
        <v>1</v>
      </c>
      <c r="AG87" s="27" t="n"/>
      <c r="AH87" s="27" t="n"/>
      <c r="AI87" s="27" t="inlineStr">
        <is>
          <t>Instantané de démonstration – MODELE_GMAO_PREV_ANONYMISE.csv</t>
        </is>
      </c>
      <c r="AJ87" s="31" t="n">
        <v>46309.50763888889</v>
      </c>
    </row>
    <row r="88">
      <c r="A88" s="27" t="inlineStr">
        <is>
          <t>910000047</t>
        </is>
      </c>
      <c r="B88" s="27" t="inlineStr">
        <is>
          <t>EC</t>
        </is>
      </c>
      <c r="C88" s="28" t="n">
        <v>2026</v>
      </c>
      <c r="D88" s="27" t="inlineStr">
        <is>
          <t>SITE06</t>
        </is>
      </c>
      <c r="E88" s="27" t="inlineStr">
        <is>
          <t>EQ1</t>
        </is>
      </c>
      <c r="F88" s="27" t="inlineStr">
        <is>
          <t>G-I-F1200</t>
        </is>
      </c>
      <c r="G88" s="27" t="n"/>
      <c r="H88" s="28" t="n">
        <v>48</v>
      </c>
      <c r="I88" s="29" t="n">
        <v>46018</v>
      </c>
      <c r="J88" s="27" t="n"/>
      <c r="K88" s="27" t="inlineStr">
        <is>
          <t>ZPR2</t>
        </is>
      </c>
      <c r="L88" s="27" t="inlineStr">
        <is>
          <t>PRE</t>
        </is>
      </c>
      <c r="M88" s="27" t="n"/>
      <c r="N88" s="27" t="inlineStr">
        <is>
          <t>Maintenance préventive fictive EC - poste G-I-F1200</t>
        </is>
      </c>
      <c r="O88" s="27" t="inlineStr">
        <is>
          <t>TERM</t>
        </is>
      </c>
      <c r="P88" s="27" t="inlineStr">
        <is>
          <t>STAT_SYS_A</t>
        </is>
      </c>
      <c r="Q88" s="27" t="inlineStr">
        <is>
          <t>USER01</t>
        </is>
      </c>
      <c r="R88" s="30" t="n">
        <v>810</v>
      </c>
      <c r="S88" s="27" t="inlineStr">
        <is>
          <t>EQ1</t>
        </is>
      </c>
      <c r="T88" s="29" t="n">
        <v>46092</v>
      </c>
      <c r="U88" s="27" t="inlineStr">
        <is>
          <t>TECH-06</t>
        </is>
      </c>
      <c r="V88" s="27" t="inlineStr">
        <is>
          <t>G-I-F1200-REG01</t>
        </is>
      </c>
      <c r="W88" s="27" t="inlineStr">
        <is>
          <t>Équipement fictif 06-1-2</t>
        </is>
      </c>
      <c r="X88" s="27" t="inlineStr">
        <is>
          <t>EQ-06-1-02</t>
        </is>
      </c>
      <c r="Y88" s="27" t="inlineStr">
        <is>
          <t>GG-PREV</t>
        </is>
      </c>
      <c r="Z88" s="27" t="inlineStr">
        <is>
          <t>2</t>
        </is>
      </c>
      <c r="AA88" s="29" t="n">
        <v>46080</v>
      </c>
      <c r="AB88" s="27" t="inlineStr">
        <is>
          <t>DETENTE</t>
        </is>
      </c>
      <c r="AC88" s="27" t="inlineStr">
        <is>
          <t>EC</t>
        </is>
      </c>
      <c r="AD88" s="28" t="n">
        <v>2</v>
      </c>
      <c r="AE88" s="28" t="n">
        <v>1</v>
      </c>
      <c r="AF88" s="28" t="n">
        <v>1</v>
      </c>
      <c r="AG88" s="27" t="n"/>
      <c r="AH88" s="27" t="n"/>
      <c r="AI88" s="27" t="inlineStr">
        <is>
          <t>Instantané de démonstration – MODELE_GMAO_PREV_ANONYMISE.csv</t>
        </is>
      </c>
      <c r="AJ88" s="31" t="n">
        <v>46309.50763888889</v>
      </c>
    </row>
    <row r="89">
      <c r="A89" s="27" t="inlineStr">
        <is>
          <t>910000048</t>
        </is>
      </c>
      <c r="B89" s="27" t="inlineStr">
        <is>
          <t>REV</t>
        </is>
      </c>
      <c r="C89" s="28" t="n">
        <v>2026</v>
      </c>
      <c r="D89" s="27" t="inlineStr">
        <is>
          <t>SITE06</t>
        </is>
      </c>
      <c r="E89" s="27" t="inlineStr">
        <is>
          <t>EQ1</t>
        </is>
      </c>
      <c r="F89" s="27" t="inlineStr">
        <is>
          <t>G-I-F1300</t>
        </is>
      </c>
      <c r="G89" s="27" t="n"/>
      <c r="H89" s="28" t="n">
        <v>49</v>
      </c>
      <c r="I89" s="29" t="n">
        <v>46043</v>
      </c>
      <c r="J89" s="27" t="n"/>
      <c r="K89" s="27" t="inlineStr">
        <is>
          <t>ZPR2</t>
        </is>
      </c>
      <c r="L89" s="27" t="inlineStr">
        <is>
          <t>PRE</t>
        </is>
      </c>
      <c r="M89" s="27" t="n"/>
      <c r="N89" s="27" t="inlineStr">
        <is>
          <t>Maintenance préventive fictive REV - poste G-I-F1300</t>
        </is>
      </c>
      <c r="O89" s="27" t="inlineStr">
        <is>
          <t>ACTI</t>
        </is>
      </c>
      <c r="P89" s="27" t="inlineStr">
        <is>
          <t>STAT_SYS_A</t>
        </is>
      </c>
      <c r="Q89" s="27" t="inlineStr">
        <is>
          <t>USER01</t>
        </is>
      </c>
      <c r="R89" s="30" t="n">
        <v>820</v>
      </c>
      <c r="S89" s="27" t="inlineStr">
        <is>
          <t>EQ1</t>
        </is>
      </c>
      <c r="T89" s="29" t="n">
        <v>46124</v>
      </c>
      <c r="U89" s="27" t="inlineStr">
        <is>
          <t>TECH-06</t>
        </is>
      </c>
      <c r="V89" s="27" t="inlineStr">
        <is>
          <t>G-I-F1300-VAN01</t>
        </is>
      </c>
      <c r="W89" s="27" t="inlineStr">
        <is>
          <t>Équipement fictif 06-1-3</t>
        </is>
      </c>
      <c r="X89" s="27" t="inlineStr">
        <is>
          <t>EQ-06-1-03</t>
        </is>
      </c>
      <c r="Y89" s="27" t="inlineStr">
        <is>
          <t>GG-PREV</t>
        </is>
      </c>
      <c r="Z89" s="27" t="inlineStr">
        <is>
          <t>3</t>
        </is>
      </c>
      <c r="AA89" s="29" t="n">
        <v>46111</v>
      </c>
      <c r="AB89" s="27" t="inlineStr">
        <is>
          <t>COUPURE</t>
        </is>
      </c>
      <c r="AC89" s="27" t="inlineStr">
        <is>
          <t>REV</t>
        </is>
      </c>
      <c r="AD89" s="28" t="n">
        <v>5</v>
      </c>
      <c r="AE89" s="28" t="n">
        <v>1</v>
      </c>
      <c r="AF89" s="28" t="n">
        <v>1</v>
      </c>
      <c r="AG89" s="27" t="n"/>
      <c r="AH89" s="27" t="n"/>
      <c r="AI89" s="27" t="inlineStr">
        <is>
          <t>Instantané de démonstration – MODELE_GMAO_PREV_ANONYMISE.csv</t>
        </is>
      </c>
      <c r="AJ89" s="31" t="n">
        <v>46309.50763888889</v>
      </c>
    </row>
    <row r="90">
      <c r="A90" s="27" t="inlineStr">
        <is>
          <t>910000049</t>
        </is>
      </c>
      <c r="B90" s="27" t="inlineStr">
        <is>
          <t>EC</t>
        </is>
      </c>
      <c r="C90" s="28" t="n">
        <v>2026</v>
      </c>
      <c r="D90" s="27" t="inlineStr">
        <is>
          <t>SITE06</t>
        </is>
      </c>
      <c r="E90" s="27" t="inlineStr">
        <is>
          <t>EQ2</t>
        </is>
      </c>
      <c r="F90" s="27" t="inlineStr">
        <is>
          <t>G-I-F2100</t>
        </is>
      </c>
      <c r="G90" s="27" t="n"/>
      <c r="H90" s="28" t="n">
        <v>50</v>
      </c>
      <c r="I90" s="29" t="n">
        <v>46024</v>
      </c>
      <c r="J90" s="27" t="n"/>
      <c r="K90" s="27" t="inlineStr">
        <is>
          <t>ZPR2</t>
        </is>
      </c>
      <c r="L90" s="27" t="inlineStr">
        <is>
          <t>PRE</t>
        </is>
      </c>
      <c r="M90" s="27" t="n"/>
      <c r="N90" s="27" t="inlineStr">
        <is>
          <t>Maintenance préventive fictive EC - poste G-I-F2100</t>
        </is>
      </c>
      <c r="O90" s="27" t="inlineStr">
        <is>
          <t>TERM</t>
        </is>
      </c>
      <c r="P90" s="27" t="inlineStr">
        <is>
          <t>STAT_SYS_A</t>
        </is>
      </c>
      <c r="Q90" s="27" t="inlineStr">
        <is>
          <t>USER02</t>
        </is>
      </c>
      <c r="R90" s="30" t="n">
        <v>840</v>
      </c>
      <c r="S90" s="27" t="inlineStr">
        <is>
          <t>EQ2</t>
        </is>
      </c>
      <c r="T90" s="29" t="n">
        <v>46091</v>
      </c>
      <c r="U90" s="27" t="inlineStr">
        <is>
          <t>TECH-06</t>
        </is>
      </c>
      <c r="V90" s="27" t="inlineStr">
        <is>
          <t>G-I-F2100-REG01</t>
        </is>
      </c>
      <c r="W90" s="27" t="inlineStr">
        <is>
          <t>Équipement fictif 06-2-1</t>
        </is>
      </c>
      <c r="X90" s="27" t="inlineStr">
        <is>
          <t>EQ-06-2-01</t>
        </is>
      </c>
      <c r="Y90" s="27" t="inlineStr">
        <is>
          <t>GG-PREV</t>
        </is>
      </c>
      <c r="Z90" s="27" t="inlineStr">
        <is>
          <t>1</t>
        </is>
      </c>
      <c r="AA90" s="29" t="n">
        <v>46080</v>
      </c>
      <c r="AB90" s="27" t="inlineStr">
        <is>
          <t>LIVRAISON</t>
        </is>
      </c>
      <c r="AC90" s="27" t="inlineStr">
        <is>
          <t>EC</t>
        </is>
      </c>
      <c r="AD90" s="28" t="n">
        <v>2</v>
      </c>
      <c r="AE90" s="28" t="n">
        <v>1</v>
      </c>
      <c r="AF90" s="28" t="n">
        <v>1</v>
      </c>
      <c r="AG90" s="27" t="n"/>
      <c r="AH90" s="27" t="n"/>
      <c r="AI90" s="27" t="inlineStr">
        <is>
          <t>Instantané de démonstration – MODELE_GMAO_PREV_ANONYMISE.csv</t>
        </is>
      </c>
      <c r="AJ90" s="31" t="n">
        <v>46309.50763888889</v>
      </c>
    </row>
    <row r="91">
      <c r="A91" s="27" t="inlineStr">
        <is>
          <t>910000050</t>
        </is>
      </c>
      <c r="B91" s="27" t="inlineStr">
        <is>
          <t>REV</t>
        </is>
      </c>
      <c r="C91" s="28" t="n">
        <v>2026</v>
      </c>
      <c r="D91" s="27" t="inlineStr">
        <is>
          <t>SITE06</t>
        </is>
      </c>
      <c r="E91" s="27" t="inlineStr">
        <is>
          <t>EQ2</t>
        </is>
      </c>
      <c r="F91" s="27" t="inlineStr">
        <is>
          <t>G-I-F2200</t>
        </is>
      </c>
      <c r="G91" s="27" t="n"/>
      <c r="H91" s="28" t="n">
        <v>51</v>
      </c>
      <c r="I91" s="29" t="n">
        <v>46049</v>
      </c>
      <c r="J91" s="27" t="n"/>
      <c r="K91" s="27" t="inlineStr">
        <is>
          <t>ZPR2</t>
        </is>
      </c>
      <c r="L91" s="27" t="inlineStr">
        <is>
          <t>PRE</t>
        </is>
      </c>
      <c r="M91" s="27" t="n"/>
      <c r="N91" s="27" t="inlineStr">
        <is>
          <t>Maintenance préventive fictive REV - poste G-I-F2200</t>
        </is>
      </c>
      <c r="O91" s="27" t="inlineStr">
        <is>
          <t>ACTI</t>
        </is>
      </c>
      <c r="P91" s="27" t="inlineStr">
        <is>
          <t>STAT_SYS_A</t>
        </is>
      </c>
      <c r="Q91" s="27" t="inlineStr">
        <is>
          <t>USER02</t>
        </is>
      </c>
      <c r="R91" s="30" t="n">
        <v>850</v>
      </c>
      <c r="S91" s="27" t="inlineStr">
        <is>
          <t>EQ2</t>
        </is>
      </c>
      <c r="T91" s="29" t="n">
        <v>46123</v>
      </c>
      <c r="U91" s="27" t="inlineStr">
        <is>
          <t>TECH-06</t>
        </is>
      </c>
      <c r="V91" s="27" t="inlineStr">
        <is>
          <t>G-I-F2200-REG01</t>
        </is>
      </c>
      <c r="W91" s="27" t="inlineStr">
        <is>
          <t>Équipement fictif 06-2-2</t>
        </is>
      </c>
      <c r="X91" s="27" t="inlineStr">
        <is>
          <t>EQ-06-2-02</t>
        </is>
      </c>
      <c r="Y91" s="27" t="inlineStr">
        <is>
          <t>GG-PREV</t>
        </is>
      </c>
      <c r="Z91" s="27" t="inlineStr">
        <is>
          <t>2</t>
        </is>
      </c>
      <c r="AA91" s="29" t="n">
        <v>46111</v>
      </c>
      <c r="AB91" s="27" t="inlineStr">
        <is>
          <t>DETENTE</t>
        </is>
      </c>
      <c r="AC91" s="27" t="inlineStr">
        <is>
          <t>REV</t>
        </is>
      </c>
      <c r="AD91" s="28" t="n">
        <v>5</v>
      </c>
      <c r="AE91" s="28" t="n">
        <v>1</v>
      </c>
      <c r="AF91" s="28" t="n">
        <v>1</v>
      </c>
      <c r="AG91" s="27" t="n"/>
      <c r="AH91" s="27" t="n"/>
      <c r="AI91" s="27" t="inlineStr">
        <is>
          <t>Instantané de démonstration – MODELE_GMAO_PREV_ANONYMISE.csv</t>
        </is>
      </c>
      <c r="AJ91" s="31" t="n">
        <v>46309.50763888889</v>
      </c>
    </row>
    <row r="92">
      <c r="A92" s="27" t="inlineStr">
        <is>
          <t>910000051</t>
        </is>
      </c>
      <c r="B92" s="27" t="inlineStr">
        <is>
          <t>EC</t>
        </is>
      </c>
      <c r="C92" s="28" t="n">
        <v>2026</v>
      </c>
      <c r="D92" s="27" t="inlineStr">
        <is>
          <t>SITE06</t>
        </is>
      </c>
      <c r="E92" s="27" t="inlineStr">
        <is>
          <t>EQ2</t>
        </is>
      </c>
      <c r="F92" s="27" t="inlineStr">
        <is>
          <t>G-I-F2300</t>
        </is>
      </c>
      <c r="G92" s="27" t="n"/>
      <c r="H92" s="28" t="n">
        <v>52</v>
      </c>
      <c r="I92" s="29" t="n">
        <v>46073</v>
      </c>
      <c r="J92" s="27" t="n"/>
      <c r="K92" s="27" t="inlineStr">
        <is>
          <t>ZPR2</t>
        </is>
      </c>
      <c r="L92" s="27" t="inlineStr">
        <is>
          <t>PRE</t>
        </is>
      </c>
      <c r="M92" s="27" t="n"/>
      <c r="N92" s="27" t="inlineStr">
        <is>
          <t>Maintenance préventive fictive EC+PIS - poste G-I-F2300</t>
        </is>
      </c>
      <c r="O92" s="27" t="inlineStr">
        <is>
          <t>ACTI</t>
        </is>
      </c>
      <c r="P92" s="27" t="inlineStr">
        <is>
          <t>STAT_SYS_A</t>
        </is>
      </c>
      <c r="Q92" s="27" t="inlineStr">
        <is>
          <t>USER02</t>
        </is>
      </c>
      <c r="R92" s="30" t="n">
        <v>860</v>
      </c>
      <c r="S92" s="27" t="inlineStr">
        <is>
          <t>EQ2</t>
        </is>
      </c>
      <c r="T92" s="29" t="n">
        <v>46154</v>
      </c>
      <c r="U92" s="27" t="inlineStr">
        <is>
          <t>TECH-06</t>
        </is>
      </c>
      <c r="V92" s="27" t="inlineStr">
        <is>
          <t>G-I-F2300-VAN01</t>
        </is>
      </c>
      <c r="W92" s="27" t="inlineStr">
        <is>
          <t>Équipement fictif 06-2-3</t>
        </is>
      </c>
      <c r="X92" s="27" t="inlineStr">
        <is>
          <t>EQ-06-2-03</t>
        </is>
      </c>
      <c r="Y92" s="27" t="inlineStr">
        <is>
          <t>GG-PREV</t>
        </is>
      </c>
      <c r="Z92" s="27" t="inlineStr">
        <is>
          <t>3</t>
        </is>
      </c>
      <c r="AA92" s="29" t="n">
        <v>46141</v>
      </c>
      <c r="AB92" s="27" t="inlineStr">
        <is>
          <t>COUPURE</t>
        </is>
      </c>
      <c r="AC92" s="27" t="inlineStr">
        <is>
          <t>EC+PIS</t>
        </is>
      </c>
      <c r="AD92" s="28" t="n">
        <v>2</v>
      </c>
      <c r="AE92" s="28" t="n">
        <v>1</v>
      </c>
      <c r="AF92" s="28" t="n">
        <v>1</v>
      </c>
      <c r="AG92" s="27" t="n"/>
      <c r="AH92" s="27" t="n"/>
      <c r="AI92" s="27" t="inlineStr">
        <is>
          <t>Instantané de démonstration – MODELE_GMAO_PREV_ANONYMISE.csv</t>
        </is>
      </c>
      <c r="AJ92" s="31" t="n">
        <v>46309.50763888889</v>
      </c>
    </row>
    <row r="93">
      <c r="A93" s="27" t="inlineStr">
        <is>
          <t>910000051</t>
        </is>
      </c>
      <c r="B93" s="27" t="inlineStr">
        <is>
          <t>PIS</t>
        </is>
      </c>
      <c r="C93" s="28" t="n">
        <v>2026</v>
      </c>
      <c r="D93" s="27" t="inlineStr">
        <is>
          <t>SITE06</t>
        </is>
      </c>
      <c r="E93" s="27" t="inlineStr">
        <is>
          <t>EQ2</t>
        </is>
      </c>
      <c r="F93" s="27" t="inlineStr">
        <is>
          <t>G-I-F2300</t>
        </is>
      </c>
      <c r="G93" s="27" t="n"/>
      <c r="H93" s="28" t="n">
        <v>52</v>
      </c>
      <c r="I93" s="29" t="n">
        <v>46073</v>
      </c>
      <c r="J93" s="27" t="n"/>
      <c r="K93" s="27" t="inlineStr">
        <is>
          <t>ZPR2</t>
        </is>
      </c>
      <c r="L93" s="27" t="inlineStr">
        <is>
          <t>PRE</t>
        </is>
      </c>
      <c r="M93" s="27" t="n"/>
      <c r="N93" s="27" t="inlineStr">
        <is>
          <t>Maintenance préventive fictive EC+PIS - poste G-I-F2300</t>
        </is>
      </c>
      <c r="O93" s="27" t="inlineStr">
        <is>
          <t>ACTI</t>
        </is>
      </c>
      <c r="P93" s="27" t="inlineStr">
        <is>
          <t>STAT_SYS_A</t>
        </is>
      </c>
      <c r="Q93" s="27" t="inlineStr">
        <is>
          <t>USER02</t>
        </is>
      </c>
      <c r="R93" s="30" t="n">
        <v>860</v>
      </c>
      <c r="S93" s="27" t="inlineStr">
        <is>
          <t>EQ2</t>
        </is>
      </c>
      <c r="T93" s="29" t="n">
        <v>46154</v>
      </c>
      <c r="U93" s="27" t="inlineStr">
        <is>
          <t>TECH-06</t>
        </is>
      </c>
      <c r="V93" s="27" t="inlineStr">
        <is>
          <t>G-I-F2300-VAN01</t>
        </is>
      </c>
      <c r="W93" s="27" t="inlineStr">
        <is>
          <t>Équipement fictif 06-2-3</t>
        </is>
      </c>
      <c r="X93" s="27" t="inlineStr">
        <is>
          <t>EQ-06-2-03</t>
        </is>
      </c>
      <c r="Y93" s="27" t="inlineStr">
        <is>
          <t>GG-PREV</t>
        </is>
      </c>
      <c r="Z93" s="27" t="inlineStr">
        <is>
          <t>3</t>
        </is>
      </c>
      <c r="AA93" s="29" t="n">
        <v>46141</v>
      </c>
      <c r="AB93" s="27" t="inlineStr">
        <is>
          <t>COUPURE</t>
        </is>
      </c>
      <c r="AC93" s="27" t="inlineStr">
        <is>
          <t>EC+PIS</t>
        </is>
      </c>
      <c r="AD93" s="28" t="n">
        <v>1</v>
      </c>
      <c r="AE93" s="28" t="n">
        <v>1</v>
      </c>
      <c r="AF93" s="28" t="n">
        <v>1</v>
      </c>
      <c r="AG93" s="27" t="n"/>
      <c r="AH93" s="27" t="n"/>
      <c r="AI93" s="27" t="inlineStr">
        <is>
          <t>Instantané de démonstration – MODELE_GMAO_PREV_ANONYMISE.csv</t>
        </is>
      </c>
      <c r="AJ93" s="31" t="n">
        <v>46309.50763888889</v>
      </c>
    </row>
    <row r="94">
      <c r="A94" s="27" t="inlineStr">
        <is>
          <t>910000052</t>
        </is>
      </c>
      <c r="B94" s="27" t="inlineStr">
        <is>
          <t>REV</t>
        </is>
      </c>
      <c r="C94" s="28" t="n">
        <v>2026</v>
      </c>
      <c r="D94" s="27" t="inlineStr">
        <is>
          <t>SITE06</t>
        </is>
      </c>
      <c r="E94" s="27" t="inlineStr">
        <is>
          <t>EQ3</t>
        </is>
      </c>
      <c r="F94" s="27" t="inlineStr">
        <is>
          <t>G-I-F3100</t>
        </is>
      </c>
      <c r="G94" s="27" t="n"/>
      <c r="H94" s="28" t="n">
        <v>53</v>
      </c>
      <c r="I94" s="29" t="n">
        <v>46055</v>
      </c>
      <c r="J94" s="27" t="n"/>
      <c r="K94" s="27" t="inlineStr">
        <is>
          <t>ZPR2</t>
        </is>
      </c>
      <c r="L94" s="27" t="inlineStr">
        <is>
          <t>PRE</t>
        </is>
      </c>
      <c r="M94" s="27" t="n"/>
      <c r="N94" s="27" t="inlineStr">
        <is>
          <t>Maintenance préventive fictive REV - poste G-I-F3100</t>
        </is>
      </c>
      <c r="O94" s="27" t="inlineStr">
        <is>
          <t>ACTI</t>
        </is>
      </c>
      <c r="P94" s="27" t="inlineStr">
        <is>
          <t>STAT_SYS_A</t>
        </is>
      </c>
      <c r="Q94" s="27" t="inlineStr">
        <is>
          <t>USER03</t>
        </is>
      </c>
      <c r="R94" s="30" t="n">
        <v>880</v>
      </c>
      <c r="S94" s="27" t="inlineStr">
        <is>
          <t>EQ3</t>
        </is>
      </c>
      <c r="T94" s="29" t="n">
        <v>46122</v>
      </c>
      <c r="U94" s="27" t="inlineStr">
        <is>
          <t>TECH-06</t>
        </is>
      </c>
      <c r="V94" s="27" t="inlineStr">
        <is>
          <t>G-I-F3100-REG01</t>
        </is>
      </c>
      <c r="W94" s="27" t="inlineStr">
        <is>
          <t>Équipement fictif 06-3-1</t>
        </is>
      </c>
      <c r="X94" s="27" t="inlineStr">
        <is>
          <t>EQ-06-3-01</t>
        </is>
      </c>
      <c r="Y94" s="27" t="inlineStr">
        <is>
          <t>GG-PREV</t>
        </is>
      </c>
      <c r="Z94" s="27" t="inlineStr">
        <is>
          <t>1</t>
        </is>
      </c>
      <c r="AA94" s="29" t="n">
        <v>46111</v>
      </c>
      <c r="AB94" s="27" t="inlineStr">
        <is>
          <t>LIVRAISON</t>
        </is>
      </c>
      <c r="AC94" s="27" t="inlineStr">
        <is>
          <t>REV</t>
        </is>
      </c>
      <c r="AD94" s="28" t="n">
        <v>5</v>
      </c>
      <c r="AE94" s="28" t="n">
        <v>1</v>
      </c>
      <c r="AF94" s="28" t="n">
        <v>1</v>
      </c>
      <c r="AG94" s="27" t="n"/>
      <c r="AH94" s="27" t="n"/>
      <c r="AI94" s="27" t="inlineStr">
        <is>
          <t>Instantané de démonstration – MODELE_GMAO_PREV_ANONYMISE.csv</t>
        </is>
      </c>
      <c r="AJ94" s="31" t="n">
        <v>46309.50763888889</v>
      </c>
    </row>
    <row r="95">
      <c r="A95" s="27" t="inlineStr">
        <is>
          <t>910000053</t>
        </is>
      </c>
      <c r="B95" s="27" t="inlineStr">
        <is>
          <t>EC</t>
        </is>
      </c>
      <c r="C95" s="28" t="n">
        <v>2026</v>
      </c>
      <c r="D95" s="27" t="inlineStr">
        <is>
          <t>SITE06</t>
        </is>
      </c>
      <c r="E95" s="27" t="inlineStr">
        <is>
          <t>EQ3</t>
        </is>
      </c>
      <c r="F95" s="27" t="inlineStr">
        <is>
          <t>G-I-F3200</t>
        </is>
      </c>
      <c r="G95" s="27" t="n"/>
      <c r="H95" s="28" t="n">
        <v>54</v>
      </c>
      <c r="I95" s="29" t="n">
        <v>46079</v>
      </c>
      <c r="J95" s="27" t="n"/>
      <c r="K95" s="27" t="inlineStr">
        <is>
          <t>ZPR2</t>
        </is>
      </c>
      <c r="L95" s="27" t="inlineStr">
        <is>
          <t>PRE</t>
        </is>
      </c>
      <c r="M95" s="27" t="n"/>
      <c r="N95" s="27" t="inlineStr">
        <is>
          <t>Maintenance préventive fictive EC+PIS - poste G-I-F3200</t>
        </is>
      </c>
      <c r="O95" s="27" t="inlineStr">
        <is>
          <t>ACTI</t>
        </is>
      </c>
      <c r="P95" s="27" t="inlineStr">
        <is>
          <t>STAT_SYS_A</t>
        </is>
      </c>
      <c r="Q95" s="27" t="inlineStr">
        <is>
          <t>USER03</t>
        </is>
      </c>
      <c r="R95" s="30" t="n">
        <v>890</v>
      </c>
      <c r="S95" s="27" t="inlineStr">
        <is>
          <t>EQ3</t>
        </is>
      </c>
      <c r="T95" s="29" t="n">
        <v>46153</v>
      </c>
      <c r="U95" s="27" t="inlineStr">
        <is>
          <t>TECH-06</t>
        </is>
      </c>
      <c r="V95" s="27" t="inlineStr">
        <is>
          <t>G-I-F3200-VAN01</t>
        </is>
      </c>
      <c r="W95" s="27" t="inlineStr">
        <is>
          <t>Équipement fictif 06-3-2</t>
        </is>
      </c>
      <c r="X95" s="27" t="inlineStr">
        <is>
          <t>EQ-06-3-02</t>
        </is>
      </c>
      <c r="Y95" s="27" t="inlineStr">
        <is>
          <t>GG-PREV</t>
        </is>
      </c>
      <c r="Z95" s="27" t="inlineStr">
        <is>
          <t>2</t>
        </is>
      </c>
      <c r="AA95" s="29" t="n">
        <v>46141</v>
      </c>
      <c r="AB95" s="27" t="inlineStr">
        <is>
          <t>DETENTE</t>
        </is>
      </c>
      <c r="AC95" s="27" t="inlineStr">
        <is>
          <t>EC+PIS</t>
        </is>
      </c>
      <c r="AD95" s="28" t="n">
        <v>2</v>
      </c>
      <c r="AE95" s="28" t="n">
        <v>1</v>
      </c>
      <c r="AF95" s="28" t="n">
        <v>1</v>
      </c>
      <c r="AG95" s="27" t="n"/>
      <c r="AH95" s="27" t="n"/>
      <c r="AI95" s="27" t="inlineStr">
        <is>
          <t>Instantané de démonstration – MODELE_GMAO_PREV_ANONYMISE.csv</t>
        </is>
      </c>
      <c r="AJ95" s="31" t="n">
        <v>46309.50763888889</v>
      </c>
    </row>
    <row r="96">
      <c r="A96" s="27" t="inlineStr">
        <is>
          <t>910000053</t>
        </is>
      </c>
      <c r="B96" s="27" t="inlineStr">
        <is>
          <t>PIS</t>
        </is>
      </c>
      <c r="C96" s="28" t="n">
        <v>2026</v>
      </c>
      <c r="D96" s="27" t="inlineStr">
        <is>
          <t>SITE06</t>
        </is>
      </c>
      <c r="E96" s="27" t="inlineStr">
        <is>
          <t>EQ3</t>
        </is>
      </c>
      <c r="F96" s="27" t="inlineStr">
        <is>
          <t>G-I-F3200</t>
        </is>
      </c>
      <c r="G96" s="27" t="n"/>
      <c r="H96" s="28" t="n">
        <v>54</v>
      </c>
      <c r="I96" s="29" t="n">
        <v>46079</v>
      </c>
      <c r="J96" s="27" t="n"/>
      <c r="K96" s="27" t="inlineStr">
        <is>
          <t>ZPR2</t>
        </is>
      </c>
      <c r="L96" s="27" t="inlineStr">
        <is>
          <t>PRE</t>
        </is>
      </c>
      <c r="M96" s="27" t="n"/>
      <c r="N96" s="27" t="inlineStr">
        <is>
          <t>Maintenance préventive fictive EC+PIS - poste G-I-F3200</t>
        </is>
      </c>
      <c r="O96" s="27" t="inlineStr">
        <is>
          <t>ACTI</t>
        </is>
      </c>
      <c r="P96" s="27" t="inlineStr">
        <is>
          <t>STAT_SYS_A</t>
        </is>
      </c>
      <c r="Q96" s="27" t="inlineStr">
        <is>
          <t>USER03</t>
        </is>
      </c>
      <c r="R96" s="30" t="n">
        <v>890</v>
      </c>
      <c r="S96" s="27" t="inlineStr">
        <is>
          <t>EQ3</t>
        </is>
      </c>
      <c r="T96" s="29" t="n">
        <v>46153</v>
      </c>
      <c r="U96" s="27" t="inlineStr">
        <is>
          <t>TECH-06</t>
        </is>
      </c>
      <c r="V96" s="27" t="inlineStr">
        <is>
          <t>G-I-F3200-VAN01</t>
        </is>
      </c>
      <c r="W96" s="27" t="inlineStr">
        <is>
          <t>Équipement fictif 06-3-2</t>
        </is>
      </c>
      <c r="X96" s="27" t="inlineStr">
        <is>
          <t>EQ-06-3-02</t>
        </is>
      </c>
      <c r="Y96" s="27" t="inlineStr">
        <is>
          <t>GG-PREV</t>
        </is>
      </c>
      <c r="Z96" s="27" t="inlineStr">
        <is>
          <t>2</t>
        </is>
      </c>
      <c r="AA96" s="29" t="n">
        <v>46141</v>
      </c>
      <c r="AB96" s="27" t="inlineStr">
        <is>
          <t>DETENTE</t>
        </is>
      </c>
      <c r="AC96" s="27" t="inlineStr">
        <is>
          <t>EC+PIS</t>
        </is>
      </c>
      <c r="AD96" s="28" t="n">
        <v>1</v>
      </c>
      <c r="AE96" s="28" t="n">
        <v>1</v>
      </c>
      <c r="AF96" s="28" t="n">
        <v>1</v>
      </c>
      <c r="AG96" s="27" t="n"/>
      <c r="AH96" s="27" t="n"/>
      <c r="AI96" s="27" t="inlineStr">
        <is>
          <t>Instantané de démonstration – MODELE_GMAO_PREV_ANONYMISE.csv</t>
        </is>
      </c>
      <c r="AJ96" s="31" t="n">
        <v>46309.50763888889</v>
      </c>
    </row>
    <row r="97">
      <c r="A97" s="27" t="inlineStr">
        <is>
          <t>910000054</t>
        </is>
      </c>
      <c r="B97" s="27" t="inlineStr">
        <is>
          <t>EC</t>
        </is>
      </c>
      <c r="C97" s="28" t="n">
        <v>2026</v>
      </c>
      <c r="D97" s="27" t="inlineStr">
        <is>
          <t>SITE06</t>
        </is>
      </c>
      <c r="E97" s="27" t="inlineStr">
        <is>
          <t>EQ3</t>
        </is>
      </c>
      <c r="F97" s="27" t="inlineStr">
        <is>
          <t>G-I-F3300</t>
        </is>
      </c>
      <c r="G97" s="27" t="n"/>
      <c r="H97" s="28" t="n">
        <v>55</v>
      </c>
      <c r="I97" s="29" t="n">
        <v>46104</v>
      </c>
      <c r="J97" s="27" t="n"/>
      <c r="K97" s="27" t="inlineStr">
        <is>
          <t>ZPR2</t>
        </is>
      </c>
      <c r="L97" s="27" t="inlineStr">
        <is>
          <t>PRE</t>
        </is>
      </c>
      <c r="M97" s="27" t="n"/>
      <c r="N97" s="27" t="inlineStr">
        <is>
          <t>Maintenance préventive fictive EC+REV - poste G-I-F3300</t>
        </is>
      </c>
      <c r="O97" s="27" t="inlineStr">
        <is>
          <t>TERM</t>
        </is>
      </c>
      <c r="P97" s="27" t="inlineStr">
        <is>
          <t>STAT_SYS_A</t>
        </is>
      </c>
      <c r="Q97" s="27" t="inlineStr">
        <is>
          <t>USER03</t>
        </is>
      </c>
      <c r="R97" s="30" t="n">
        <v>900</v>
      </c>
      <c r="S97" s="27" t="inlineStr">
        <is>
          <t>EQ3</t>
        </is>
      </c>
      <c r="T97" s="29" t="n">
        <v>46185</v>
      </c>
      <c r="U97" s="27" t="inlineStr">
        <is>
          <t>TECH-06</t>
        </is>
      </c>
      <c r="V97" s="27" t="inlineStr">
        <is>
          <t>G-I-F3300-SEC01</t>
        </is>
      </c>
      <c r="W97" s="27" t="inlineStr">
        <is>
          <t>Équipement fictif 06-3-3</t>
        </is>
      </c>
      <c r="X97" s="27" t="inlineStr">
        <is>
          <t>EQ-06-3-03</t>
        </is>
      </c>
      <c r="Y97" s="27" t="inlineStr">
        <is>
          <t>GG-PREV</t>
        </is>
      </c>
      <c r="Z97" s="27" t="inlineStr">
        <is>
          <t>3</t>
        </is>
      </c>
      <c r="AA97" s="29" t="n">
        <v>46172</v>
      </c>
      <c r="AB97" s="27" t="inlineStr">
        <is>
          <t>COUPURE</t>
        </is>
      </c>
      <c r="AC97" s="27" t="inlineStr">
        <is>
          <t>EC+REV</t>
        </is>
      </c>
      <c r="AD97" s="28" t="n">
        <v>2</v>
      </c>
      <c r="AE97" s="28" t="n">
        <v>1</v>
      </c>
      <c r="AF97" s="28" t="n">
        <v>1</v>
      </c>
      <c r="AG97" s="27" t="n"/>
      <c r="AH97" s="27" t="n"/>
      <c r="AI97" s="27" t="inlineStr">
        <is>
          <t>Instantané de démonstration – MODELE_GMAO_PREV_ANONYMISE.csv</t>
        </is>
      </c>
      <c r="AJ97" s="31" t="n">
        <v>46309.50763888889</v>
      </c>
    </row>
    <row r="98">
      <c r="A98" s="27" t="inlineStr">
        <is>
          <t>910000054</t>
        </is>
      </c>
      <c r="B98" s="27" t="inlineStr">
        <is>
          <t>REV</t>
        </is>
      </c>
      <c r="C98" s="28" t="n">
        <v>2026</v>
      </c>
      <c r="D98" s="27" t="inlineStr">
        <is>
          <t>SITE06</t>
        </is>
      </c>
      <c r="E98" s="27" t="inlineStr">
        <is>
          <t>EQ3</t>
        </is>
      </c>
      <c r="F98" s="27" t="inlineStr">
        <is>
          <t>G-I-F3300</t>
        </is>
      </c>
      <c r="G98" s="27" t="n"/>
      <c r="H98" s="28" t="n">
        <v>55</v>
      </c>
      <c r="I98" s="29" t="n">
        <v>46104</v>
      </c>
      <c r="J98" s="27" t="n"/>
      <c r="K98" s="27" t="inlineStr">
        <is>
          <t>ZPR2</t>
        </is>
      </c>
      <c r="L98" s="27" t="inlineStr">
        <is>
          <t>PRE</t>
        </is>
      </c>
      <c r="M98" s="27" t="n"/>
      <c r="N98" s="27" t="inlineStr">
        <is>
          <t>Maintenance préventive fictive EC+REV - poste G-I-F3300</t>
        </is>
      </c>
      <c r="O98" s="27" t="inlineStr">
        <is>
          <t>TERM</t>
        </is>
      </c>
      <c r="P98" s="27" t="inlineStr">
        <is>
          <t>STAT_SYS_A</t>
        </is>
      </c>
      <c r="Q98" s="27" t="inlineStr">
        <is>
          <t>USER03</t>
        </is>
      </c>
      <c r="R98" s="30" t="n">
        <v>900</v>
      </c>
      <c r="S98" s="27" t="inlineStr">
        <is>
          <t>EQ3</t>
        </is>
      </c>
      <c r="T98" s="29" t="n">
        <v>46185</v>
      </c>
      <c r="U98" s="27" t="inlineStr">
        <is>
          <t>TECH-06</t>
        </is>
      </c>
      <c r="V98" s="27" t="inlineStr">
        <is>
          <t>G-I-F3300-SEC01</t>
        </is>
      </c>
      <c r="W98" s="27" t="inlineStr">
        <is>
          <t>Équipement fictif 06-3-3</t>
        </is>
      </c>
      <c r="X98" s="27" t="inlineStr">
        <is>
          <t>EQ-06-3-03</t>
        </is>
      </c>
      <c r="Y98" s="27" t="inlineStr">
        <is>
          <t>GG-PREV</t>
        </is>
      </c>
      <c r="Z98" s="27" t="inlineStr">
        <is>
          <t>3</t>
        </is>
      </c>
      <c r="AA98" s="29" t="n">
        <v>46172</v>
      </c>
      <c r="AB98" s="27" t="inlineStr">
        <is>
          <t>COUPURE</t>
        </is>
      </c>
      <c r="AC98" s="27" t="inlineStr">
        <is>
          <t>EC+REV</t>
        </is>
      </c>
      <c r="AD98" s="28" t="n">
        <v>5</v>
      </c>
      <c r="AE98" s="28" t="n">
        <v>1</v>
      </c>
      <c r="AF98" s="28" t="n">
        <v>1</v>
      </c>
      <c r="AG98" s="27" t="n"/>
      <c r="AH98" s="27" t="n"/>
      <c r="AI98" s="27" t="inlineStr">
        <is>
          <t>Instantané de démonstration – MODELE_GMAO_PREV_ANONYMISE.csv</t>
        </is>
      </c>
      <c r="AJ98" s="31" t="n">
        <v>46309.50763888889</v>
      </c>
    </row>
    <row r="99">
      <c r="A99" s="27" t="inlineStr">
        <is>
          <t>910000055</t>
        </is>
      </c>
      <c r="B99" s="27" t="inlineStr">
        <is>
          <t>EC</t>
        </is>
      </c>
      <c r="C99" s="28" t="n">
        <v>2026</v>
      </c>
      <c r="D99" s="27" t="inlineStr">
        <is>
          <t>SITE07</t>
        </is>
      </c>
      <c r="E99" s="27" t="inlineStr">
        <is>
          <t>EQ1</t>
        </is>
      </c>
      <c r="F99" s="27" t="inlineStr">
        <is>
          <t>G-I-G1100</t>
        </is>
      </c>
      <c r="G99" s="27" t="n"/>
      <c r="H99" s="28" t="n">
        <v>56</v>
      </c>
      <c r="I99" s="29" t="n">
        <v>45997</v>
      </c>
      <c r="J99" s="27" t="n"/>
      <c r="K99" s="27" t="inlineStr">
        <is>
          <t>ZPR2</t>
        </is>
      </c>
      <c r="L99" s="27" t="inlineStr">
        <is>
          <t>PRE</t>
        </is>
      </c>
      <c r="M99" s="27" t="n"/>
      <c r="N99" s="27" t="inlineStr">
        <is>
          <t>Maintenance préventive fictive EC - poste G-I-G1100</t>
        </is>
      </c>
      <c r="O99" s="27" t="inlineStr">
        <is>
          <t>ACTI</t>
        </is>
      </c>
      <c r="P99" s="27" t="inlineStr">
        <is>
          <t>STAT_SYS_A</t>
        </is>
      </c>
      <c r="Q99" s="27" t="inlineStr">
        <is>
          <t>USER01</t>
        </is>
      </c>
      <c r="R99" s="30" t="n">
        <v>925</v>
      </c>
      <c r="S99" s="27" t="inlineStr">
        <is>
          <t>EQ1</t>
        </is>
      </c>
      <c r="T99" s="29" t="n">
        <v>46064</v>
      </c>
      <c r="U99" s="27" t="inlineStr">
        <is>
          <t>TECH-07</t>
        </is>
      </c>
      <c r="V99" s="27" t="inlineStr">
        <is>
          <t>G-I-G1100-REG01</t>
        </is>
      </c>
      <c r="W99" s="27" t="inlineStr">
        <is>
          <t>Équipement fictif 07-1-1</t>
        </is>
      </c>
      <c r="X99" s="27" t="inlineStr">
        <is>
          <t>EQ-07-1-01</t>
        </is>
      </c>
      <c r="Y99" s="27" t="inlineStr">
        <is>
          <t>GG-PREV</t>
        </is>
      </c>
      <c r="Z99" s="27" t="inlineStr">
        <is>
          <t>1</t>
        </is>
      </c>
      <c r="AA99" s="29" t="n">
        <v>46053</v>
      </c>
      <c r="AB99" s="27" t="inlineStr">
        <is>
          <t>DETENTE</t>
        </is>
      </c>
      <c r="AC99" s="27" t="inlineStr">
        <is>
          <t>EC</t>
        </is>
      </c>
      <c r="AD99" s="28" t="n">
        <v>2</v>
      </c>
      <c r="AE99" s="28" t="n">
        <v>1</v>
      </c>
      <c r="AF99" s="28" t="n">
        <v>1</v>
      </c>
      <c r="AG99" s="27" t="n"/>
      <c r="AH99" s="27" t="n"/>
      <c r="AI99" s="27" t="inlineStr">
        <is>
          <t>Instantané de démonstration – MODELE_GMAO_PREV_ANONYMISE.csv</t>
        </is>
      </c>
      <c r="AJ99" s="31" t="n">
        <v>46309.50763888889</v>
      </c>
    </row>
    <row r="100">
      <c r="A100" s="27" t="inlineStr">
        <is>
          <t>910000056</t>
        </is>
      </c>
      <c r="B100" s="27" t="inlineStr">
        <is>
          <t>REV</t>
        </is>
      </c>
      <c r="C100" s="28" t="n">
        <v>2026</v>
      </c>
      <c r="D100" s="27" t="inlineStr">
        <is>
          <t>SITE07</t>
        </is>
      </c>
      <c r="E100" s="27" t="inlineStr">
        <is>
          <t>EQ1</t>
        </is>
      </c>
      <c r="F100" s="27" t="inlineStr">
        <is>
          <t>G-I-G1200</t>
        </is>
      </c>
      <c r="G100" s="27" t="n"/>
      <c r="H100" s="28" t="n">
        <v>57</v>
      </c>
      <c r="I100" s="29" t="n">
        <v>46019</v>
      </c>
      <c r="J100" s="27" t="n"/>
      <c r="K100" s="27" t="inlineStr">
        <is>
          <t>ZPR2</t>
        </is>
      </c>
      <c r="L100" s="27" t="inlineStr">
        <is>
          <t>PRE</t>
        </is>
      </c>
      <c r="M100" s="27" t="n"/>
      <c r="N100" s="27" t="inlineStr">
        <is>
          <t>Maintenance préventive fictive REV - poste G-I-G1200</t>
        </is>
      </c>
      <c r="O100" s="27" t="inlineStr">
        <is>
          <t>TERM</t>
        </is>
      </c>
      <c r="P100" s="27" t="inlineStr">
        <is>
          <t>STAT_SYS_A</t>
        </is>
      </c>
      <c r="Q100" s="27" t="inlineStr">
        <is>
          <t>USER01</t>
        </is>
      </c>
      <c r="R100" s="30" t="n">
        <v>935</v>
      </c>
      <c r="S100" s="27" t="inlineStr">
        <is>
          <t>EQ1</t>
        </is>
      </c>
      <c r="T100" s="29" t="n">
        <v>46093</v>
      </c>
      <c r="U100" s="27" t="inlineStr">
        <is>
          <t>TECH-07</t>
        </is>
      </c>
      <c r="V100" s="27" t="inlineStr">
        <is>
          <t>G-I-G1200-VAN01</t>
        </is>
      </c>
      <c r="W100" s="27" t="inlineStr">
        <is>
          <t>Équipement fictif 07-1-2</t>
        </is>
      </c>
      <c r="X100" s="27" t="inlineStr">
        <is>
          <t>EQ-07-1-02</t>
        </is>
      </c>
      <c r="Y100" s="27" t="inlineStr">
        <is>
          <t>GG-PREV</t>
        </is>
      </c>
      <c r="Z100" s="27" t="inlineStr">
        <is>
          <t>2</t>
        </is>
      </c>
      <c r="AA100" s="29" t="n">
        <v>46081</v>
      </c>
      <c r="AB100" s="27" t="inlineStr">
        <is>
          <t>COUPURE</t>
        </is>
      </c>
      <c r="AC100" s="27" t="inlineStr">
        <is>
          <t>REV</t>
        </is>
      </c>
      <c r="AD100" s="28" t="n">
        <v>5</v>
      </c>
      <c r="AE100" s="28" t="n">
        <v>1</v>
      </c>
      <c r="AF100" s="28" t="n">
        <v>1</v>
      </c>
      <c r="AG100" s="27" t="n"/>
      <c r="AH100" s="27" t="n"/>
      <c r="AI100" s="27" t="inlineStr">
        <is>
          <t>Instantané de démonstration – MODELE_GMAO_PREV_ANONYMISE.csv</t>
        </is>
      </c>
      <c r="AJ100" s="31" t="n">
        <v>46309.50763888889</v>
      </c>
    </row>
    <row r="101">
      <c r="A101" s="27" t="inlineStr">
        <is>
          <t>910000057</t>
        </is>
      </c>
      <c r="B101" s="27" t="inlineStr">
        <is>
          <t>EC</t>
        </is>
      </c>
      <c r="C101" s="28" t="n">
        <v>2026</v>
      </c>
      <c r="D101" s="27" t="inlineStr">
        <is>
          <t>SITE07</t>
        </is>
      </c>
      <c r="E101" s="27" t="inlineStr">
        <is>
          <t>EQ1</t>
        </is>
      </c>
      <c r="F101" s="27" t="inlineStr">
        <is>
          <t>G-I-G1300</t>
        </is>
      </c>
      <c r="G101" s="27" t="n"/>
      <c r="H101" s="28" t="n">
        <v>58</v>
      </c>
      <c r="I101" s="29" t="n">
        <v>46044</v>
      </c>
      <c r="J101" s="27" t="n"/>
      <c r="K101" s="27" t="inlineStr">
        <is>
          <t>ZPR2</t>
        </is>
      </c>
      <c r="L101" s="27" t="inlineStr">
        <is>
          <t>PRE</t>
        </is>
      </c>
      <c r="M101" s="27" t="n"/>
      <c r="N101" s="27" t="inlineStr">
        <is>
          <t>Maintenance préventive fictive EC+PIS - poste G-I-G1300</t>
        </is>
      </c>
      <c r="O101" s="27" t="inlineStr">
        <is>
          <t>ACTI</t>
        </is>
      </c>
      <c r="P101" s="27" t="inlineStr">
        <is>
          <t>STAT_SYS_A</t>
        </is>
      </c>
      <c r="Q101" s="27" t="inlineStr">
        <is>
          <t>USER01</t>
        </is>
      </c>
      <c r="R101" s="30" t="n">
        <v>945</v>
      </c>
      <c r="S101" s="27" t="inlineStr">
        <is>
          <t>EQ1</t>
        </is>
      </c>
      <c r="T101" s="29" t="n">
        <v>46125</v>
      </c>
      <c r="U101" s="27" t="inlineStr">
        <is>
          <t>TECH-07</t>
        </is>
      </c>
      <c r="V101" s="27" t="inlineStr">
        <is>
          <t>G-I-G1300-REG01</t>
        </is>
      </c>
      <c r="W101" s="27" t="inlineStr">
        <is>
          <t>Équipement fictif 07-1-3</t>
        </is>
      </c>
      <c r="X101" s="27" t="inlineStr">
        <is>
          <t>EQ-07-1-03</t>
        </is>
      </c>
      <c r="Y101" s="27" t="inlineStr">
        <is>
          <t>GG-PREV</t>
        </is>
      </c>
      <c r="Z101" s="27" t="inlineStr">
        <is>
          <t>3</t>
        </is>
      </c>
      <c r="AA101" s="29" t="n">
        <v>46112</v>
      </c>
      <c r="AB101" s="27" t="inlineStr">
        <is>
          <t>SECTIONNEMENT</t>
        </is>
      </c>
      <c r="AC101" s="27" t="inlineStr">
        <is>
          <t>EC+PIS</t>
        </is>
      </c>
      <c r="AD101" s="28" t="n">
        <v>2</v>
      </c>
      <c r="AE101" s="28" t="n">
        <v>1</v>
      </c>
      <c r="AF101" s="28" t="n">
        <v>1</v>
      </c>
      <c r="AG101" s="27" t="n"/>
      <c r="AH101" s="27" t="n"/>
      <c r="AI101" s="27" t="inlineStr">
        <is>
          <t>Instantané de démonstration – MODELE_GMAO_PREV_ANONYMISE.csv</t>
        </is>
      </c>
      <c r="AJ101" s="31" t="n">
        <v>46309.50763888889</v>
      </c>
    </row>
    <row r="102">
      <c r="A102" s="27" t="inlineStr">
        <is>
          <t>910000057</t>
        </is>
      </c>
      <c r="B102" s="27" t="inlineStr">
        <is>
          <t>PIS</t>
        </is>
      </c>
      <c r="C102" s="28" t="n">
        <v>2026</v>
      </c>
      <c r="D102" s="27" t="inlineStr">
        <is>
          <t>SITE07</t>
        </is>
      </c>
      <c r="E102" s="27" t="inlineStr">
        <is>
          <t>EQ1</t>
        </is>
      </c>
      <c r="F102" s="27" t="inlineStr">
        <is>
          <t>G-I-G1300</t>
        </is>
      </c>
      <c r="G102" s="27" t="n"/>
      <c r="H102" s="28" t="n">
        <v>58</v>
      </c>
      <c r="I102" s="29" t="n">
        <v>46044</v>
      </c>
      <c r="J102" s="27" t="n"/>
      <c r="K102" s="27" t="inlineStr">
        <is>
          <t>ZPR2</t>
        </is>
      </c>
      <c r="L102" s="27" t="inlineStr">
        <is>
          <t>PRE</t>
        </is>
      </c>
      <c r="M102" s="27" t="n"/>
      <c r="N102" s="27" t="inlineStr">
        <is>
          <t>Maintenance préventive fictive EC+PIS - poste G-I-G1300</t>
        </is>
      </c>
      <c r="O102" s="27" t="inlineStr">
        <is>
          <t>ACTI</t>
        </is>
      </c>
      <c r="P102" s="27" t="inlineStr">
        <is>
          <t>STAT_SYS_A</t>
        </is>
      </c>
      <c r="Q102" s="27" t="inlineStr">
        <is>
          <t>USER01</t>
        </is>
      </c>
      <c r="R102" s="30" t="n">
        <v>945</v>
      </c>
      <c r="S102" s="27" t="inlineStr">
        <is>
          <t>EQ1</t>
        </is>
      </c>
      <c r="T102" s="29" t="n">
        <v>46125</v>
      </c>
      <c r="U102" s="27" t="inlineStr">
        <is>
          <t>TECH-07</t>
        </is>
      </c>
      <c r="V102" s="27" t="inlineStr">
        <is>
          <t>G-I-G1300-REG01</t>
        </is>
      </c>
      <c r="W102" s="27" t="inlineStr">
        <is>
          <t>Équipement fictif 07-1-3</t>
        </is>
      </c>
      <c r="X102" s="27" t="inlineStr">
        <is>
          <t>EQ-07-1-03</t>
        </is>
      </c>
      <c r="Y102" s="27" t="inlineStr">
        <is>
          <t>GG-PREV</t>
        </is>
      </c>
      <c r="Z102" s="27" t="inlineStr">
        <is>
          <t>3</t>
        </is>
      </c>
      <c r="AA102" s="29" t="n">
        <v>46112</v>
      </c>
      <c r="AB102" s="27" t="inlineStr">
        <is>
          <t>SECTIONNEMENT</t>
        </is>
      </c>
      <c r="AC102" s="27" t="inlineStr">
        <is>
          <t>EC+PIS</t>
        </is>
      </c>
      <c r="AD102" s="28" t="n">
        <v>1</v>
      </c>
      <c r="AE102" s="28" t="n">
        <v>1</v>
      </c>
      <c r="AF102" s="28" t="n">
        <v>1</v>
      </c>
      <c r="AG102" s="27" t="n"/>
      <c r="AH102" s="27" t="n"/>
      <c r="AI102" s="27" t="inlineStr">
        <is>
          <t>Instantané de démonstration – MODELE_GMAO_PREV_ANONYMISE.csv</t>
        </is>
      </c>
      <c r="AJ102" s="31" t="n">
        <v>46309.50763888889</v>
      </c>
    </row>
    <row r="103">
      <c r="A103" s="27" t="inlineStr">
        <is>
          <t>910000058</t>
        </is>
      </c>
      <c r="B103" s="27" t="inlineStr">
        <is>
          <t>REV</t>
        </is>
      </c>
      <c r="C103" s="28" t="n">
        <v>2026</v>
      </c>
      <c r="D103" s="27" t="inlineStr">
        <is>
          <t>SITE07</t>
        </is>
      </c>
      <c r="E103" s="27" t="inlineStr">
        <is>
          <t>EQ2</t>
        </is>
      </c>
      <c r="F103" s="27" t="inlineStr">
        <is>
          <t>G-I-G2100</t>
        </is>
      </c>
      <c r="G103" s="27" t="n"/>
      <c r="H103" s="28" t="n">
        <v>59</v>
      </c>
      <c r="I103" s="29" t="n">
        <v>46025</v>
      </c>
      <c r="J103" s="27" t="n"/>
      <c r="K103" s="27" t="inlineStr">
        <is>
          <t>ZPR2</t>
        </is>
      </c>
      <c r="L103" s="27" t="inlineStr">
        <is>
          <t>PRE</t>
        </is>
      </c>
      <c r="M103" s="27" t="n"/>
      <c r="N103" s="27" t="inlineStr">
        <is>
          <t>Maintenance préventive fictive REV - poste G-I-G2100</t>
        </is>
      </c>
      <c r="O103" s="27" t="inlineStr">
        <is>
          <t>TERM</t>
        </is>
      </c>
      <c r="P103" s="27" t="inlineStr">
        <is>
          <t>STAT_SYS_A</t>
        </is>
      </c>
      <c r="Q103" s="27" t="inlineStr">
        <is>
          <t>USER02</t>
        </is>
      </c>
      <c r="R103" s="30" t="n">
        <v>965</v>
      </c>
      <c r="S103" s="27" t="inlineStr">
        <is>
          <t>EQ2</t>
        </is>
      </c>
      <c r="T103" s="29" t="n">
        <v>46092</v>
      </c>
      <c r="U103" s="27" t="inlineStr">
        <is>
          <t>TECH-07</t>
        </is>
      </c>
      <c r="V103" s="27" t="inlineStr">
        <is>
          <t>G-I-G2100-VAN01</t>
        </is>
      </c>
      <c r="W103" s="27" t="inlineStr">
        <is>
          <t>Équipement fictif 07-2-1</t>
        </is>
      </c>
      <c r="X103" s="27" t="inlineStr">
        <is>
          <t>EQ-07-2-01</t>
        </is>
      </c>
      <c r="Y103" s="27" t="inlineStr">
        <is>
          <t>GG-PREV</t>
        </is>
      </c>
      <c r="Z103" s="27" t="inlineStr">
        <is>
          <t>1</t>
        </is>
      </c>
      <c r="AA103" s="29" t="n">
        <v>46081</v>
      </c>
      <c r="AB103" s="27" t="inlineStr">
        <is>
          <t>DETENTE</t>
        </is>
      </c>
      <c r="AC103" s="27" t="inlineStr">
        <is>
          <t>REV</t>
        </is>
      </c>
      <c r="AD103" s="28" t="n">
        <v>5</v>
      </c>
      <c r="AE103" s="28" t="n">
        <v>1</v>
      </c>
      <c r="AF103" s="28" t="n">
        <v>1</v>
      </c>
      <c r="AG103" s="27" t="n"/>
      <c r="AH103" s="27" t="n"/>
      <c r="AI103" s="27" t="inlineStr">
        <is>
          <t>Instantané de démonstration – MODELE_GMAO_PREV_ANONYMISE.csv</t>
        </is>
      </c>
      <c r="AJ103" s="31" t="n">
        <v>46309.50763888889</v>
      </c>
    </row>
    <row r="104">
      <c r="A104" s="27" t="inlineStr">
        <is>
          <t>910000059</t>
        </is>
      </c>
      <c r="B104" s="27" t="inlineStr">
        <is>
          <t>EC</t>
        </is>
      </c>
      <c r="C104" s="28" t="n">
        <v>2026</v>
      </c>
      <c r="D104" s="27" t="inlineStr">
        <is>
          <t>SITE07</t>
        </is>
      </c>
      <c r="E104" s="27" t="inlineStr">
        <is>
          <t>EQ2</t>
        </is>
      </c>
      <c r="F104" s="27" t="inlineStr">
        <is>
          <t>G-I-G2200</t>
        </is>
      </c>
      <c r="G104" s="27" t="n"/>
      <c r="H104" s="28" t="n">
        <v>60</v>
      </c>
      <c r="I104" s="29" t="n">
        <v>46050</v>
      </c>
      <c r="J104" s="27" t="n"/>
      <c r="K104" s="27" t="inlineStr">
        <is>
          <t>ZPR2</t>
        </is>
      </c>
      <c r="L104" s="27" t="inlineStr">
        <is>
          <t>PRE</t>
        </is>
      </c>
      <c r="M104" s="27" t="n"/>
      <c r="N104" s="27" t="inlineStr">
        <is>
          <t>Maintenance préventive fictive EC+PIS - poste G-I-G2200</t>
        </is>
      </c>
      <c r="O104" s="27" t="inlineStr">
        <is>
          <t>ACTI</t>
        </is>
      </c>
      <c r="P104" s="27" t="inlineStr">
        <is>
          <t>STAT_SYS_A</t>
        </is>
      </c>
      <c r="Q104" s="27" t="inlineStr">
        <is>
          <t>USER02</t>
        </is>
      </c>
      <c r="R104" s="30" t="n">
        <v>975</v>
      </c>
      <c r="S104" s="27" t="inlineStr">
        <is>
          <t>EQ2</t>
        </is>
      </c>
      <c r="T104" s="29" t="n">
        <v>46124</v>
      </c>
      <c r="U104" s="27" t="inlineStr">
        <is>
          <t>TECH-07</t>
        </is>
      </c>
      <c r="V104" s="27" t="inlineStr">
        <is>
          <t>G-I-G2200-REG01</t>
        </is>
      </c>
      <c r="W104" s="27" t="inlineStr">
        <is>
          <t>Équipement fictif 07-2-2</t>
        </is>
      </c>
      <c r="X104" s="27" t="inlineStr">
        <is>
          <t>EQ-07-2-02</t>
        </is>
      </c>
      <c r="Y104" s="27" t="inlineStr">
        <is>
          <t>GG-PREV</t>
        </is>
      </c>
      <c r="Z104" s="27" t="inlineStr">
        <is>
          <t>2</t>
        </is>
      </c>
      <c r="AA104" s="29" t="n">
        <v>46112</v>
      </c>
      <c r="AB104" s="27" t="inlineStr">
        <is>
          <t>COUPURE</t>
        </is>
      </c>
      <c r="AC104" s="27" t="inlineStr">
        <is>
          <t>EC+PIS</t>
        </is>
      </c>
      <c r="AD104" s="28" t="n">
        <v>2</v>
      </c>
      <c r="AE104" s="28" t="n">
        <v>1</v>
      </c>
      <c r="AF104" s="28" t="n">
        <v>1</v>
      </c>
      <c r="AG104" s="27" t="n"/>
      <c r="AH104" s="27" t="n"/>
      <c r="AI104" s="27" t="inlineStr">
        <is>
          <t>Instantané de démonstration – MODELE_GMAO_PREV_ANONYMISE.csv</t>
        </is>
      </c>
      <c r="AJ104" s="31" t="n">
        <v>46309.50763888889</v>
      </c>
    </row>
    <row r="105">
      <c r="A105" s="27" t="inlineStr">
        <is>
          <t>910000059</t>
        </is>
      </c>
      <c r="B105" s="27" t="inlineStr">
        <is>
          <t>PIS</t>
        </is>
      </c>
      <c r="C105" s="28" t="n">
        <v>2026</v>
      </c>
      <c r="D105" s="27" t="inlineStr">
        <is>
          <t>SITE07</t>
        </is>
      </c>
      <c r="E105" s="27" t="inlineStr">
        <is>
          <t>EQ2</t>
        </is>
      </c>
      <c r="F105" s="27" t="inlineStr">
        <is>
          <t>G-I-G2200</t>
        </is>
      </c>
      <c r="G105" s="27" t="n"/>
      <c r="H105" s="28" t="n">
        <v>60</v>
      </c>
      <c r="I105" s="29" t="n">
        <v>46050</v>
      </c>
      <c r="J105" s="27" t="n"/>
      <c r="K105" s="27" t="inlineStr">
        <is>
          <t>ZPR2</t>
        </is>
      </c>
      <c r="L105" s="27" t="inlineStr">
        <is>
          <t>PRE</t>
        </is>
      </c>
      <c r="M105" s="27" t="n"/>
      <c r="N105" s="27" t="inlineStr">
        <is>
          <t>Maintenance préventive fictive EC+PIS - poste G-I-G2200</t>
        </is>
      </c>
      <c r="O105" s="27" t="inlineStr">
        <is>
          <t>ACTI</t>
        </is>
      </c>
      <c r="P105" s="27" t="inlineStr">
        <is>
          <t>STAT_SYS_A</t>
        </is>
      </c>
      <c r="Q105" s="27" t="inlineStr">
        <is>
          <t>USER02</t>
        </is>
      </c>
      <c r="R105" s="30" t="n">
        <v>975</v>
      </c>
      <c r="S105" s="27" t="inlineStr">
        <is>
          <t>EQ2</t>
        </is>
      </c>
      <c r="T105" s="29" t="n">
        <v>46124</v>
      </c>
      <c r="U105" s="27" t="inlineStr">
        <is>
          <t>TECH-07</t>
        </is>
      </c>
      <c r="V105" s="27" t="inlineStr">
        <is>
          <t>G-I-G2200-REG01</t>
        </is>
      </c>
      <c r="W105" s="27" t="inlineStr">
        <is>
          <t>Équipement fictif 07-2-2</t>
        </is>
      </c>
      <c r="X105" s="27" t="inlineStr">
        <is>
          <t>EQ-07-2-02</t>
        </is>
      </c>
      <c r="Y105" s="27" t="inlineStr">
        <is>
          <t>GG-PREV</t>
        </is>
      </c>
      <c r="Z105" s="27" t="inlineStr">
        <is>
          <t>2</t>
        </is>
      </c>
      <c r="AA105" s="29" t="n">
        <v>46112</v>
      </c>
      <c r="AB105" s="27" t="inlineStr">
        <is>
          <t>COUPURE</t>
        </is>
      </c>
      <c r="AC105" s="27" t="inlineStr">
        <is>
          <t>EC+PIS</t>
        </is>
      </c>
      <c r="AD105" s="28" t="n">
        <v>1</v>
      </c>
      <c r="AE105" s="28" t="n">
        <v>1</v>
      </c>
      <c r="AF105" s="28" t="n">
        <v>1</v>
      </c>
      <c r="AG105" s="27" t="n"/>
      <c r="AH105" s="27" t="n"/>
      <c r="AI105" s="27" t="inlineStr">
        <is>
          <t>Instantané de démonstration – MODELE_GMAO_PREV_ANONYMISE.csv</t>
        </is>
      </c>
      <c r="AJ105" s="31" t="n">
        <v>46309.50763888889</v>
      </c>
    </row>
    <row r="106">
      <c r="A106" s="27" t="inlineStr">
        <is>
          <t>910000060</t>
        </is>
      </c>
      <c r="B106" s="27" t="inlineStr">
        <is>
          <t>EC</t>
        </is>
      </c>
      <c r="C106" s="28" t="n">
        <v>2026</v>
      </c>
      <c r="D106" s="27" t="inlineStr">
        <is>
          <t>SITE07</t>
        </is>
      </c>
      <c r="E106" s="27" t="inlineStr">
        <is>
          <t>EQ2</t>
        </is>
      </c>
      <c r="F106" s="27" t="inlineStr">
        <is>
          <t>G-I-G2300</t>
        </is>
      </c>
      <c r="G106" s="27" t="n"/>
      <c r="H106" s="28" t="n">
        <v>61</v>
      </c>
      <c r="I106" s="29" t="n">
        <v>46074</v>
      </c>
      <c r="J106" s="27" t="n"/>
      <c r="K106" s="27" t="inlineStr">
        <is>
          <t>ZPR2</t>
        </is>
      </c>
      <c r="L106" s="27" t="inlineStr">
        <is>
          <t>PRE</t>
        </is>
      </c>
      <c r="M106" s="27" t="n"/>
      <c r="N106" s="27" t="inlineStr">
        <is>
          <t>Maintenance préventive fictive EC+REV - poste G-I-G2300</t>
        </is>
      </c>
      <c r="O106" s="27" t="inlineStr">
        <is>
          <t>ACTI</t>
        </is>
      </c>
      <c r="P106" s="27" t="inlineStr">
        <is>
          <t>STAT_SYS_A</t>
        </is>
      </c>
      <c r="Q106" s="27" t="inlineStr">
        <is>
          <t>USER02</t>
        </is>
      </c>
      <c r="R106" s="30" t="n">
        <v>985</v>
      </c>
      <c r="S106" s="27" t="inlineStr">
        <is>
          <t>EQ2</t>
        </is>
      </c>
      <c r="T106" s="29" t="n">
        <v>46155</v>
      </c>
      <c r="U106" s="27" t="inlineStr">
        <is>
          <t>TECH-07</t>
        </is>
      </c>
      <c r="V106" s="27" t="inlineStr">
        <is>
          <t>G-I-G2300-REG01</t>
        </is>
      </c>
      <c r="W106" s="27" t="inlineStr">
        <is>
          <t>Équipement fictif 07-2-3</t>
        </is>
      </c>
      <c r="X106" s="27" t="inlineStr">
        <is>
          <t>EQ-07-2-03</t>
        </is>
      </c>
      <c r="Y106" s="27" t="inlineStr">
        <is>
          <t>GG-PREV</t>
        </is>
      </c>
      <c r="Z106" s="27" t="inlineStr">
        <is>
          <t>3</t>
        </is>
      </c>
      <c r="AA106" s="29" t="n">
        <v>46142</v>
      </c>
      <c r="AB106" s="27" t="inlineStr">
        <is>
          <t>SECTIONNEMENT</t>
        </is>
      </c>
      <c r="AC106" s="27" t="inlineStr">
        <is>
          <t>EC+REV</t>
        </is>
      </c>
      <c r="AD106" s="28" t="n">
        <v>2</v>
      </c>
      <c r="AE106" s="28" t="n">
        <v>1</v>
      </c>
      <c r="AF106" s="28" t="n">
        <v>1</v>
      </c>
      <c r="AG106" s="27" t="n"/>
      <c r="AH106" s="27" t="n"/>
      <c r="AI106" s="27" t="inlineStr">
        <is>
          <t>Instantané de démonstration – MODELE_GMAO_PREV_ANONYMISE.csv</t>
        </is>
      </c>
      <c r="AJ106" s="31" t="n">
        <v>46309.50763888889</v>
      </c>
    </row>
    <row r="107">
      <c r="A107" s="27" t="inlineStr">
        <is>
          <t>910000060</t>
        </is>
      </c>
      <c r="B107" s="27" t="inlineStr">
        <is>
          <t>REV</t>
        </is>
      </c>
      <c r="C107" s="28" t="n">
        <v>2026</v>
      </c>
      <c r="D107" s="27" t="inlineStr">
        <is>
          <t>SITE07</t>
        </is>
      </c>
      <c r="E107" s="27" t="inlineStr">
        <is>
          <t>EQ2</t>
        </is>
      </c>
      <c r="F107" s="27" t="inlineStr">
        <is>
          <t>G-I-G2300</t>
        </is>
      </c>
      <c r="G107" s="27" t="n"/>
      <c r="H107" s="28" t="n">
        <v>61</v>
      </c>
      <c r="I107" s="29" t="n">
        <v>46074</v>
      </c>
      <c r="J107" s="27" t="n"/>
      <c r="K107" s="27" t="inlineStr">
        <is>
          <t>ZPR2</t>
        </is>
      </c>
      <c r="L107" s="27" t="inlineStr">
        <is>
          <t>PRE</t>
        </is>
      </c>
      <c r="M107" s="27" t="n"/>
      <c r="N107" s="27" t="inlineStr">
        <is>
          <t>Maintenance préventive fictive EC+REV - poste G-I-G2300</t>
        </is>
      </c>
      <c r="O107" s="27" t="inlineStr">
        <is>
          <t>ACTI</t>
        </is>
      </c>
      <c r="P107" s="27" t="inlineStr">
        <is>
          <t>STAT_SYS_A</t>
        </is>
      </c>
      <c r="Q107" s="27" t="inlineStr">
        <is>
          <t>USER02</t>
        </is>
      </c>
      <c r="R107" s="30" t="n">
        <v>985</v>
      </c>
      <c r="S107" s="27" t="inlineStr">
        <is>
          <t>EQ2</t>
        </is>
      </c>
      <c r="T107" s="29" t="n">
        <v>46155</v>
      </c>
      <c r="U107" s="27" t="inlineStr">
        <is>
          <t>TECH-07</t>
        </is>
      </c>
      <c r="V107" s="27" t="inlineStr">
        <is>
          <t>G-I-G2300-REG01</t>
        </is>
      </c>
      <c r="W107" s="27" t="inlineStr">
        <is>
          <t>Équipement fictif 07-2-3</t>
        </is>
      </c>
      <c r="X107" s="27" t="inlineStr">
        <is>
          <t>EQ-07-2-03</t>
        </is>
      </c>
      <c r="Y107" s="27" t="inlineStr">
        <is>
          <t>GG-PREV</t>
        </is>
      </c>
      <c r="Z107" s="27" t="inlineStr">
        <is>
          <t>3</t>
        </is>
      </c>
      <c r="AA107" s="29" t="n">
        <v>46142</v>
      </c>
      <c r="AB107" s="27" t="inlineStr">
        <is>
          <t>SECTIONNEMENT</t>
        </is>
      </c>
      <c r="AC107" s="27" t="inlineStr">
        <is>
          <t>EC+REV</t>
        </is>
      </c>
      <c r="AD107" s="28" t="n">
        <v>5</v>
      </c>
      <c r="AE107" s="28" t="n">
        <v>1</v>
      </c>
      <c r="AF107" s="28" t="n">
        <v>1</v>
      </c>
      <c r="AG107" s="27" t="n"/>
      <c r="AH107" s="27" t="n"/>
      <c r="AI107" s="27" t="inlineStr">
        <is>
          <t>Instantané de démonstration – MODELE_GMAO_PREV_ANONYMISE.csv</t>
        </is>
      </c>
      <c r="AJ107" s="31" t="n">
        <v>46309.50763888889</v>
      </c>
    </row>
    <row r="108">
      <c r="A108" s="27" t="inlineStr">
        <is>
          <t>910000061</t>
        </is>
      </c>
      <c r="B108" s="27" t="inlineStr">
        <is>
          <t>EC</t>
        </is>
      </c>
      <c r="C108" s="28" t="n">
        <v>2026</v>
      </c>
      <c r="D108" s="27" t="inlineStr">
        <is>
          <t>SITE07</t>
        </is>
      </c>
      <c r="E108" s="27" t="inlineStr">
        <is>
          <t>EQ3</t>
        </is>
      </c>
      <c r="F108" s="27" t="inlineStr">
        <is>
          <t>G-I-G3100</t>
        </is>
      </c>
      <c r="G108" s="27" t="n"/>
      <c r="H108" s="28" t="n">
        <v>62</v>
      </c>
      <c r="I108" s="29" t="n">
        <v>46056</v>
      </c>
      <c r="J108" s="27" t="n"/>
      <c r="K108" s="27" t="inlineStr">
        <is>
          <t>ZPR2</t>
        </is>
      </c>
      <c r="L108" s="27" t="inlineStr">
        <is>
          <t>PRE</t>
        </is>
      </c>
      <c r="M108" s="27" t="n"/>
      <c r="N108" s="27" t="inlineStr">
        <is>
          <t>Maintenance préventive fictive EC+PIS - poste G-I-G3100</t>
        </is>
      </c>
      <c r="O108" s="27" t="inlineStr">
        <is>
          <t>ACTI</t>
        </is>
      </c>
      <c r="P108" s="27" t="inlineStr">
        <is>
          <t>STAT_SYS_A</t>
        </is>
      </c>
      <c r="Q108" s="27" t="inlineStr">
        <is>
          <t>USER03</t>
        </is>
      </c>
      <c r="R108" s="30" t="n">
        <v>1005</v>
      </c>
      <c r="S108" s="27" t="inlineStr">
        <is>
          <t>EQ3</t>
        </is>
      </c>
      <c r="T108" s="29" t="n">
        <v>46123</v>
      </c>
      <c r="U108" s="27" t="inlineStr">
        <is>
          <t>TECH-07</t>
        </is>
      </c>
      <c r="V108" s="27" t="inlineStr">
        <is>
          <t>G-I-G3100-SEC01</t>
        </is>
      </c>
      <c r="W108" s="27" t="inlineStr">
        <is>
          <t>Équipement fictif 07-3-1</t>
        </is>
      </c>
      <c r="X108" s="27" t="inlineStr">
        <is>
          <t>EQ-07-3-01</t>
        </is>
      </c>
      <c r="Y108" s="27" t="inlineStr">
        <is>
          <t>GG-PREV</t>
        </is>
      </c>
      <c r="Z108" s="27" t="inlineStr">
        <is>
          <t>1</t>
        </is>
      </c>
      <c r="AA108" s="29" t="n">
        <v>46112</v>
      </c>
      <c r="AB108" s="27" t="inlineStr">
        <is>
          <t>DETENTE</t>
        </is>
      </c>
      <c r="AC108" s="27" t="inlineStr">
        <is>
          <t>EC+PIS</t>
        </is>
      </c>
      <c r="AD108" s="28" t="n">
        <v>2</v>
      </c>
      <c r="AE108" s="28" t="n">
        <v>1</v>
      </c>
      <c r="AF108" s="28" t="n">
        <v>1</v>
      </c>
      <c r="AG108" s="27" t="n"/>
      <c r="AH108" s="27" t="n"/>
      <c r="AI108" s="27" t="inlineStr">
        <is>
          <t>Instantané de démonstration – MODELE_GMAO_PREV_ANONYMISE.csv</t>
        </is>
      </c>
      <c r="AJ108" s="31" t="n">
        <v>46309.50763888889</v>
      </c>
    </row>
    <row r="109">
      <c r="A109" s="27" t="inlineStr">
        <is>
          <t>910000061</t>
        </is>
      </c>
      <c r="B109" s="27" t="inlineStr">
        <is>
          <t>PIS</t>
        </is>
      </c>
      <c r="C109" s="28" t="n">
        <v>2026</v>
      </c>
      <c r="D109" s="27" t="inlineStr">
        <is>
          <t>SITE07</t>
        </is>
      </c>
      <c r="E109" s="27" t="inlineStr">
        <is>
          <t>EQ3</t>
        </is>
      </c>
      <c r="F109" s="27" t="inlineStr">
        <is>
          <t>G-I-G3100</t>
        </is>
      </c>
      <c r="G109" s="27" t="n"/>
      <c r="H109" s="28" t="n">
        <v>62</v>
      </c>
      <c r="I109" s="29" t="n">
        <v>46056</v>
      </c>
      <c r="J109" s="27" t="n"/>
      <c r="K109" s="27" t="inlineStr">
        <is>
          <t>ZPR2</t>
        </is>
      </c>
      <c r="L109" s="27" t="inlineStr">
        <is>
          <t>PRE</t>
        </is>
      </c>
      <c r="M109" s="27" t="n"/>
      <c r="N109" s="27" t="inlineStr">
        <is>
          <t>Maintenance préventive fictive EC+PIS - poste G-I-G3100</t>
        </is>
      </c>
      <c r="O109" s="27" t="inlineStr">
        <is>
          <t>ACTI</t>
        </is>
      </c>
      <c r="P109" s="27" t="inlineStr">
        <is>
          <t>STAT_SYS_A</t>
        </is>
      </c>
      <c r="Q109" s="27" t="inlineStr">
        <is>
          <t>USER03</t>
        </is>
      </c>
      <c r="R109" s="30" t="n">
        <v>1005</v>
      </c>
      <c r="S109" s="27" t="inlineStr">
        <is>
          <t>EQ3</t>
        </is>
      </c>
      <c r="T109" s="29" t="n">
        <v>46123</v>
      </c>
      <c r="U109" s="27" t="inlineStr">
        <is>
          <t>TECH-07</t>
        </is>
      </c>
      <c r="V109" s="27" t="inlineStr">
        <is>
          <t>G-I-G3100-SEC01</t>
        </is>
      </c>
      <c r="W109" s="27" t="inlineStr">
        <is>
          <t>Équipement fictif 07-3-1</t>
        </is>
      </c>
      <c r="X109" s="27" t="inlineStr">
        <is>
          <t>EQ-07-3-01</t>
        </is>
      </c>
      <c r="Y109" s="27" t="inlineStr">
        <is>
          <t>GG-PREV</t>
        </is>
      </c>
      <c r="Z109" s="27" t="inlineStr">
        <is>
          <t>1</t>
        </is>
      </c>
      <c r="AA109" s="29" t="n">
        <v>46112</v>
      </c>
      <c r="AB109" s="27" t="inlineStr">
        <is>
          <t>DETENTE</t>
        </is>
      </c>
      <c r="AC109" s="27" t="inlineStr">
        <is>
          <t>EC+PIS</t>
        </is>
      </c>
      <c r="AD109" s="28" t="n">
        <v>1</v>
      </c>
      <c r="AE109" s="28" t="n">
        <v>1</v>
      </c>
      <c r="AF109" s="28" t="n">
        <v>1</v>
      </c>
      <c r="AG109" s="27" t="n"/>
      <c r="AH109" s="27" t="n"/>
      <c r="AI109" s="27" t="inlineStr">
        <is>
          <t>Instantané de démonstration – MODELE_GMAO_PREV_ANONYMISE.csv</t>
        </is>
      </c>
      <c r="AJ109" s="31" t="n">
        <v>46309.50763888889</v>
      </c>
    </row>
    <row r="110">
      <c r="A110" s="27" t="inlineStr">
        <is>
          <t>910000062</t>
        </is>
      </c>
      <c r="B110" s="27" t="inlineStr">
        <is>
          <t>EC</t>
        </is>
      </c>
      <c r="C110" s="28" t="n">
        <v>2026</v>
      </c>
      <c r="D110" s="27" t="inlineStr">
        <is>
          <t>SITE07</t>
        </is>
      </c>
      <c r="E110" s="27" t="inlineStr">
        <is>
          <t>EQ3</t>
        </is>
      </c>
      <c r="F110" s="27" t="inlineStr">
        <is>
          <t>G-I-G3200</t>
        </is>
      </c>
      <c r="G110" s="27" t="n"/>
      <c r="H110" s="28" t="n">
        <v>63</v>
      </c>
      <c r="I110" s="29" t="n">
        <v>46080</v>
      </c>
      <c r="J110" s="27" t="n"/>
      <c r="K110" s="27" t="inlineStr">
        <is>
          <t>ZPR2</t>
        </is>
      </c>
      <c r="L110" s="27" t="inlineStr">
        <is>
          <t>PRE</t>
        </is>
      </c>
      <c r="M110" s="27" t="n"/>
      <c r="N110" s="27" t="inlineStr">
        <is>
          <t>Maintenance préventive fictive EC+REV - poste G-I-G3200</t>
        </is>
      </c>
      <c r="O110" s="27" t="inlineStr">
        <is>
          <t>ACTI</t>
        </is>
      </c>
      <c r="P110" s="27" t="inlineStr">
        <is>
          <t>STAT_SYS_A</t>
        </is>
      </c>
      <c r="Q110" s="27" t="inlineStr">
        <is>
          <t>USER03</t>
        </is>
      </c>
      <c r="R110" s="30" t="n">
        <v>1015</v>
      </c>
      <c r="S110" s="27" t="inlineStr">
        <is>
          <t>EQ3</t>
        </is>
      </c>
      <c r="T110" s="29" t="n">
        <v>46154</v>
      </c>
      <c r="U110" s="27" t="inlineStr">
        <is>
          <t>TECH-07</t>
        </is>
      </c>
      <c r="V110" s="27" t="inlineStr">
        <is>
          <t>G-I-G3200-REG01</t>
        </is>
      </c>
      <c r="W110" s="27" t="inlineStr">
        <is>
          <t>Équipement fictif 07-3-2</t>
        </is>
      </c>
      <c r="X110" s="27" t="inlineStr">
        <is>
          <t>EQ-07-3-02</t>
        </is>
      </c>
      <c r="Y110" s="27" t="inlineStr">
        <is>
          <t>GG-PREV</t>
        </is>
      </c>
      <c r="Z110" s="27" t="inlineStr">
        <is>
          <t>2</t>
        </is>
      </c>
      <c r="AA110" s="29" t="n">
        <v>46142</v>
      </c>
      <c r="AB110" s="27" t="inlineStr">
        <is>
          <t>COUPURE</t>
        </is>
      </c>
      <c r="AC110" s="27" t="inlineStr">
        <is>
          <t>EC+REV</t>
        </is>
      </c>
      <c r="AD110" s="28" t="n">
        <v>2</v>
      </c>
      <c r="AE110" s="28" t="n">
        <v>1</v>
      </c>
      <c r="AF110" s="28" t="n">
        <v>1</v>
      </c>
      <c r="AG110" s="27" t="n"/>
      <c r="AH110" s="27" t="n"/>
      <c r="AI110" s="27" t="inlineStr">
        <is>
          <t>Instantané de démonstration – MODELE_GMAO_PREV_ANONYMISE.csv</t>
        </is>
      </c>
      <c r="AJ110" s="31" t="n">
        <v>46309.50763888889</v>
      </c>
    </row>
    <row r="111">
      <c r="A111" s="27" t="inlineStr">
        <is>
          <t>910000062</t>
        </is>
      </c>
      <c r="B111" s="27" t="inlineStr">
        <is>
          <t>REV</t>
        </is>
      </c>
      <c r="C111" s="28" t="n">
        <v>2026</v>
      </c>
      <c r="D111" s="27" t="inlineStr">
        <is>
          <t>SITE07</t>
        </is>
      </c>
      <c r="E111" s="27" t="inlineStr">
        <is>
          <t>EQ3</t>
        </is>
      </c>
      <c r="F111" s="27" t="inlineStr">
        <is>
          <t>G-I-G3200</t>
        </is>
      </c>
      <c r="G111" s="27" t="n"/>
      <c r="H111" s="28" t="n">
        <v>63</v>
      </c>
      <c r="I111" s="29" t="n">
        <v>46080</v>
      </c>
      <c r="J111" s="27" t="n"/>
      <c r="K111" s="27" t="inlineStr">
        <is>
          <t>ZPR2</t>
        </is>
      </c>
      <c r="L111" s="27" t="inlineStr">
        <is>
          <t>PRE</t>
        </is>
      </c>
      <c r="M111" s="27" t="n"/>
      <c r="N111" s="27" t="inlineStr">
        <is>
          <t>Maintenance préventive fictive EC+REV - poste G-I-G3200</t>
        </is>
      </c>
      <c r="O111" s="27" t="inlineStr">
        <is>
          <t>ACTI</t>
        </is>
      </c>
      <c r="P111" s="27" t="inlineStr">
        <is>
          <t>STAT_SYS_A</t>
        </is>
      </c>
      <c r="Q111" s="27" t="inlineStr">
        <is>
          <t>USER03</t>
        </is>
      </c>
      <c r="R111" s="30" t="n">
        <v>1015</v>
      </c>
      <c r="S111" s="27" t="inlineStr">
        <is>
          <t>EQ3</t>
        </is>
      </c>
      <c r="T111" s="29" t="n">
        <v>46154</v>
      </c>
      <c r="U111" s="27" t="inlineStr">
        <is>
          <t>TECH-07</t>
        </is>
      </c>
      <c r="V111" s="27" t="inlineStr">
        <is>
          <t>G-I-G3200-REG01</t>
        </is>
      </c>
      <c r="W111" s="27" t="inlineStr">
        <is>
          <t>Équipement fictif 07-3-2</t>
        </is>
      </c>
      <c r="X111" s="27" t="inlineStr">
        <is>
          <t>EQ-07-3-02</t>
        </is>
      </c>
      <c r="Y111" s="27" t="inlineStr">
        <is>
          <t>GG-PREV</t>
        </is>
      </c>
      <c r="Z111" s="27" t="inlineStr">
        <is>
          <t>2</t>
        </is>
      </c>
      <c r="AA111" s="29" t="n">
        <v>46142</v>
      </c>
      <c r="AB111" s="27" t="inlineStr">
        <is>
          <t>COUPURE</t>
        </is>
      </c>
      <c r="AC111" s="27" t="inlineStr">
        <is>
          <t>EC+REV</t>
        </is>
      </c>
      <c r="AD111" s="28" t="n">
        <v>5</v>
      </c>
      <c r="AE111" s="28" t="n">
        <v>1</v>
      </c>
      <c r="AF111" s="28" t="n">
        <v>1</v>
      </c>
      <c r="AG111" s="27" t="n"/>
      <c r="AH111" s="27" t="n"/>
      <c r="AI111" s="27" t="inlineStr">
        <is>
          <t>Instantané de démonstration – MODELE_GMAO_PREV_ANONYMISE.csv</t>
        </is>
      </c>
      <c r="AJ111" s="31" t="n">
        <v>46309.50763888889</v>
      </c>
    </row>
    <row r="112">
      <c r="A112" s="27" t="inlineStr">
        <is>
          <t>910000063</t>
        </is>
      </c>
      <c r="B112" s="27" t="inlineStr">
        <is>
          <t>EC</t>
        </is>
      </c>
      <c r="C112" s="28" t="n">
        <v>2026</v>
      </c>
      <c r="D112" s="27" t="inlineStr">
        <is>
          <t>SITE07</t>
        </is>
      </c>
      <c r="E112" s="27" t="inlineStr">
        <is>
          <t>EQ3</t>
        </is>
      </c>
      <c r="F112" s="27" t="inlineStr">
        <is>
          <t>G-I-G3300</t>
        </is>
      </c>
      <c r="G112" s="27" t="n"/>
      <c r="H112" s="28" t="n">
        <v>64</v>
      </c>
      <c r="I112" s="29" t="n">
        <v>46105</v>
      </c>
      <c r="J112" s="27" t="n"/>
      <c r="K112" s="27" t="inlineStr">
        <is>
          <t>ZPR2</t>
        </is>
      </c>
      <c r="L112" s="27" t="inlineStr">
        <is>
          <t>PRE</t>
        </is>
      </c>
      <c r="M112" s="27" t="n"/>
      <c r="N112" s="27" t="inlineStr">
        <is>
          <t>Maintenance préventive fictive EC+PIS+PILOTAGE+FILTRE - poste G-I-G3300</t>
        </is>
      </c>
      <c r="O112" s="27" t="inlineStr">
        <is>
          <t>TERM</t>
        </is>
      </c>
      <c r="P112" s="27" t="inlineStr">
        <is>
          <t>STAT_SYS_A</t>
        </is>
      </c>
      <c r="Q112" s="27" t="inlineStr">
        <is>
          <t>USER03</t>
        </is>
      </c>
      <c r="R112" s="30" t="n">
        <v>1025</v>
      </c>
      <c r="S112" s="27" t="inlineStr">
        <is>
          <t>EQ3</t>
        </is>
      </c>
      <c r="T112" s="29" t="n">
        <v>46186</v>
      </c>
      <c r="U112" s="27" t="inlineStr">
        <is>
          <t>TECH-07</t>
        </is>
      </c>
      <c r="V112" s="27" t="inlineStr">
        <is>
          <t>G-I-G3300-FILT01</t>
        </is>
      </c>
      <c r="W112" s="27" t="inlineStr">
        <is>
          <t>Équipement fictif 07-3-3</t>
        </is>
      </c>
      <c r="X112" s="27" t="inlineStr">
        <is>
          <t>EQ-07-3-03</t>
        </is>
      </c>
      <c r="Y112" s="27" t="inlineStr">
        <is>
          <t>GG-PREV</t>
        </is>
      </c>
      <c r="Z112" s="27" t="inlineStr">
        <is>
          <t>3</t>
        </is>
      </c>
      <c r="AA112" s="29" t="n">
        <v>46173</v>
      </c>
      <c r="AB112" s="27" t="inlineStr">
        <is>
          <t>SECTIONNEMENT</t>
        </is>
      </c>
      <c r="AC112" s="27" t="inlineStr">
        <is>
          <t>EC+PIS+PILOTAGE+FILTRE</t>
        </is>
      </c>
      <c r="AD112" s="28" t="n">
        <v>2</v>
      </c>
      <c r="AE112" s="28" t="n">
        <v>1</v>
      </c>
      <c r="AF112" s="28" t="n">
        <v>1</v>
      </c>
      <c r="AG112" s="27" t="n"/>
      <c r="AH112" s="27" t="n"/>
      <c r="AI112" s="27" t="inlineStr">
        <is>
          <t>Instantané de démonstration – MODELE_GMAO_PREV_ANONYMISE.csv</t>
        </is>
      </c>
      <c r="AJ112" s="31" t="n">
        <v>46309.50763888889</v>
      </c>
    </row>
    <row r="113">
      <c r="A113" s="27" t="inlineStr">
        <is>
          <t>910000063</t>
        </is>
      </c>
      <c r="B113" s="27" t="inlineStr">
        <is>
          <t>PIS</t>
        </is>
      </c>
      <c r="C113" s="28" t="n">
        <v>2026</v>
      </c>
      <c r="D113" s="27" t="inlineStr">
        <is>
          <t>SITE07</t>
        </is>
      </c>
      <c r="E113" s="27" t="inlineStr">
        <is>
          <t>EQ3</t>
        </is>
      </c>
      <c r="F113" s="27" t="inlineStr">
        <is>
          <t>G-I-G3300</t>
        </is>
      </c>
      <c r="G113" s="27" t="n"/>
      <c r="H113" s="28" t="n">
        <v>64</v>
      </c>
      <c r="I113" s="29" t="n">
        <v>46105</v>
      </c>
      <c r="J113" s="27" t="n"/>
      <c r="K113" s="27" t="inlineStr">
        <is>
          <t>ZPR2</t>
        </is>
      </c>
      <c r="L113" s="27" t="inlineStr">
        <is>
          <t>PRE</t>
        </is>
      </c>
      <c r="M113" s="27" t="n"/>
      <c r="N113" s="27" t="inlineStr">
        <is>
          <t>Maintenance préventive fictive EC+PIS+PILOTAGE+FILTRE - poste G-I-G3300</t>
        </is>
      </c>
      <c r="O113" s="27" t="inlineStr">
        <is>
          <t>TERM</t>
        </is>
      </c>
      <c r="P113" s="27" t="inlineStr">
        <is>
          <t>STAT_SYS_A</t>
        </is>
      </c>
      <c r="Q113" s="27" t="inlineStr">
        <is>
          <t>USER03</t>
        </is>
      </c>
      <c r="R113" s="30" t="n">
        <v>1025</v>
      </c>
      <c r="S113" s="27" t="inlineStr">
        <is>
          <t>EQ3</t>
        </is>
      </c>
      <c r="T113" s="29" t="n">
        <v>46186</v>
      </c>
      <c r="U113" s="27" t="inlineStr">
        <is>
          <t>TECH-07</t>
        </is>
      </c>
      <c r="V113" s="27" t="inlineStr">
        <is>
          <t>G-I-G3300-FILT01</t>
        </is>
      </c>
      <c r="W113" s="27" t="inlineStr">
        <is>
          <t>Équipement fictif 07-3-3</t>
        </is>
      </c>
      <c r="X113" s="27" t="inlineStr">
        <is>
          <t>EQ-07-3-03</t>
        </is>
      </c>
      <c r="Y113" s="27" t="inlineStr">
        <is>
          <t>GG-PREV</t>
        </is>
      </c>
      <c r="Z113" s="27" t="inlineStr">
        <is>
          <t>3</t>
        </is>
      </c>
      <c r="AA113" s="29" t="n">
        <v>46173</v>
      </c>
      <c r="AB113" s="27" t="inlineStr">
        <is>
          <t>SECTIONNEMENT</t>
        </is>
      </c>
      <c r="AC113" s="27" t="inlineStr">
        <is>
          <t>EC+PIS+PILOTAGE+FILTRE</t>
        </is>
      </c>
      <c r="AD113" s="28" t="n">
        <v>1</v>
      </c>
      <c r="AE113" s="28" t="n">
        <v>1</v>
      </c>
      <c r="AF113" s="28" t="n">
        <v>1</v>
      </c>
      <c r="AG113" s="27" t="n"/>
      <c r="AH113" s="27" t="n"/>
      <c r="AI113" s="27" t="inlineStr">
        <is>
          <t>Instantané de démonstration – MODELE_GMAO_PREV_ANONYMISE.csv</t>
        </is>
      </c>
      <c r="AJ113" s="31" t="n">
        <v>46309.50763888889</v>
      </c>
    </row>
    <row r="114">
      <c r="A114" s="27" t="inlineStr">
        <is>
          <t>910000063</t>
        </is>
      </c>
      <c r="B114" s="27" t="inlineStr">
        <is>
          <t>PILOTAGE</t>
        </is>
      </c>
      <c r="C114" s="28" t="n">
        <v>2026</v>
      </c>
      <c r="D114" s="27" t="inlineStr">
        <is>
          <t>SITE07</t>
        </is>
      </c>
      <c r="E114" s="27" t="inlineStr">
        <is>
          <t>EQ3</t>
        </is>
      </c>
      <c r="F114" s="27" t="inlineStr">
        <is>
          <t>G-I-G3300</t>
        </is>
      </c>
      <c r="G114" s="27" t="n"/>
      <c r="H114" s="28" t="n">
        <v>64</v>
      </c>
      <c r="I114" s="29" t="n">
        <v>46105</v>
      </c>
      <c r="J114" s="27" t="n"/>
      <c r="K114" s="27" t="inlineStr">
        <is>
          <t>ZPR2</t>
        </is>
      </c>
      <c r="L114" s="27" t="inlineStr">
        <is>
          <t>PRE</t>
        </is>
      </c>
      <c r="M114" s="27" t="n"/>
      <c r="N114" s="27" t="inlineStr">
        <is>
          <t>Maintenance préventive fictive EC+PIS+PILOTAGE+FILTRE - poste G-I-G3300</t>
        </is>
      </c>
      <c r="O114" s="27" t="inlineStr">
        <is>
          <t>TERM</t>
        </is>
      </c>
      <c r="P114" s="27" t="inlineStr">
        <is>
          <t>STAT_SYS_A</t>
        </is>
      </c>
      <c r="Q114" s="27" t="inlineStr">
        <is>
          <t>USER03</t>
        </is>
      </c>
      <c r="R114" s="30" t="n">
        <v>1025</v>
      </c>
      <c r="S114" s="27" t="inlineStr">
        <is>
          <t>EQ3</t>
        </is>
      </c>
      <c r="T114" s="29" t="n">
        <v>46186</v>
      </c>
      <c r="U114" s="27" t="inlineStr">
        <is>
          <t>TECH-07</t>
        </is>
      </c>
      <c r="V114" s="27" t="inlineStr">
        <is>
          <t>G-I-G3300-FILT01</t>
        </is>
      </c>
      <c r="W114" s="27" t="inlineStr">
        <is>
          <t>Équipement fictif 07-3-3</t>
        </is>
      </c>
      <c r="X114" s="27" t="inlineStr">
        <is>
          <t>EQ-07-3-03</t>
        </is>
      </c>
      <c r="Y114" s="27" t="inlineStr">
        <is>
          <t>GG-PREV</t>
        </is>
      </c>
      <c r="Z114" s="27" t="inlineStr">
        <is>
          <t>3</t>
        </is>
      </c>
      <c r="AA114" s="29" t="n">
        <v>46173</v>
      </c>
      <c r="AB114" s="27" t="inlineStr">
        <is>
          <t>SECTIONNEMENT</t>
        </is>
      </c>
      <c r="AC114" s="27" t="inlineStr">
        <is>
          <t>EC+PIS+PILOTAGE+FILTRE</t>
        </is>
      </c>
      <c r="AD114" s="28" t="n">
        <v>3</v>
      </c>
      <c r="AE114" s="28" t="n">
        <v>1</v>
      </c>
      <c r="AF114" s="28" t="n">
        <v>1</v>
      </c>
      <c r="AG114" s="27" t="n"/>
      <c r="AH114" s="27" t="n"/>
      <c r="AI114" s="27" t="inlineStr">
        <is>
          <t>Instantané de démonstration – MODELE_GMAO_PREV_ANONYMISE.csv</t>
        </is>
      </c>
      <c r="AJ114" s="31" t="n">
        <v>46309.50763888889</v>
      </c>
    </row>
    <row r="115">
      <c r="A115" s="27" t="inlineStr">
        <is>
          <t>910000063</t>
        </is>
      </c>
      <c r="B115" s="27" t="inlineStr">
        <is>
          <t>FILTRE</t>
        </is>
      </c>
      <c r="C115" s="28" t="n">
        <v>2026</v>
      </c>
      <c r="D115" s="27" t="inlineStr">
        <is>
          <t>SITE07</t>
        </is>
      </c>
      <c r="E115" s="27" t="inlineStr">
        <is>
          <t>EQ3</t>
        </is>
      </c>
      <c r="F115" s="27" t="inlineStr">
        <is>
          <t>G-I-G3300</t>
        </is>
      </c>
      <c r="G115" s="27" t="n"/>
      <c r="H115" s="28" t="n">
        <v>64</v>
      </c>
      <c r="I115" s="29" t="n">
        <v>46105</v>
      </c>
      <c r="J115" s="27" t="n"/>
      <c r="K115" s="27" t="inlineStr">
        <is>
          <t>ZPR2</t>
        </is>
      </c>
      <c r="L115" s="27" t="inlineStr">
        <is>
          <t>PRE</t>
        </is>
      </c>
      <c r="M115" s="27" t="n"/>
      <c r="N115" s="27" t="inlineStr">
        <is>
          <t>Maintenance préventive fictive EC+PIS+PILOTAGE+FILTRE - poste G-I-G3300</t>
        </is>
      </c>
      <c r="O115" s="27" t="inlineStr">
        <is>
          <t>TERM</t>
        </is>
      </c>
      <c r="P115" s="27" t="inlineStr">
        <is>
          <t>STAT_SYS_A</t>
        </is>
      </c>
      <c r="Q115" s="27" t="inlineStr">
        <is>
          <t>USER03</t>
        </is>
      </c>
      <c r="R115" s="30" t="n">
        <v>1025</v>
      </c>
      <c r="S115" s="27" t="inlineStr">
        <is>
          <t>EQ3</t>
        </is>
      </c>
      <c r="T115" s="29" t="n">
        <v>46186</v>
      </c>
      <c r="U115" s="27" t="inlineStr">
        <is>
          <t>TECH-07</t>
        </is>
      </c>
      <c r="V115" s="27" t="inlineStr">
        <is>
          <t>G-I-G3300-FILT01</t>
        </is>
      </c>
      <c r="W115" s="27" t="inlineStr">
        <is>
          <t>Équipement fictif 07-3-3</t>
        </is>
      </c>
      <c r="X115" s="27" t="inlineStr">
        <is>
          <t>EQ-07-3-03</t>
        </is>
      </c>
      <c r="Y115" s="27" t="inlineStr">
        <is>
          <t>GG-PREV</t>
        </is>
      </c>
      <c r="Z115" s="27" t="inlineStr">
        <is>
          <t>3</t>
        </is>
      </c>
      <c r="AA115" s="29" t="n">
        <v>46173</v>
      </c>
      <c r="AB115" s="27" t="inlineStr">
        <is>
          <t>SECTIONNEMENT</t>
        </is>
      </c>
      <c r="AC115" s="27" t="inlineStr">
        <is>
          <t>EC+PIS+PILOTAGE+FILTRE</t>
        </is>
      </c>
      <c r="AD115" s="28" t="n">
        <v>4</v>
      </c>
      <c r="AE115" s="28" t="n">
        <v>1</v>
      </c>
      <c r="AF115" s="28" t="n">
        <v>1</v>
      </c>
      <c r="AG115" s="27" t="n"/>
      <c r="AH115" s="27" t="n"/>
      <c r="AI115" s="27" t="inlineStr">
        <is>
          <t>Instantané de démonstration – MODELE_GMAO_PREV_ANONYMISE.csv</t>
        </is>
      </c>
      <c r="AJ115" s="31" t="n">
        <v>46309.50763888889</v>
      </c>
    </row>
    <row r="116">
      <c r="A116" s="27" t="inlineStr">
        <is>
          <t>910000064</t>
        </is>
      </c>
      <c r="B116" s="27" t="inlineStr">
        <is>
          <t>REV</t>
        </is>
      </c>
      <c r="C116" s="28" t="n">
        <v>2026</v>
      </c>
      <c r="D116" s="27" t="inlineStr">
        <is>
          <t>SITE08</t>
        </is>
      </c>
      <c r="E116" s="27" t="inlineStr">
        <is>
          <t>EQ1</t>
        </is>
      </c>
      <c r="F116" s="27" t="inlineStr">
        <is>
          <t>G-I-H1100</t>
        </is>
      </c>
      <c r="G116" s="27" t="n"/>
      <c r="H116" s="28" t="n">
        <v>65</v>
      </c>
      <c r="I116" s="29" t="n">
        <v>45998</v>
      </c>
      <c r="J116" s="27" t="n"/>
      <c r="K116" s="27" t="inlineStr">
        <is>
          <t>ZPR2</t>
        </is>
      </c>
      <c r="L116" s="27" t="inlineStr">
        <is>
          <t>PRE</t>
        </is>
      </c>
      <c r="M116" s="27" t="n"/>
      <c r="N116" s="27" t="inlineStr">
        <is>
          <t>Maintenance préventive fictive REV - poste G-I-H1100</t>
        </is>
      </c>
      <c r="O116" s="27" t="inlineStr">
        <is>
          <t>ACTI</t>
        </is>
      </c>
      <c r="P116" s="27" t="inlineStr">
        <is>
          <t>STAT_SYS_A</t>
        </is>
      </c>
      <c r="Q116" s="27" t="inlineStr">
        <is>
          <t>USER01</t>
        </is>
      </c>
      <c r="R116" s="30" t="n">
        <v>1050</v>
      </c>
      <c r="S116" s="27" t="inlineStr">
        <is>
          <t>EQ1</t>
        </is>
      </c>
      <c r="T116" s="29" t="n">
        <v>46065</v>
      </c>
      <c r="U116" s="27" t="inlineStr">
        <is>
          <t>TECH-08</t>
        </is>
      </c>
      <c r="V116" s="27" t="inlineStr">
        <is>
          <t>G-I-H1100-REG01</t>
        </is>
      </c>
      <c r="W116" s="27" t="inlineStr">
        <is>
          <t>Équipement fictif 08-1-1</t>
        </is>
      </c>
      <c r="X116" s="27" t="inlineStr">
        <is>
          <t>EQ-08-1-01</t>
        </is>
      </c>
      <c r="Y116" s="27" t="inlineStr">
        <is>
          <t>GG-PREV</t>
        </is>
      </c>
      <c r="Z116" s="27" t="inlineStr">
        <is>
          <t>1</t>
        </is>
      </c>
      <c r="AA116" s="29" t="n">
        <v>46054</v>
      </c>
      <c r="AB116" s="27" t="inlineStr">
        <is>
          <t>COUPURE</t>
        </is>
      </c>
      <c r="AC116" s="27" t="inlineStr">
        <is>
          <t>REV</t>
        </is>
      </c>
      <c r="AD116" s="28" t="n">
        <v>5</v>
      </c>
      <c r="AE116" s="28" t="n">
        <v>1</v>
      </c>
      <c r="AF116" s="28" t="n">
        <v>1</v>
      </c>
      <c r="AG116" s="27" t="n"/>
      <c r="AH116" s="27" t="n"/>
      <c r="AI116" s="27" t="inlineStr">
        <is>
          <t>Instantané de démonstration – MODELE_GMAO_PREV_ANONYMISE.csv</t>
        </is>
      </c>
      <c r="AJ116" s="31" t="n">
        <v>46309.50763888889</v>
      </c>
    </row>
    <row r="117">
      <c r="A117" s="27" t="inlineStr">
        <is>
          <t>910000065</t>
        </is>
      </c>
      <c r="B117" s="27" t="inlineStr">
        <is>
          <t>EC</t>
        </is>
      </c>
      <c r="C117" s="28" t="n">
        <v>2026</v>
      </c>
      <c r="D117" s="27" t="inlineStr">
        <is>
          <t>SITE08</t>
        </is>
      </c>
      <c r="E117" s="27" t="inlineStr">
        <is>
          <t>EQ1</t>
        </is>
      </c>
      <c r="F117" s="27" t="inlineStr">
        <is>
          <t>G-I-H1200</t>
        </is>
      </c>
      <c r="G117" s="27" t="n"/>
      <c r="H117" s="28" t="n">
        <v>66</v>
      </c>
      <c r="I117" s="29" t="n">
        <v>46020</v>
      </c>
      <c r="J117" s="27" t="n"/>
      <c r="K117" s="27" t="inlineStr">
        <is>
          <t>ZPR2</t>
        </is>
      </c>
      <c r="L117" s="27" t="inlineStr">
        <is>
          <t>PRE</t>
        </is>
      </c>
      <c r="M117" s="27" t="n"/>
      <c r="N117" s="27" t="inlineStr">
        <is>
          <t>Maintenance préventive fictive EC+PIS - poste G-I-H1200</t>
        </is>
      </c>
      <c r="O117" s="27" t="inlineStr">
        <is>
          <t>TERM</t>
        </is>
      </c>
      <c r="P117" s="27" t="inlineStr">
        <is>
          <t>STAT_SYS_A</t>
        </is>
      </c>
      <c r="Q117" s="27" t="inlineStr">
        <is>
          <t>USER01</t>
        </is>
      </c>
      <c r="R117" s="30" t="n">
        <v>1060</v>
      </c>
      <c r="S117" s="27" t="inlineStr">
        <is>
          <t>EQ1</t>
        </is>
      </c>
      <c r="T117" s="29" t="n">
        <v>46094</v>
      </c>
      <c r="U117" s="27" t="inlineStr">
        <is>
          <t>TECH-08</t>
        </is>
      </c>
      <c r="V117" s="27" t="inlineStr">
        <is>
          <t>G-I-H1200-FILT01</t>
        </is>
      </c>
      <c r="W117" s="27" t="inlineStr">
        <is>
          <t>Équipement fictif 08-1-2</t>
        </is>
      </c>
      <c r="X117" s="27" t="inlineStr">
        <is>
          <t>EQ-08-1-02</t>
        </is>
      </c>
      <c r="Y117" s="27" t="inlineStr">
        <is>
          <t>GG-PREV</t>
        </is>
      </c>
      <c r="Z117" s="27" t="inlineStr">
        <is>
          <t>2</t>
        </is>
      </c>
      <c r="AA117" s="29" t="n">
        <v>46082</v>
      </c>
      <c r="AB117" s="27" t="inlineStr">
        <is>
          <t>SECTIONNEMENT</t>
        </is>
      </c>
      <c r="AC117" s="27" t="inlineStr">
        <is>
          <t>EC+PIS</t>
        </is>
      </c>
      <c r="AD117" s="28" t="n">
        <v>2</v>
      </c>
      <c r="AE117" s="28" t="n">
        <v>1</v>
      </c>
      <c r="AF117" s="28" t="n">
        <v>1</v>
      </c>
      <c r="AG117" s="27" t="n"/>
      <c r="AH117" s="27" t="n"/>
      <c r="AI117" s="27" t="inlineStr">
        <is>
          <t>Instantané de démonstration – MODELE_GMAO_PREV_ANONYMISE.csv</t>
        </is>
      </c>
      <c r="AJ117" s="31" t="n">
        <v>46309.50763888889</v>
      </c>
    </row>
    <row r="118">
      <c r="A118" s="27" t="inlineStr">
        <is>
          <t>910000065</t>
        </is>
      </c>
      <c r="B118" s="27" t="inlineStr">
        <is>
          <t>PIS</t>
        </is>
      </c>
      <c r="C118" s="28" t="n">
        <v>2026</v>
      </c>
      <c r="D118" s="27" t="inlineStr">
        <is>
          <t>SITE08</t>
        </is>
      </c>
      <c r="E118" s="27" t="inlineStr">
        <is>
          <t>EQ1</t>
        </is>
      </c>
      <c r="F118" s="27" t="inlineStr">
        <is>
          <t>G-I-H1200</t>
        </is>
      </c>
      <c r="G118" s="27" t="n"/>
      <c r="H118" s="28" t="n">
        <v>66</v>
      </c>
      <c r="I118" s="29" t="n">
        <v>46020</v>
      </c>
      <c r="J118" s="27" t="n"/>
      <c r="K118" s="27" t="inlineStr">
        <is>
          <t>ZPR2</t>
        </is>
      </c>
      <c r="L118" s="27" t="inlineStr">
        <is>
          <t>PRE</t>
        </is>
      </c>
      <c r="M118" s="27" t="n"/>
      <c r="N118" s="27" t="inlineStr">
        <is>
          <t>Maintenance préventive fictive EC+PIS - poste G-I-H1200</t>
        </is>
      </c>
      <c r="O118" s="27" t="inlineStr">
        <is>
          <t>TERM</t>
        </is>
      </c>
      <c r="P118" s="27" t="inlineStr">
        <is>
          <t>STAT_SYS_A</t>
        </is>
      </c>
      <c r="Q118" s="27" t="inlineStr">
        <is>
          <t>USER01</t>
        </is>
      </c>
      <c r="R118" s="30" t="n">
        <v>1060</v>
      </c>
      <c r="S118" s="27" t="inlineStr">
        <is>
          <t>EQ1</t>
        </is>
      </c>
      <c r="T118" s="29" t="n">
        <v>46094</v>
      </c>
      <c r="U118" s="27" t="inlineStr">
        <is>
          <t>TECH-08</t>
        </is>
      </c>
      <c r="V118" s="27" t="inlineStr">
        <is>
          <t>G-I-H1200-FILT01</t>
        </is>
      </c>
      <c r="W118" s="27" t="inlineStr">
        <is>
          <t>Équipement fictif 08-1-2</t>
        </is>
      </c>
      <c r="X118" s="27" t="inlineStr">
        <is>
          <t>EQ-08-1-02</t>
        </is>
      </c>
      <c r="Y118" s="27" t="inlineStr">
        <is>
          <t>GG-PREV</t>
        </is>
      </c>
      <c r="Z118" s="27" t="inlineStr">
        <is>
          <t>2</t>
        </is>
      </c>
      <c r="AA118" s="29" t="n">
        <v>46082</v>
      </c>
      <c r="AB118" s="27" t="inlineStr">
        <is>
          <t>SECTIONNEMENT</t>
        </is>
      </c>
      <c r="AC118" s="27" t="inlineStr">
        <is>
          <t>EC+PIS</t>
        </is>
      </c>
      <c r="AD118" s="28" t="n">
        <v>1</v>
      </c>
      <c r="AE118" s="28" t="n">
        <v>1</v>
      </c>
      <c r="AF118" s="28" t="n">
        <v>1</v>
      </c>
      <c r="AG118" s="27" t="n"/>
      <c r="AH118" s="27" t="n"/>
      <c r="AI118" s="27" t="inlineStr">
        <is>
          <t>Instantané de démonstration – MODELE_GMAO_PREV_ANONYMISE.csv</t>
        </is>
      </c>
      <c r="AJ118" s="31" t="n">
        <v>46309.50763888889</v>
      </c>
    </row>
    <row r="119">
      <c r="A119" s="27" t="inlineStr">
        <is>
          <t>910000066</t>
        </is>
      </c>
      <c r="B119" s="27" t="inlineStr">
        <is>
          <t>EC</t>
        </is>
      </c>
      <c r="C119" s="28" t="n">
        <v>2026</v>
      </c>
      <c r="D119" s="27" t="inlineStr">
        <is>
          <t>SITE08</t>
        </is>
      </c>
      <c r="E119" s="27" t="inlineStr">
        <is>
          <t>EQ1</t>
        </is>
      </c>
      <c r="F119" s="27" t="inlineStr">
        <is>
          <t>G-I-H1300</t>
        </is>
      </c>
      <c r="G119" s="27" t="n"/>
      <c r="H119" s="28" t="n">
        <v>67</v>
      </c>
      <c r="I119" s="29" t="n">
        <v>46045</v>
      </c>
      <c r="J119" s="27" t="n"/>
      <c r="K119" s="27" t="inlineStr">
        <is>
          <t>ZPR2</t>
        </is>
      </c>
      <c r="L119" s="27" t="inlineStr">
        <is>
          <t>PRE</t>
        </is>
      </c>
      <c r="M119" s="27" t="n"/>
      <c r="N119" s="27" t="inlineStr">
        <is>
          <t>Maintenance préventive fictive EC+REV - poste G-I-H1300</t>
        </is>
      </c>
      <c r="O119" s="27" t="inlineStr">
        <is>
          <t>ACTI</t>
        </is>
      </c>
      <c r="P119" s="27" t="inlineStr">
        <is>
          <t>STAT_SYS_A</t>
        </is>
      </c>
      <c r="Q119" s="27" t="inlineStr">
        <is>
          <t>USER01</t>
        </is>
      </c>
      <c r="R119" s="30" t="n">
        <v>1070</v>
      </c>
      <c r="S119" s="27" t="inlineStr">
        <is>
          <t>EQ1</t>
        </is>
      </c>
      <c r="T119" s="29" t="n">
        <v>46126</v>
      </c>
      <c r="U119" s="27" t="inlineStr">
        <is>
          <t>TECH-08</t>
        </is>
      </c>
      <c r="V119" s="27" t="inlineStr">
        <is>
          <t>G-I-H1300-FILT01</t>
        </is>
      </c>
      <c r="W119" s="27" t="inlineStr">
        <is>
          <t>Équipement fictif 08-1-3</t>
        </is>
      </c>
      <c r="X119" s="27" t="inlineStr">
        <is>
          <t>EQ-08-1-03</t>
        </is>
      </c>
      <c r="Y119" s="27" t="inlineStr">
        <is>
          <t>GG-PREV</t>
        </is>
      </c>
      <c r="Z119" s="27" t="inlineStr">
        <is>
          <t>3</t>
        </is>
      </c>
      <c r="AA119" s="29" t="n">
        <v>46113</v>
      </c>
      <c r="AB119" s="27" t="inlineStr">
        <is>
          <t>COMPTAGE</t>
        </is>
      </c>
      <c r="AC119" s="27" t="inlineStr">
        <is>
          <t>EC+REV</t>
        </is>
      </c>
      <c r="AD119" s="28" t="n">
        <v>2</v>
      </c>
      <c r="AE119" s="28" t="n">
        <v>1</v>
      </c>
      <c r="AF119" s="28" t="n">
        <v>1</v>
      </c>
      <c r="AG119" s="27" t="n"/>
      <c r="AH119" s="27" t="n"/>
      <c r="AI119" s="27" t="inlineStr">
        <is>
          <t>Instantané de démonstration – MODELE_GMAO_PREV_ANONYMISE.csv</t>
        </is>
      </c>
      <c r="AJ119" s="31" t="n">
        <v>46309.50763888889</v>
      </c>
    </row>
    <row r="120">
      <c r="A120" s="27" t="inlineStr">
        <is>
          <t>910000066</t>
        </is>
      </c>
      <c r="B120" s="27" t="inlineStr">
        <is>
          <t>REV</t>
        </is>
      </c>
      <c r="C120" s="28" t="n">
        <v>2026</v>
      </c>
      <c r="D120" s="27" t="inlineStr">
        <is>
          <t>SITE08</t>
        </is>
      </c>
      <c r="E120" s="27" t="inlineStr">
        <is>
          <t>EQ1</t>
        </is>
      </c>
      <c r="F120" s="27" t="inlineStr">
        <is>
          <t>G-I-H1300</t>
        </is>
      </c>
      <c r="G120" s="27" t="n"/>
      <c r="H120" s="28" t="n">
        <v>67</v>
      </c>
      <c r="I120" s="29" t="n">
        <v>46045</v>
      </c>
      <c r="J120" s="27" t="n"/>
      <c r="K120" s="27" t="inlineStr">
        <is>
          <t>ZPR2</t>
        </is>
      </c>
      <c r="L120" s="27" t="inlineStr">
        <is>
          <t>PRE</t>
        </is>
      </c>
      <c r="M120" s="27" t="n"/>
      <c r="N120" s="27" t="inlineStr">
        <is>
          <t>Maintenance préventive fictive EC+REV - poste G-I-H1300</t>
        </is>
      </c>
      <c r="O120" s="27" t="inlineStr">
        <is>
          <t>ACTI</t>
        </is>
      </c>
      <c r="P120" s="27" t="inlineStr">
        <is>
          <t>STAT_SYS_A</t>
        </is>
      </c>
      <c r="Q120" s="27" t="inlineStr">
        <is>
          <t>USER01</t>
        </is>
      </c>
      <c r="R120" s="30" t="n">
        <v>1070</v>
      </c>
      <c r="S120" s="27" t="inlineStr">
        <is>
          <t>EQ1</t>
        </is>
      </c>
      <c r="T120" s="29" t="n">
        <v>46126</v>
      </c>
      <c r="U120" s="27" t="inlineStr">
        <is>
          <t>TECH-08</t>
        </is>
      </c>
      <c r="V120" s="27" t="inlineStr">
        <is>
          <t>G-I-H1300-FILT01</t>
        </is>
      </c>
      <c r="W120" s="27" t="inlineStr">
        <is>
          <t>Équipement fictif 08-1-3</t>
        </is>
      </c>
      <c r="X120" s="27" t="inlineStr">
        <is>
          <t>EQ-08-1-03</t>
        </is>
      </c>
      <c r="Y120" s="27" t="inlineStr">
        <is>
          <t>GG-PREV</t>
        </is>
      </c>
      <c r="Z120" s="27" t="inlineStr">
        <is>
          <t>3</t>
        </is>
      </c>
      <c r="AA120" s="29" t="n">
        <v>46113</v>
      </c>
      <c r="AB120" s="27" t="inlineStr">
        <is>
          <t>COMPTAGE</t>
        </is>
      </c>
      <c r="AC120" s="27" t="inlineStr">
        <is>
          <t>EC+REV</t>
        </is>
      </c>
      <c r="AD120" s="28" t="n">
        <v>5</v>
      </c>
      <c r="AE120" s="28" t="n">
        <v>1</v>
      </c>
      <c r="AF120" s="28" t="n">
        <v>1</v>
      </c>
      <c r="AG120" s="27" t="n"/>
      <c r="AH120" s="27" t="n"/>
      <c r="AI120" s="27" t="inlineStr">
        <is>
          <t>Instantané de démonstration – MODELE_GMAO_PREV_ANONYMISE.csv</t>
        </is>
      </c>
      <c r="AJ120" s="31" t="n">
        <v>46309.50763888889</v>
      </c>
    </row>
    <row r="121">
      <c r="A121" s="27" t="inlineStr">
        <is>
          <t>910000067</t>
        </is>
      </c>
      <c r="B121" s="27" t="inlineStr">
        <is>
          <t>EC</t>
        </is>
      </c>
      <c r="C121" s="28" t="n">
        <v>2026</v>
      </c>
      <c r="D121" s="27" t="inlineStr">
        <is>
          <t>SITE08</t>
        </is>
      </c>
      <c r="E121" s="27" t="inlineStr">
        <is>
          <t>EQ2</t>
        </is>
      </c>
      <c r="F121" s="27" t="inlineStr">
        <is>
          <t>G-I-H2100</t>
        </is>
      </c>
      <c r="G121" s="27" t="n"/>
      <c r="H121" s="28" t="n">
        <v>68</v>
      </c>
      <c r="I121" s="29" t="n">
        <v>46026</v>
      </c>
      <c r="J121" s="27" t="n"/>
      <c r="K121" s="27" t="inlineStr">
        <is>
          <t>ZPR2</t>
        </is>
      </c>
      <c r="L121" s="27" t="inlineStr">
        <is>
          <t>PRE</t>
        </is>
      </c>
      <c r="M121" s="27" t="n"/>
      <c r="N121" s="27" t="inlineStr">
        <is>
          <t>Maintenance préventive fictive EC+PIS - poste G-I-H2100</t>
        </is>
      </c>
      <c r="O121" s="27" t="inlineStr">
        <is>
          <t>TERM</t>
        </is>
      </c>
      <c r="P121" s="27" t="inlineStr">
        <is>
          <t>STAT_SYS_A</t>
        </is>
      </c>
      <c r="Q121" s="27" t="inlineStr">
        <is>
          <t>USER02</t>
        </is>
      </c>
      <c r="R121" s="30" t="n">
        <v>1090</v>
      </c>
      <c r="S121" s="27" t="inlineStr">
        <is>
          <t>EQ2</t>
        </is>
      </c>
      <c r="T121" s="29" t="n">
        <v>46093</v>
      </c>
      <c r="U121" s="27" t="inlineStr">
        <is>
          <t>TECH-08</t>
        </is>
      </c>
      <c r="V121" s="27" t="inlineStr">
        <is>
          <t>G-I-H2100-VAN01</t>
        </is>
      </c>
      <c r="W121" s="27" t="inlineStr">
        <is>
          <t>Équipement fictif 08-2-1</t>
        </is>
      </c>
      <c r="X121" s="27" t="inlineStr">
        <is>
          <t>EQ-08-2-01</t>
        </is>
      </c>
      <c r="Y121" s="27" t="inlineStr">
        <is>
          <t>GG-PREV</t>
        </is>
      </c>
      <c r="Z121" s="27" t="inlineStr">
        <is>
          <t>1</t>
        </is>
      </c>
      <c r="AA121" s="29" t="n">
        <v>46082</v>
      </c>
      <c r="AB121" s="27" t="inlineStr">
        <is>
          <t>COUPURE</t>
        </is>
      </c>
      <c r="AC121" s="27" t="inlineStr">
        <is>
          <t>EC+PIS</t>
        </is>
      </c>
      <c r="AD121" s="28" t="n">
        <v>2</v>
      </c>
      <c r="AE121" s="28" t="n">
        <v>1</v>
      </c>
      <c r="AF121" s="28" t="n">
        <v>1</v>
      </c>
      <c r="AG121" s="27" t="n"/>
      <c r="AH121" s="27" t="n"/>
      <c r="AI121" s="27" t="inlineStr">
        <is>
          <t>Instantané de démonstration – MODELE_GMAO_PREV_ANONYMISE.csv</t>
        </is>
      </c>
      <c r="AJ121" s="31" t="n">
        <v>46309.50763888889</v>
      </c>
    </row>
    <row r="122">
      <c r="A122" s="27" t="inlineStr">
        <is>
          <t>910000067</t>
        </is>
      </c>
      <c r="B122" s="27" t="inlineStr">
        <is>
          <t>PIS</t>
        </is>
      </c>
      <c r="C122" s="28" t="n">
        <v>2026</v>
      </c>
      <c r="D122" s="27" t="inlineStr">
        <is>
          <t>SITE08</t>
        </is>
      </c>
      <c r="E122" s="27" t="inlineStr">
        <is>
          <t>EQ2</t>
        </is>
      </c>
      <c r="F122" s="27" t="inlineStr">
        <is>
          <t>G-I-H2100</t>
        </is>
      </c>
      <c r="G122" s="27" t="n"/>
      <c r="H122" s="28" t="n">
        <v>68</v>
      </c>
      <c r="I122" s="29" t="n">
        <v>46026</v>
      </c>
      <c r="J122" s="27" t="n"/>
      <c r="K122" s="27" t="inlineStr">
        <is>
          <t>ZPR2</t>
        </is>
      </c>
      <c r="L122" s="27" t="inlineStr">
        <is>
          <t>PRE</t>
        </is>
      </c>
      <c r="M122" s="27" t="n"/>
      <c r="N122" s="27" t="inlineStr">
        <is>
          <t>Maintenance préventive fictive EC+PIS - poste G-I-H2100</t>
        </is>
      </c>
      <c r="O122" s="27" t="inlineStr">
        <is>
          <t>TERM</t>
        </is>
      </c>
      <c r="P122" s="27" t="inlineStr">
        <is>
          <t>STAT_SYS_A</t>
        </is>
      </c>
      <c r="Q122" s="27" t="inlineStr">
        <is>
          <t>USER02</t>
        </is>
      </c>
      <c r="R122" s="30" t="n">
        <v>1090</v>
      </c>
      <c r="S122" s="27" t="inlineStr">
        <is>
          <t>EQ2</t>
        </is>
      </c>
      <c r="T122" s="29" t="n">
        <v>46093</v>
      </c>
      <c r="U122" s="27" t="inlineStr">
        <is>
          <t>TECH-08</t>
        </is>
      </c>
      <c r="V122" s="27" t="inlineStr">
        <is>
          <t>G-I-H2100-VAN01</t>
        </is>
      </c>
      <c r="W122" s="27" t="inlineStr">
        <is>
          <t>Équipement fictif 08-2-1</t>
        </is>
      </c>
      <c r="X122" s="27" t="inlineStr">
        <is>
          <t>EQ-08-2-01</t>
        </is>
      </c>
      <c r="Y122" s="27" t="inlineStr">
        <is>
          <t>GG-PREV</t>
        </is>
      </c>
      <c r="Z122" s="27" t="inlineStr">
        <is>
          <t>1</t>
        </is>
      </c>
      <c r="AA122" s="29" t="n">
        <v>46082</v>
      </c>
      <c r="AB122" s="27" t="inlineStr">
        <is>
          <t>COUPURE</t>
        </is>
      </c>
      <c r="AC122" s="27" t="inlineStr">
        <is>
          <t>EC+PIS</t>
        </is>
      </c>
      <c r="AD122" s="28" t="n">
        <v>1</v>
      </c>
      <c r="AE122" s="28" t="n">
        <v>1</v>
      </c>
      <c r="AF122" s="28" t="n">
        <v>1</v>
      </c>
      <c r="AG122" s="27" t="n"/>
      <c r="AH122" s="27" t="n"/>
      <c r="AI122" s="27" t="inlineStr">
        <is>
          <t>Instantané de démonstration – MODELE_GMAO_PREV_ANONYMISE.csv</t>
        </is>
      </c>
      <c r="AJ122" s="31" t="n">
        <v>46309.50763888889</v>
      </c>
    </row>
    <row r="123">
      <c r="A123" s="27" t="inlineStr">
        <is>
          <t>910000068</t>
        </is>
      </c>
      <c r="B123" s="27" t="inlineStr">
        <is>
          <t>EC</t>
        </is>
      </c>
      <c r="C123" s="28" t="n">
        <v>2026</v>
      </c>
      <c r="D123" s="27" t="inlineStr">
        <is>
          <t>SITE08</t>
        </is>
      </c>
      <c r="E123" s="27" t="inlineStr">
        <is>
          <t>EQ2</t>
        </is>
      </c>
      <c r="F123" s="27" t="inlineStr">
        <is>
          <t>G-I-H2200</t>
        </is>
      </c>
      <c r="G123" s="27" t="n"/>
      <c r="H123" s="28" t="n">
        <v>69</v>
      </c>
      <c r="I123" s="29" t="n">
        <v>46051</v>
      </c>
      <c r="J123" s="27" t="n"/>
      <c r="K123" s="27" t="inlineStr">
        <is>
          <t>ZPR2</t>
        </is>
      </c>
      <c r="L123" s="27" t="inlineStr">
        <is>
          <t>PRE</t>
        </is>
      </c>
      <c r="M123" s="27" t="n"/>
      <c r="N123" s="27" t="inlineStr">
        <is>
          <t>Maintenance préventive fictive EC+REV - poste G-I-H2200</t>
        </is>
      </c>
      <c r="O123" s="27" t="inlineStr">
        <is>
          <t>ACTI</t>
        </is>
      </c>
      <c r="P123" s="27" t="inlineStr">
        <is>
          <t>STAT_SYS_A</t>
        </is>
      </c>
      <c r="Q123" s="27" t="inlineStr">
        <is>
          <t>USER02</t>
        </is>
      </c>
      <c r="R123" s="30" t="n">
        <v>1100</v>
      </c>
      <c r="S123" s="27" t="inlineStr">
        <is>
          <t>EQ2</t>
        </is>
      </c>
      <c r="T123" s="29" t="n">
        <v>46125</v>
      </c>
      <c r="U123" s="27" t="inlineStr">
        <is>
          <t>TECH-08</t>
        </is>
      </c>
      <c r="V123" s="27" t="inlineStr">
        <is>
          <t>G-I-H2200-FILT01</t>
        </is>
      </c>
      <c r="W123" s="27" t="inlineStr">
        <is>
          <t>Équipement fictif 08-2-2</t>
        </is>
      </c>
      <c r="X123" s="27" t="inlineStr">
        <is>
          <t>EQ-08-2-02</t>
        </is>
      </c>
      <c r="Y123" s="27" t="inlineStr">
        <is>
          <t>GG-PREV</t>
        </is>
      </c>
      <c r="Z123" s="27" t="inlineStr">
        <is>
          <t>2</t>
        </is>
      </c>
      <c r="AA123" s="29" t="n">
        <v>46113</v>
      </c>
      <c r="AB123" s="27" t="inlineStr">
        <is>
          <t>SECTIONNEMENT</t>
        </is>
      </c>
      <c r="AC123" s="27" t="inlineStr">
        <is>
          <t>EC+REV</t>
        </is>
      </c>
      <c r="AD123" s="28" t="n">
        <v>2</v>
      </c>
      <c r="AE123" s="28" t="n">
        <v>1</v>
      </c>
      <c r="AF123" s="28" t="n">
        <v>1</v>
      </c>
      <c r="AG123" s="27" t="n"/>
      <c r="AH123" s="27" t="n"/>
      <c r="AI123" s="27" t="inlineStr">
        <is>
          <t>Instantané de démonstration – MODELE_GMAO_PREV_ANONYMISE.csv</t>
        </is>
      </c>
      <c r="AJ123" s="31" t="n">
        <v>46309.50763888889</v>
      </c>
    </row>
    <row r="124">
      <c r="A124" s="27" t="inlineStr">
        <is>
          <t>910000068</t>
        </is>
      </c>
      <c r="B124" s="27" t="inlineStr">
        <is>
          <t>REV</t>
        </is>
      </c>
      <c r="C124" s="28" t="n">
        <v>2026</v>
      </c>
      <c r="D124" s="27" t="inlineStr">
        <is>
          <t>SITE08</t>
        </is>
      </c>
      <c r="E124" s="27" t="inlineStr">
        <is>
          <t>EQ2</t>
        </is>
      </c>
      <c r="F124" s="27" t="inlineStr">
        <is>
          <t>G-I-H2200</t>
        </is>
      </c>
      <c r="G124" s="27" t="n"/>
      <c r="H124" s="28" t="n">
        <v>69</v>
      </c>
      <c r="I124" s="29" t="n">
        <v>46051</v>
      </c>
      <c r="J124" s="27" t="n"/>
      <c r="K124" s="27" t="inlineStr">
        <is>
          <t>ZPR2</t>
        </is>
      </c>
      <c r="L124" s="27" t="inlineStr">
        <is>
          <t>PRE</t>
        </is>
      </c>
      <c r="M124" s="27" t="n"/>
      <c r="N124" s="27" t="inlineStr">
        <is>
          <t>Maintenance préventive fictive EC+REV - poste G-I-H2200</t>
        </is>
      </c>
      <c r="O124" s="27" t="inlineStr">
        <is>
          <t>ACTI</t>
        </is>
      </c>
      <c r="P124" s="27" t="inlineStr">
        <is>
          <t>STAT_SYS_A</t>
        </is>
      </c>
      <c r="Q124" s="27" t="inlineStr">
        <is>
          <t>USER02</t>
        </is>
      </c>
      <c r="R124" s="30" t="n">
        <v>1100</v>
      </c>
      <c r="S124" s="27" t="inlineStr">
        <is>
          <t>EQ2</t>
        </is>
      </c>
      <c r="T124" s="29" t="n">
        <v>46125</v>
      </c>
      <c r="U124" s="27" t="inlineStr">
        <is>
          <t>TECH-08</t>
        </is>
      </c>
      <c r="V124" s="27" t="inlineStr">
        <is>
          <t>G-I-H2200-FILT01</t>
        </is>
      </c>
      <c r="W124" s="27" t="inlineStr">
        <is>
          <t>Équipement fictif 08-2-2</t>
        </is>
      </c>
      <c r="X124" s="27" t="inlineStr">
        <is>
          <t>EQ-08-2-02</t>
        </is>
      </c>
      <c r="Y124" s="27" t="inlineStr">
        <is>
          <t>GG-PREV</t>
        </is>
      </c>
      <c r="Z124" s="27" t="inlineStr">
        <is>
          <t>2</t>
        </is>
      </c>
      <c r="AA124" s="29" t="n">
        <v>46113</v>
      </c>
      <c r="AB124" s="27" t="inlineStr">
        <is>
          <t>SECTIONNEMENT</t>
        </is>
      </c>
      <c r="AC124" s="27" t="inlineStr">
        <is>
          <t>EC+REV</t>
        </is>
      </c>
      <c r="AD124" s="28" t="n">
        <v>5</v>
      </c>
      <c r="AE124" s="28" t="n">
        <v>1</v>
      </c>
      <c r="AF124" s="28" t="n">
        <v>1</v>
      </c>
      <c r="AG124" s="27" t="n"/>
      <c r="AH124" s="27" t="n"/>
      <c r="AI124" s="27" t="inlineStr">
        <is>
          <t>Instantané de démonstration – MODELE_GMAO_PREV_ANONYMISE.csv</t>
        </is>
      </c>
      <c r="AJ124" s="31" t="n">
        <v>46309.50763888889</v>
      </c>
    </row>
    <row r="125">
      <c r="A125" s="27" t="inlineStr">
        <is>
          <t>910000069</t>
        </is>
      </c>
      <c r="B125" s="27" t="inlineStr">
        <is>
          <t>EC</t>
        </is>
      </c>
      <c r="C125" s="28" t="n">
        <v>2026</v>
      </c>
      <c r="D125" s="27" t="inlineStr">
        <is>
          <t>SITE08</t>
        </is>
      </c>
      <c r="E125" s="27" t="inlineStr">
        <is>
          <t>EQ2</t>
        </is>
      </c>
      <c r="F125" s="27" t="inlineStr">
        <is>
          <t>G-I-H2300</t>
        </is>
      </c>
      <c r="G125" s="27" t="n"/>
      <c r="H125" s="28" t="n">
        <v>70</v>
      </c>
      <c r="I125" s="29" t="n">
        <v>46075</v>
      </c>
      <c r="J125" s="27" t="n"/>
      <c r="K125" s="27" t="inlineStr">
        <is>
          <t>ZPR2</t>
        </is>
      </c>
      <c r="L125" s="27" t="inlineStr">
        <is>
          <t>PRE</t>
        </is>
      </c>
      <c r="M125" s="27" t="n"/>
      <c r="N125" s="27" t="inlineStr">
        <is>
          <t>Maintenance préventive fictive EC+PIS+PILOTAGE+FILTRE - poste G-I-H2300</t>
        </is>
      </c>
      <c r="O125" s="27" t="inlineStr">
        <is>
          <t>ACTI</t>
        </is>
      </c>
      <c r="P125" s="27" t="inlineStr">
        <is>
          <t>STAT_SYS_A</t>
        </is>
      </c>
      <c r="Q125" s="27" t="inlineStr">
        <is>
          <t>USER02</t>
        </is>
      </c>
      <c r="R125" s="30" t="n">
        <v>1110</v>
      </c>
      <c r="S125" s="27" t="inlineStr">
        <is>
          <t>EQ2</t>
        </is>
      </c>
      <c r="T125" s="29" t="n">
        <v>46156</v>
      </c>
      <c r="U125" s="27" t="inlineStr">
        <is>
          <t>TECH-08</t>
        </is>
      </c>
      <c r="V125" s="27" t="inlineStr">
        <is>
          <t>G-I-H2300-VAN01</t>
        </is>
      </c>
      <c r="W125" s="27" t="inlineStr">
        <is>
          <t>Équipement fictif 08-2-3</t>
        </is>
      </c>
      <c r="X125" s="27" t="inlineStr">
        <is>
          <t>EQ-08-2-03</t>
        </is>
      </c>
      <c r="Y125" s="27" t="inlineStr">
        <is>
          <t>GG-PREV</t>
        </is>
      </c>
      <c r="Z125" s="27" t="inlineStr">
        <is>
          <t>3</t>
        </is>
      </c>
      <c r="AA125" s="29" t="n">
        <v>46143</v>
      </c>
      <c r="AB125" s="27" t="inlineStr">
        <is>
          <t>COMPTAGE</t>
        </is>
      </c>
      <c r="AC125" s="27" t="inlineStr">
        <is>
          <t>EC+PIS+PILOTAGE+FILTRE</t>
        </is>
      </c>
      <c r="AD125" s="28" t="n">
        <v>2</v>
      </c>
      <c r="AE125" s="28" t="n">
        <v>1</v>
      </c>
      <c r="AF125" s="28" t="n">
        <v>1</v>
      </c>
      <c r="AG125" s="27" t="n"/>
      <c r="AH125" s="27" t="n"/>
      <c r="AI125" s="27" t="inlineStr">
        <is>
          <t>Instantané de démonstration – MODELE_GMAO_PREV_ANONYMISE.csv</t>
        </is>
      </c>
      <c r="AJ125" s="31" t="n">
        <v>46309.50763888889</v>
      </c>
    </row>
    <row r="126">
      <c r="A126" s="27" t="inlineStr">
        <is>
          <t>910000069</t>
        </is>
      </c>
      <c r="B126" s="27" t="inlineStr">
        <is>
          <t>PIS</t>
        </is>
      </c>
      <c r="C126" s="28" t="n">
        <v>2026</v>
      </c>
      <c r="D126" s="27" t="inlineStr">
        <is>
          <t>SITE08</t>
        </is>
      </c>
      <c r="E126" s="27" t="inlineStr">
        <is>
          <t>EQ2</t>
        </is>
      </c>
      <c r="F126" s="27" t="inlineStr">
        <is>
          <t>G-I-H2300</t>
        </is>
      </c>
      <c r="G126" s="27" t="n"/>
      <c r="H126" s="28" t="n">
        <v>70</v>
      </c>
      <c r="I126" s="29" t="n">
        <v>46075</v>
      </c>
      <c r="J126" s="27" t="n"/>
      <c r="K126" s="27" t="inlineStr">
        <is>
          <t>ZPR2</t>
        </is>
      </c>
      <c r="L126" s="27" t="inlineStr">
        <is>
          <t>PRE</t>
        </is>
      </c>
      <c r="M126" s="27" t="n"/>
      <c r="N126" s="27" t="inlineStr">
        <is>
          <t>Maintenance préventive fictive EC+PIS+PILOTAGE+FILTRE - poste G-I-H2300</t>
        </is>
      </c>
      <c r="O126" s="27" t="inlineStr">
        <is>
          <t>ACTI</t>
        </is>
      </c>
      <c r="P126" s="27" t="inlineStr">
        <is>
          <t>STAT_SYS_A</t>
        </is>
      </c>
      <c r="Q126" s="27" t="inlineStr">
        <is>
          <t>USER02</t>
        </is>
      </c>
      <c r="R126" s="30" t="n">
        <v>1110</v>
      </c>
      <c r="S126" s="27" t="inlineStr">
        <is>
          <t>EQ2</t>
        </is>
      </c>
      <c r="T126" s="29" t="n">
        <v>46156</v>
      </c>
      <c r="U126" s="27" t="inlineStr">
        <is>
          <t>TECH-08</t>
        </is>
      </c>
      <c r="V126" s="27" t="inlineStr">
        <is>
          <t>G-I-H2300-VAN01</t>
        </is>
      </c>
      <c r="W126" s="27" t="inlineStr">
        <is>
          <t>Équipement fictif 08-2-3</t>
        </is>
      </c>
      <c r="X126" s="27" t="inlineStr">
        <is>
          <t>EQ-08-2-03</t>
        </is>
      </c>
      <c r="Y126" s="27" t="inlineStr">
        <is>
          <t>GG-PREV</t>
        </is>
      </c>
      <c r="Z126" s="27" t="inlineStr">
        <is>
          <t>3</t>
        </is>
      </c>
      <c r="AA126" s="29" t="n">
        <v>46143</v>
      </c>
      <c r="AB126" s="27" t="inlineStr">
        <is>
          <t>COMPTAGE</t>
        </is>
      </c>
      <c r="AC126" s="27" t="inlineStr">
        <is>
          <t>EC+PIS+PILOTAGE+FILTRE</t>
        </is>
      </c>
      <c r="AD126" s="28" t="n">
        <v>1</v>
      </c>
      <c r="AE126" s="28" t="n">
        <v>1</v>
      </c>
      <c r="AF126" s="28" t="n">
        <v>1</v>
      </c>
      <c r="AG126" s="27" t="n"/>
      <c r="AH126" s="27" t="n"/>
      <c r="AI126" s="27" t="inlineStr">
        <is>
          <t>Instantané de démonstration – MODELE_GMAO_PREV_ANONYMISE.csv</t>
        </is>
      </c>
      <c r="AJ126" s="31" t="n">
        <v>46309.50763888889</v>
      </c>
    </row>
    <row r="127">
      <c r="A127" s="27" t="inlineStr">
        <is>
          <t>910000069</t>
        </is>
      </c>
      <c r="B127" s="27" t="inlineStr">
        <is>
          <t>PILOTAGE</t>
        </is>
      </c>
      <c r="C127" s="28" t="n">
        <v>2026</v>
      </c>
      <c r="D127" s="27" t="inlineStr">
        <is>
          <t>SITE08</t>
        </is>
      </c>
      <c r="E127" s="27" t="inlineStr">
        <is>
          <t>EQ2</t>
        </is>
      </c>
      <c r="F127" s="27" t="inlineStr">
        <is>
          <t>G-I-H2300</t>
        </is>
      </c>
      <c r="G127" s="27" t="n"/>
      <c r="H127" s="28" t="n">
        <v>70</v>
      </c>
      <c r="I127" s="29" t="n">
        <v>46075</v>
      </c>
      <c r="J127" s="27" t="n"/>
      <c r="K127" s="27" t="inlineStr">
        <is>
          <t>ZPR2</t>
        </is>
      </c>
      <c r="L127" s="27" t="inlineStr">
        <is>
          <t>PRE</t>
        </is>
      </c>
      <c r="M127" s="27" t="n"/>
      <c r="N127" s="27" t="inlineStr">
        <is>
          <t>Maintenance préventive fictive EC+PIS+PILOTAGE+FILTRE - poste G-I-H2300</t>
        </is>
      </c>
      <c r="O127" s="27" t="inlineStr">
        <is>
          <t>ACTI</t>
        </is>
      </c>
      <c r="P127" s="27" t="inlineStr">
        <is>
          <t>STAT_SYS_A</t>
        </is>
      </c>
      <c r="Q127" s="27" t="inlineStr">
        <is>
          <t>USER02</t>
        </is>
      </c>
      <c r="R127" s="30" t="n">
        <v>1110</v>
      </c>
      <c r="S127" s="27" t="inlineStr">
        <is>
          <t>EQ2</t>
        </is>
      </c>
      <c r="T127" s="29" t="n">
        <v>46156</v>
      </c>
      <c r="U127" s="27" t="inlineStr">
        <is>
          <t>TECH-08</t>
        </is>
      </c>
      <c r="V127" s="27" t="inlineStr">
        <is>
          <t>G-I-H2300-VAN01</t>
        </is>
      </c>
      <c r="W127" s="27" t="inlineStr">
        <is>
          <t>Équipement fictif 08-2-3</t>
        </is>
      </c>
      <c r="X127" s="27" t="inlineStr">
        <is>
          <t>EQ-08-2-03</t>
        </is>
      </c>
      <c r="Y127" s="27" t="inlineStr">
        <is>
          <t>GG-PREV</t>
        </is>
      </c>
      <c r="Z127" s="27" t="inlineStr">
        <is>
          <t>3</t>
        </is>
      </c>
      <c r="AA127" s="29" t="n">
        <v>46143</v>
      </c>
      <c r="AB127" s="27" t="inlineStr">
        <is>
          <t>COMPTAGE</t>
        </is>
      </c>
      <c r="AC127" s="27" t="inlineStr">
        <is>
          <t>EC+PIS+PILOTAGE+FILTRE</t>
        </is>
      </c>
      <c r="AD127" s="28" t="n">
        <v>3</v>
      </c>
      <c r="AE127" s="28" t="n">
        <v>1</v>
      </c>
      <c r="AF127" s="28" t="n">
        <v>1</v>
      </c>
      <c r="AG127" s="27" t="n"/>
      <c r="AH127" s="27" t="n"/>
      <c r="AI127" s="27" t="inlineStr">
        <is>
          <t>Instantané de démonstration – MODELE_GMAO_PREV_ANONYMISE.csv</t>
        </is>
      </c>
      <c r="AJ127" s="31" t="n">
        <v>46309.50763888889</v>
      </c>
    </row>
    <row r="128">
      <c r="A128" s="27" t="inlineStr">
        <is>
          <t>910000069</t>
        </is>
      </c>
      <c r="B128" s="27" t="inlineStr">
        <is>
          <t>FILTRE</t>
        </is>
      </c>
      <c r="C128" s="28" t="n">
        <v>2026</v>
      </c>
      <c r="D128" s="27" t="inlineStr">
        <is>
          <t>SITE08</t>
        </is>
      </c>
      <c r="E128" s="27" t="inlineStr">
        <is>
          <t>EQ2</t>
        </is>
      </c>
      <c r="F128" s="27" t="inlineStr">
        <is>
          <t>G-I-H2300</t>
        </is>
      </c>
      <c r="G128" s="27" t="n"/>
      <c r="H128" s="28" t="n">
        <v>70</v>
      </c>
      <c r="I128" s="29" t="n">
        <v>46075</v>
      </c>
      <c r="J128" s="27" t="n"/>
      <c r="K128" s="27" t="inlineStr">
        <is>
          <t>ZPR2</t>
        </is>
      </c>
      <c r="L128" s="27" t="inlineStr">
        <is>
          <t>PRE</t>
        </is>
      </c>
      <c r="M128" s="27" t="n"/>
      <c r="N128" s="27" t="inlineStr">
        <is>
          <t>Maintenance préventive fictive EC+PIS+PILOTAGE+FILTRE - poste G-I-H2300</t>
        </is>
      </c>
      <c r="O128" s="27" t="inlineStr">
        <is>
          <t>ACTI</t>
        </is>
      </c>
      <c r="P128" s="27" t="inlineStr">
        <is>
          <t>STAT_SYS_A</t>
        </is>
      </c>
      <c r="Q128" s="27" t="inlineStr">
        <is>
          <t>USER02</t>
        </is>
      </c>
      <c r="R128" s="30" t="n">
        <v>1110</v>
      </c>
      <c r="S128" s="27" t="inlineStr">
        <is>
          <t>EQ2</t>
        </is>
      </c>
      <c r="T128" s="29" t="n">
        <v>46156</v>
      </c>
      <c r="U128" s="27" t="inlineStr">
        <is>
          <t>TECH-08</t>
        </is>
      </c>
      <c r="V128" s="27" t="inlineStr">
        <is>
          <t>G-I-H2300-VAN01</t>
        </is>
      </c>
      <c r="W128" s="27" t="inlineStr">
        <is>
          <t>Équipement fictif 08-2-3</t>
        </is>
      </c>
      <c r="X128" s="27" t="inlineStr">
        <is>
          <t>EQ-08-2-03</t>
        </is>
      </c>
      <c r="Y128" s="27" t="inlineStr">
        <is>
          <t>GG-PREV</t>
        </is>
      </c>
      <c r="Z128" s="27" t="inlineStr">
        <is>
          <t>3</t>
        </is>
      </c>
      <c r="AA128" s="29" t="n">
        <v>46143</v>
      </c>
      <c r="AB128" s="27" t="inlineStr">
        <is>
          <t>COMPTAGE</t>
        </is>
      </c>
      <c r="AC128" s="27" t="inlineStr">
        <is>
          <t>EC+PIS+PILOTAGE+FILTRE</t>
        </is>
      </c>
      <c r="AD128" s="28" t="n">
        <v>4</v>
      </c>
      <c r="AE128" s="28" t="n">
        <v>1</v>
      </c>
      <c r="AF128" s="28" t="n">
        <v>1</v>
      </c>
      <c r="AG128" s="27" t="n"/>
      <c r="AH128" s="27" t="n"/>
      <c r="AI128" s="27" t="inlineStr">
        <is>
          <t>Instantané de démonstration – MODELE_GMAO_PREV_ANONYMISE.csv</t>
        </is>
      </c>
      <c r="AJ128" s="31" t="n">
        <v>46309.50763888889</v>
      </c>
    </row>
    <row r="129">
      <c r="A129" s="27" t="inlineStr">
        <is>
          <t>910000070</t>
        </is>
      </c>
      <c r="B129" s="27" t="inlineStr">
        <is>
          <t>EC</t>
        </is>
      </c>
      <c r="C129" s="28" t="n">
        <v>2026</v>
      </c>
      <c r="D129" s="27" t="inlineStr">
        <is>
          <t>SITE08</t>
        </is>
      </c>
      <c r="E129" s="27" t="inlineStr">
        <is>
          <t>EQ3</t>
        </is>
      </c>
      <c r="F129" s="27" t="inlineStr">
        <is>
          <t>G-I-H3100</t>
        </is>
      </c>
      <c r="G129" s="27" t="n"/>
      <c r="H129" s="28" t="n">
        <v>71</v>
      </c>
      <c r="I129" s="29" t="n">
        <v>46057</v>
      </c>
      <c r="J129" s="27" t="n"/>
      <c r="K129" s="27" t="inlineStr">
        <is>
          <t>ZPR2</t>
        </is>
      </c>
      <c r="L129" s="27" t="inlineStr">
        <is>
          <t>PRE</t>
        </is>
      </c>
      <c r="M129" s="27" t="n"/>
      <c r="N129" s="27" t="inlineStr">
        <is>
          <t>Maintenance préventive fictive EC+REV - poste G-I-H3100</t>
        </is>
      </c>
      <c r="O129" s="27" t="inlineStr">
        <is>
          <t>ACTI</t>
        </is>
      </c>
      <c r="P129" s="27" t="inlineStr">
        <is>
          <t>STAT_SYS_A</t>
        </is>
      </c>
      <c r="Q129" s="27" t="inlineStr">
        <is>
          <t>USER03</t>
        </is>
      </c>
      <c r="R129" s="30" t="n">
        <v>1130</v>
      </c>
      <c r="S129" s="27" t="inlineStr">
        <is>
          <t>EQ3</t>
        </is>
      </c>
      <c r="T129" s="29" t="n">
        <v>46124</v>
      </c>
      <c r="U129" s="27" t="inlineStr">
        <is>
          <t>TECH-08</t>
        </is>
      </c>
      <c r="V129" s="27" t="inlineStr">
        <is>
          <t>G-I-H3100-VAN01</t>
        </is>
      </c>
      <c r="W129" s="27" t="inlineStr">
        <is>
          <t>Équipement fictif 08-3-1</t>
        </is>
      </c>
      <c r="X129" s="27" t="inlineStr">
        <is>
          <t>EQ-08-3-01</t>
        </is>
      </c>
      <c r="Y129" s="27" t="inlineStr">
        <is>
          <t>GG-PREV</t>
        </is>
      </c>
      <c r="Z129" s="27" t="inlineStr">
        <is>
          <t>1</t>
        </is>
      </c>
      <c r="AA129" s="29" t="n">
        <v>46113</v>
      </c>
      <c r="AB129" s="27" t="inlineStr">
        <is>
          <t>COUPURE</t>
        </is>
      </c>
      <c r="AC129" s="27" t="inlineStr">
        <is>
          <t>EC+REV</t>
        </is>
      </c>
      <c r="AD129" s="28" t="n">
        <v>2</v>
      </c>
      <c r="AE129" s="28" t="n">
        <v>1</v>
      </c>
      <c r="AF129" s="28" t="n">
        <v>1</v>
      </c>
      <c r="AG129" s="27" t="n"/>
      <c r="AH129" s="27" t="n"/>
      <c r="AI129" s="27" t="inlineStr">
        <is>
          <t>Instantané de démonstration – MODELE_GMAO_PREV_ANONYMISE.csv</t>
        </is>
      </c>
      <c r="AJ129" s="31" t="n">
        <v>46309.50763888889</v>
      </c>
    </row>
    <row r="130">
      <c r="A130" s="27" t="inlineStr">
        <is>
          <t>910000070</t>
        </is>
      </c>
      <c r="B130" s="27" t="inlineStr">
        <is>
          <t>REV</t>
        </is>
      </c>
      <c r="C130" s="28" t="n">
        <v>2026</v>
      </c>
      <c r="D130" s="27" t="inlineStr">
        <is>
          <t>SITE08</t>
        </is>
      </c>
      <c r="E130" s="27" t="inlineStr">
        <is>
          <t>EQ3</t>
        </is>
      </c>
      <c r="F130" s="27" t="inlineStr">
        <is>
          <t>G-I-H3100</t>
        </is>
      </c>
      <c r="G130" s="27" t="n"/>
      <c r="H130" s="28" t="n">
        <v>71</v>
      </c>
      <c r="I130" s="29" t="n">
        <v>46057</v>
      </c>
      <c r="J130" s="27" t="n"/>
      <c r="K130" s="27" t="inlineStr">
        <is>
          <t>ZPR2</t>
        </is>
      </c>
      <c r="L130" s="27" t="inlineStr">
        <is>
          <t>PRE</t>
        </is>
      </c>
      <c r="M130" s="27" t="n"/>
      <c r="N130" s="27" t="inlineStr">
        <is>
          <t>Maintenance préventive fictive EC+REV - poste G-I-H3100</t>
        </is>
      </c>
      <c r="O130" s="27" t="inlineStr">
        <is>
          <t>ACTI</t>
        </is>
      </c>
      <c r="P130" s="27" t="inlineStr">
        <is>
          <t>STAT_SYS_A</t>
        </is>
      </c>
      <c r="Q130" s="27" t="inlineStr">
        <is>
          <t>USER03</t>
        </is>
      </c>
      <c r="R130" s="30" t="n">
        <v>1130</v>
      </c>
      <c r="S130" s="27" t="inlineStr">
        <is>
          <t>EQ3</t>
        </is>
      </c>
      <c r="T130" s="29" t="n">
        <v>46124</v>
      </c>
      <c r="U130" s="27" t="inlineStr">
        <is>
          <t>TECH-08</t>
        </is>
      </c>
      <c r="V130" s="27" t="inlineStr">
        <is>
          <t>G-I-H3100-VAN01</t>
        </is>
      </c>
      <c r="W130" s="27" t="inlineStr">
        <is>
          <t>Équipement fictif 08-3-1</t>
        </is>
      </c>
      <c r="X130" s="27" t="inlineStr">
        <is>
          <t>EQ-08-3-01</t>
        </is>
      </c>
      <c r="Y130" s="27" t="inlineStr">
        <is>
          <t>GG-PREV</t>
        </is>
      </c>
      <c r="Z130" s="27" t="inlineStr">
        <is>
          <t>1</t>
        </is>
      </c>
      <c r="AA130" s="29" t="n">
        <v>46113</v>
      </c>
      <c r="AB130" s="27" t="inlineStr">
        <is>
          <t>COUPURE</t>
        </is>
      </c>
      <c r="AC130" s="27" t="inlineStr">
        <is>
          <t>EC+REV</t>
        </is>
      </c>
      <c r="AD130" s="28" t="n">
        <v>5</v>
      </c>
      <c r="AE130" s="28" t="n">
        <v>1</v>
      </c>
      <c r="AF130" s="28" t="n">
        <v>1</v>
      </c>
      <c r="AG130" s="27" t="n"/>
      <c r="AH130" s="27" t="n"/>
      <c r="AI130" s="27" t="inlineStr">
        <is>
          <t>Instantané de démonstration – MODELE_GMAO_PREV_ANONYMISE.csv</t>
        </is>
      </c>
      <c r="AJ130" s="31" t="n">
        <v>46309.50763888889</v>
      </c>
    </row>
    <row r="131">
      <c r="A131" s="27" t="inlineStr">
        <is>
          <t>910000071</t>
        </is>
      </c>
      <c r="B131" s="27" t="inlineStr">
        <is>
          <t>EC</t>
        </is>
      </c>
      <c r="C131" s="28" t="n">
        <v>2026</v>
      </c>
      <c r="D131" s="27" t="inlineStr">
        <is>
          <t>SITE08</t>
        </is>
      </c>
      <c r="E131" s="27" t="inlineStr">
        <is>
          <t>EQ3</t>
        </is>
      </c>
      <c r="F131" s="27" t="inlineStr">
        <is>
          <t>G-I-H3200</t>
        </is>
      </c>
      <c r="G131" s="27" t="n"/>
      <c r="H131" s="28" t="n">
        <v>72</v>
      </c>
      <c r="I131" s="29" t="n">
        <v>46081</v>
      </c>
      <c r="J131" s="27" t="n"/>
      <c r="K131" s="27" t="inlineStr">
        <is>
          <t>ZPR2</t>
        </is>
      </c>
      <c r="L131" s="27" t="inlineStr">
        <is>
          <t>PRE</t>
        </is>
      </c>
      <c r="M131" s="27" t="n"/>
      <c r="N131" s="27" t="inlineStr">
        <is>
          <t>Maintenance préventive fictive EC+PIS+PILOTAGE+FILTRE - poste G-I-H3200</t>
        </is>
      </c>
      <c r="O131" s="27" t="inlineStr">
        <is>
          <t>ACTI</t>
        </is>
      </c>
      <c r="P131" s="27" t="inlineStr">
        <is>
          <t>STAT_SYS_A</t>
        </is>
      </c>
      <c r="Q131" s="27" t="inlineStr">
        <is>
          <t>USER03</t>
        </is>
      </c>
      <c r="R131" s="30" t="n">
        <v>1140</v>
      </c>
      <c r="S131" s="27" t="inlineStr">
        <is>
          <t>EQ3</t>
        </is>
      </c>
      <c r="T131" s="29" t="n">
        <v>46155</v>
      </c>
      <c r="U131" s="27" t="inlineStr">
        <is>
          <t>TECH-08</t>
        </is>
      </c>
      <c r="V131" s="27" t="inlineStr">
        <is>
          <t>G-I-H3200-REG01</t>
        </is>
      </c>
      <c r="W131" s="27" t="inlineStr">
        <is>
          <t>Équipement fictif 08-3-2</t>
        </is>
      </c>
      <c r="X131" s="27" t="inlineStr">
        <is>
          <t>EQ-08-3-02</t>
        </is>
      </c>
      <c r="Y131" s="27" t="inlineStr">
        <is>
          <t>GG-PREV</t>
        </is>
      </c>
      <c r="Z131" s="27" t="inlineStr">
        <is>
          <t>2</t>
        </is>
      </c>
      <c r="AA131" s="29" t="n">
        <v>46143</v>
      </c>
      <c r="AB131" s="27" t="inlineStr">
        <is>
          <t>SECTIONNEMENT</t>
        </is>
      </c>
      <c r="AC131" s="27" t="inlineStr">
        <is>
          <t>EC+PIS+PILOTAGE+FILTRE</t>
        </is>
      </c>
      <c r="AD131" s="28" t="n">
        <v>2</v>
      </c>
      <c r="AE131" s="28" t="n">
        <v>1</v>
      </c>
      <c r="AF131" s="28" t="n">
        <v>1</v>
      </c>
      <c r="AG131" s="27" t="n"/>
      <c r="AH131" s="27" t="n"/>
      <c r="AI131" s="27" t="inlineStr">
        <is>
          <t>Instantané de démonstration – MODELE_GMAO_PREV_ANONYMISE.csv</t>
        </is>
      </c>
      <c r="AJ131" s="31" t="n">
        <v>46309.50763888889</v>
      </c>
    </row>
    <row r="132">
      <c r="A132" s="27" t="inlineStr">
        <is>
          <t>910000071</t>
        </is>
      </c>
      <c r="B132" s="27" t="inlineStr">
        <is>
          <t>PIS</t>
        </is>
      </c>
      <c r="C132" s="28" t="n">
        <v>2026</v>
      </c>
      <c r="D132" s="27" t="inlineStr">
        <is>
          <t>SITE08</t>
        </is>
      </c>
      <c r="E132" s="27" t="inlineStr">
        <is>
          <t>EQ3</t>
        </is>
      </c>
      <c r="F132" s="27" t="inlineStr">
        <is>
          <t>G-I-H3200</t>
        </is>
      </c>
      <c r="G132" s="27" t="n"/>
      <c r="H132" s="28" t="n">
        <v>72</v>
      </c>
      <c r="I132" s="29" t="n">
        <v>46081</v>
      </c>
      <c r="J132" s="27" t="n"/>
      <c r="K132" s="27" t="inlineStr">
        <is>
          <t>ZPR2</t>
        </is>
      </c>
      <c r="L132" s="27" t="inlineStr">
        <is>
          <t>PRE</t>
        </is>
      </c>
      <c r="M132" s="27" t="n"/>
      <c r="N132" s="27" t="inlineStr">
        <is>
          <t>Maintenance préventive fictive EC+PIS+PILOTAGE+FILTRE - poste G-I-H3200</t>
        </is>
      </c>
      <c r="O132" s="27" t="inlineStr">
        <is>
          <t>ACTI</t>
        </is>
      </c>
      <c r="P132" s="27" t="inlineStr">
        <is>
          <t>STAT_SYS_A</t>
        </is>
      </c>
      <c r="Q132" s="27" t="inlineStr">
        <is>
          <t>USER03</t>
        </is>
      </c>
      <c r="R132" s="30" t="n">
        <v>1140</v>
      </c>
      <c r="S132" s="27" t="inlineStr">
        <is>
          <t>EQ3</t>
        </is>
      </c>
      <c r="T132" s="29" t="n">
        <v>46155</v>
      </c>
      <c r="U132" s="27" t="inlineStr">
        <is>
          <t>TECH-08</t>
        </is>
      </c>
      <c r="V132" s="27" t="inlineStr">
        <is>
          <t>G-I-H3200-REG01</t>
        </is>
      </c>
      <c r="W132" s="27" t="inlineStr">
        <is>
          <t>Équipement fictif 08-3-2</t>
        </is>
      </c>
      <c r="X132" s="27" t="inlineStr">
        <is>
          <t>EQ-08-3-02</t>
        </is>
      </c>
      <c r="Y132" s="27" t="inlineStr">
        <is>
          <t>GG-PREV</t>
        </is>
      </c>
      <c r="Z132" s="27" t="inlineStr">
        <is>
          <t>2</t>
        </is>
      </c>
      <c r="AA132" s="29" t="n">
        <v>46143</v>
      </c>
      <c r="AB132" s="27" t="inlineStr">
        <is>
          <t>SECTIONNEMENT</t>
        </is>
      </c>
      <c r="AC132" s="27" t="inlineStr">
        <is>
          <t>EC+PIS+PILOTAGE+FILTRE</t>
        </is>
      </c>
      <c r="AD132" s="28" t="n">
        <v>1</v>
      </c>
      <c r="AE132" s="28" t="n">
        <v>1</v>
      </c>
      <c r="AF132" s="28" t="n">
        <v>1</v>
      </c>
      <c r="AG132" s="27" t="n"/>
      <c r="AH132" s="27" t="n"/>
      <c r="AI132" s="27" t="inlineStr">
        <is>
          <t>Instantané de démonstration – MODELE_GMAO_PREV_ANONYMISE.csv</t>
        </is>
      </c>
      <c r="AJ132" s="31" t="n">
        <v>46309.50763888889</v>
      </c>
    </row>
    <row r="133">
      <c r="A133" s="27" t="inlineStr">
        <is>
          <t>910000071</t>
        </is>
      </c>
      <c r="B133" s="27" t="inlineStr">
        <is>
          <t>PILOTAGE</t>
        </is>
      </c>
      <c r="C133" s="28" t="n">
        <v>2026</v>
      </c>
      <c r="D133" s="27" t="inlineStr">
        <is>
          <t>SITE08</t>
        </is>
      </c>
      <c r="E133" s="27" t="inlineStr">
        <is>
          <t>EQ3</t>
        </is>
      </c>
      <c r="F133" s="27" t="inlineStr">
        <is>
          <t>G-I-H3200</t>
        </is>
      </c>
      <c r="G133" s="27" t="n"/>
      <c r="H133" s="28" t="n">
        <v>72</v>
      </c>
      <c r="I133" s="29" t="n">
        <v>46081</v>
      </c>
      <c r="J133" s="27" t="n"/>
      <c r="K133" s="27" t="inlineStr">
        <is>
          <t>ZPR2</t>
        </is>
      </c>
      <c r="L133" s="27" t="inlineStr">
        <is>
          <t>PRE</t>
        </is>
      </c>
      <c r="M133" s="27" t="n"/>
      <c r="N133" s="27" t="inlineStr">
        <is>
          <t>Maintenance préventive fictive EC+PIS+PILOTAGE+FILTRE - poste G-I-H3200</t>
        </is>
      </c>
      <c r="O133" s="27" t="inlineStr">
        <is>
          <t>ACTI</t>
        </is>
      </c>
      <c r="P133" s="27" t="inlineStr">
        <is>
          <t>STAT_SYS_A</t>
        </is>
      </c>
      <c r="Q133" s="27" t="inlineStr">
        <is>
          <t>USER03</t>
        </is>
      </c>
      <c r="R133" s="30" t="n">
        <v>1140</v>
      </c>
      <c r="S133" s="27" t="inlineStr">
        <is>
          <t>EQ3</t>
        </is>
      </c>
      <c r="T133" s="29" t="n">
        <v>46155</v>
      </c>
      <c r="U133" s="27" t="inlineStr">
        <is>
          <t>TECH-08</t>
        </is>
      </c>
      <c r="V133" s="27" t="inlineStr">
        <is>
          <t>G-I-H3200-REG01</t>
        </is>
      </c>
      <c r="W133" s="27" t="inlineStr">
        <is>
          <t>Équipement fictif 08-3-2</t>
        </is>
      </c>
      <c r="X133" s="27" t="inlineStr">
        <is>
          <t>EQ-08-3-02</t>
        </is>
      </c>
      <c r="Y133" s="27" t="inlineStr">
        <is>
          <t>GG-PREV</t>
        </is>
      </c>
      <c r="Z133" s="27" t="inlineStr">
        <is>
          <t>2</t>
        </is>
      </c>
      <c r="AA133" s="29" t="n">
        <v>46143</v>
      </c>
      <c r="AB133" s="27" t="inlineStr">
        <is>
          <t>SECTIONNEMENT</t>
        </is>
      </c>
      <c r="AC133" s="27" t="inlineStr">
        <is>
          <t>EC+PIS+PILOTAGE+FILTRE</t>
        </is>
      </c>
      <c r="AD133" s="28" t="n">
        <v>3</v>
      </c>
      <c r="AE133" s="28" t="n">
        <v>1</v>
      </c>
      <c r="AF133" s="28" t="n">
        <v>1</v>
      </c>
      <c r="AG133" s="27" t="n"/>
      <c r="AH133" s="27" t="n"/>
      <c r="AI133" s="27" t="inlineStr">
        <is>
          <t>Instantané de démonstration – MODELE_GMAO_PREV_ANONYMISE.csv</t>
        </is>
      </c>
      <c r="AJ133" s="31" t="n">
        <v>46309.50763888889</v>
      </c>
    </row>
    <row r="134">
      <c r="A134" s="27" t="inlineStr">
        <is>
          <t>910000071</t>
        </is>
      </c>
      <c r="B134" s="27" t="inlineStr">
        <is>
          <t>FILTRE</t>
        </is>
      </c>
      <c r="C134" s="28" t="n">
        <v>2026</v>
      </c>
      <c r="D134" s="27" t="inlineStr">
        <is>
          <t>SITE08</t>
        </is>
      </c>
      <c r="E134" s="27" t="inlineStr">
        <is>
          <t>EQ3</t>
        </is>
      </c>
      <c r="F134" s="27" t="inlineStr">
        <is>
          <t>G-I-H3200</t>
        </is>
      </c>
      <c r="G134" s="27" t="n"/>
      <c r="H134" s="28" t="n">
        <v>72</v>
      </c>
      <c r="I134" s="29" t="n">
        <v>46081</v>
      </c>
      <c r="J134" s="27" t="n"/>
      <c r="K134" s="27" t="inlineStr">
        <is>
          <t>ZPR2</t>
        </is>
      </c>
      <c r="L134" s="27" t="inlineStr">
        <is>
          <t>PRE</t>
        </is>
      </c>
      <c r="M134" s="27" t="n"/>
      <c r="N134" s="27" t="inlineStr">
        <is>
          <t>Maintenance préventive fictive EC+PIS+PILOTAGE+FILTRE - poste G-I-H3200</t>
        </is>
      </c>
      <c r="O134" s="27" t="inlineStr">
        <is>
          <t>ACTI</t>
        </is>
      </c>
      <c r="P134" s="27" t="inlineStr">
        <is>
          <t>STAT_SYS_A</t>
        </is>
      </c>
      <c r="Q134" s="27" t="inlineStr">
        <is>
          <t>USER03</t>
        </is>
      </c>
      <c r="R134" s="30" t="n">
        <v>1140</v>
      </c>
      <c r="S134" s="27" t="inlineStr">
        <is>
          <t>EQ3</t>
        </is>
      </c>
      <c r="T134" s="29" t="n">
        <v>46155</v>
      </c>
      <c r="U134" s="27" t="inlineStr">
        <is>
          <t>TECH-08</t>
        </is>
      </c>
      <c r="V134" s="27" t="inlineStr">
        <is>
          <t>G-I-H3200-REG01</t>
        </is>
      </c>
      <c r="W134" s="27" t="inlineStr">
        <is>
          <t>Équipement fictif 08-3-2</t>
        </is>
      </c>
      <c r="X134" s="27" t="inlineStr">
        <is>
          <t>EQ-08-3-02</t>
        </is>
      </c>
      <c r="Y134" s="27" t="inlineStr">
        <is>
          <t>GG-PREV</t>
        </is>
      </c>
      <c r="Z134" s="27" t="inlineStr">
        <is>
          <t>2</t>
        </is>
      </c>
      <c r="AA134" s="29" t="n">
        <v>46143</v>
      </c>
      <c r="AB134" s="27" t="inlineStr">
        <is>
          <t>SECTIONNEMENT</t>
        </is>
      </c>
      <c r="AC134" s="27" t="inlineStr">
        <is>
          <t>EC+PIS+PILOTAGE+FILTRE</t>
        </is>
      </c>
      <c r="AD134" s="28" t="n">
        <v>4</v>
      </c>
      <c r="AE134" s="28" t="n">
        <v>1</v>
      </c>
      <c r="AF134" s="28" t="n">
        <v>1</v>
      </c>
      <c r="AG134" s="27" t="n"/>
      <c r="AH134" s="27" t="n"/>
      <c r="AI134" s="27" t="inlineStr">
        <is>
          <t>Instantané de démonstration – MODELE_GMAO_PREV_ANONYMISE.csv</t>
        </is>
      </c>
      <c r="AJ134" s="31" t="n">
        <v>46309.50763888889</v>
      </c>
    </row>
    <row r="135">
      <c r="A135" s="27" t="inlineStr">
        <is>
          <t>910000072</t>
        </is>
      </c>
      <c r="B135" s="27" t="inlineStr">
        <is>
          <t>EC</t>
        </is>
      </c>
      <c r="C135" s="28" t="n">
        <v>2026</v>
      </c>
      <c r="D135" s="27" t="inlineStr">
        <is>
          <t>SITE08</t>
        </is>
      </c>
      <c r="E135" s="27" t="inlineStr">
        <is>
          <t>EQ3</t>
        </is>
      </c>
      <c r="F135" s="27" t="inlineStr">
        <is>
          <t>G-I-H3300</t>
        </is>
      </c>
      <c r="G135" s="27" t="n"/>
      <c r="H135" s="28" t="n">
        <v>73</v>
      </c>
      <c r="I135" s="29" t="n">
        <v>46106</v>
      </c>
      <c r="J135" s="27" t="n"/>
      <c r="K135" s="27" t="inlineStr">
        <is>
          <t>ZPR2</t>
        </is>
      </c>
      <c r="L135" s="27" t="inlineStr">
        <is>
          <t>PRE</t>
        </is>
      </c>
      <c r="M135" s="27" t="n"/>
      <c r="N135" s="27" t="inlineStr">
        <is>
          <t>Maintenance préventive fictive EC+FILTRE - poste G-I-H3300</t>
        </is>
      </c>
      <c r="O135" s="27" t="inlineStr">
        <is>
          <t>TERM</t>
        </is>
      </c>
      <c r="P135" s="27" t="inlineStr">
        <is>
          <t>STAT_SYS_A</t>
        </is>
      </c>
      <c r="Q135" s="27" t="inlineStr">
        <is>
          <t>USER03</t>
        </is>
      </c>
      <c r="R135" s="30" t="n">
        <v>1150</v>
      </c>
      <c r="S135" s="27" t="inlineStr">
        <is>
          <t>EQ3</t>
        </is>
      </c>
      <c r="T135" s="29" t="n">
        <v>46187</v>
      </c>
      <c r="U135" s="27" t="inlineStr">
        <is>
          <t>TECH-08</t>
        </is>
      </c>
      <c r="V135" s="27" t="inlineStr">
        <is>
          <t>G-I-H3300-FILT01</t>
        </is>
      </c>
      <c r="W135" s="27" t="inlineStr">
        <is>
          <t>Équipement fictif 08-3-3</t>
        </is>
      </c>
      <c r="X135" s="27" t="inlineStr">
        <is>
          <t>EQ-08-3-03</t>
        </is>
      </c>
      <c r="Y135" s="27" t="inlineStr">
        <is>
          <t>GG-PREV</t>
        </is>
      </c>
      <c r="Z135" s="27" t="inlineStr">
        <is>
          <t>3</t>
        </is>
      </c>
      <c r="AA135" s="29" t="n">
        <v>46174</v>
      </c>
      <c r="AB135" s="27" t="inlineStr">
        <is>
          <t>COMPTAGE</t>
        </is>
      </c>
      <c r="AC135" s="27" t="inlineStr">
        <is>
          <t>EC+FILTRE</t>
        </is>
      </c>
      <c r="AD135" s="28" t="n">
        <v>2</v>
      </c>
      <c r="AE135" s="28" t="n">
        <v>1</v>
      </c>
      <c r="AF135" s="28" t="n">
        <v>1</v>
      </c>
      <c r="AG135" s="27" t="n"/>
      <c r="AH135" s="27" t="n"/>
      <c r="AI135" s="27" t="inlineStr">
        <is>
          <t>Instantané de démonstration – MODELE_GMAO_PREV_ANONYMISE.csv</t>
        </is>
      </c>
      <c r="AJ135" s="31" t="n">
        <v>46309.50763888889</v>
      </c>
    </row>
    <row r="136">
      <c r="A136" s="27" t="inlineStr">
        <is>
          <t>910000072</t>
        </is>
      </c>
      <c r="B136" s="27" t="inlineStr">
        <is>
          <t>FILTRE</t>
        </is>
      </c>
      <c r="C136" s="28" t="n">
        <v>2026</v>
      </c>
      <c r="D136" s="27" t="inlineStr">
        <is>
          <t>SITE08</t>
        </is>
      </c>
      <c r="E136" s="27" t="inlineStr">
        <is>
          <t>EQ3</t>
        </is>
      </c>
      <c r="F136" s="27" t="inlineStr">
        <is>
          <t>G-I-H3300</t>
        </is>
      </c>
      <c r="G136" s="27" t="n"/>
      <c r="H136" s="28" t="n">
        <v>73</v>
      </c>
      <c r="I136" s="29" t="n">
        <v>46106</v>
      </c>
      <c r="J136" s="27" t="n"/>
      <c r="K136" s="27" t="inlineStr">
        <is>
          <t>ZPR2</t>
        </is>
      </c>
      <c r="L136" s="27" t="inlineStr">
        <is>
          <t>PRE</t>
        </is>
      </c>
      <c r="M136" s="27" t="n"/>
      <c r="N136" s="27" t="inlineStr">
        <is>
          <t>Maintenance préventive fictive EC+FILTRE - poste G-I-H3300</t>
        </is>
      </c>
      <c r="O136" s="27" t="inlineStr">
        <is>
          <t>TERM</t>
        </is>
      </c>
      <c r="P136" s="27" t="inlineStr">
        <is>
          <t>STAT_SYS_A</t>
        </is>
      </c>
      <c r="Q136" s="27" t="inlineStr">
        <is>
          <t>USER03</t>
        </is>
      </c>
      <c r="R136" s="30" t="n">
        <v>1150</v>
      </c>
      <c r="S136" s="27" t="inlineStr">
        <is>
          <t>EQ3</t>
        </is>
      </c>
      <c r="T136" s="29" t="n">
        <v>46187</v>
      </c>
      <c r="U136" s="27" t="inlineStr">
        <is>
          <t>TECH-08</t>
        </is>
      </c>
      <c r="V136" s="27" t="inlineStr">
        <is>
          <t>G-I-H3300-FILT01</t>
        </is>
      </c>
      <c r="W136" s="27" t="inlineStr">
        <is>
          <t>Équipement fictif 08-3-3</t>
        </is>
      </c>
      <c r="X136" s="27" t="inlineStr">
        <is>
          <t>EQ-08-3-03</t>
        </is>
      </c>
      <c r="Y136" s="27" t="inlineStr">
        <is>
          <t>GG-PREV</t>
        </is>
      </c>
      <c r="Z136" s="27" t="inlineStr">
        <is>
          <t>3</t>
        </is>
      </c>
      <c r="AA136" s="29" t="n">
        <v>46174</v>
      </c>
      <c r="AB136" s="27" t="inlineStr">
        <is>
          <t>COMPTAGE</t>
        </is>
      </c>
      <c r="AC136" s="27" t="inlineStr">
        <is>
          <t>EC+FILTRE</t>
        </is>
      </c>
      <c r="AD136" s="28" t="n">
        <v>4</v>
      </c>
      <c r="AE136" s="28" t="n">
        <v>1</v>
      </c>
      <c r="AF136" s="28" t="n">
        <v>1</v>
      </c>
      <c r="AG136" s="27" t="n"/>
      <c r="AH136" s="27" t="n"/>
      <c r="AI136" s="27" t="inlineStr">
        <is>
          <t>Instantané de démonstration – MODELE_GMAO_PREV_ANONYMISE.csv</t>
        </is>
      </c>
      <c r="AJ136" s="31" t="n">
        <v>46309.50763888889</v>
      </c>
    </row>
    <row r="137">
      <c r="A137" s="27" t="inlineStr">
        <is>
          <t>910000073</t>
        </is>
      </c>
      <c r="B137" s="27" t="inlineStr">
        <is>
          <t>EC</t>
        </is>
      </c>
      <c r="C137" s="28" t="n">
        <v>2027</v>
      </c>
      <c r="D137" s="27" t="inlineStr">
        <is>
          <t>SITE09</t>
        </is>
      </c>
      <c r="E137" s="27" t="inlineStr">
        <is>
          <t>EQ1</t>
        </is>
      </c>
      <c r="F137" s="27" t="inlineStr">
        <is>
          <t>G-I-I1100</t>
        </is>
      </c>
      <c r="G137" s="27" t="n"/>
      <c r="H137" s="28" t="n">
        <v>74</v>
      </c>
      <c r="I137" s="29" t="n">
        <v>46364</v>
      </c>
      <c r="J137" s="27" t="n"/>
      <c r="K137" s="27" t="inlineStr">
        <is>
          <t>ZPR2</t>
        </is>
      </c>
      <c r="L137" s="27" t="inlineStr">
        <is>
          <t>PRE</t>
        </is>
      </c>
      <c r="M137" s="27" t="n"/>
      <c r="N137" s="27" t="inlineStr">
        <is>
          <t>Maintenance préventive fictive EC+PIS - poste G-I-I1100</t>
        </is>
      </c>
      <c r="O137" s="27" t="inlineStr">
        <is>
          <t>ACTI</t>
        </is>
      </c>
      <c r="P137" s="27" t="inlineStr">
        <is>
          <t>STAT_SYS_A</t>
        </is>
      </c>
      <c r="Q137" s="27" t="inlineStr">
        <is>
          <t>USER01</t>
        </is>
      </c>
      <c r="R137" s="30" t="n">
        <v>1175</v>
      </c>
      <c r="S137" s="27" t="inlineStr">
        <is>
          <t>EQ1</t>
        </is>
      </c>
      <c r="T137" s="29" t="n">
        <v>46431</v>
      </c>
      <c r="U137" s="27" t="inlineStr">
        <is>
          <t>TECH-09</t>
        </is>
      </c>
      <c r="V137" s="27" t="inlineStr">
        <is>
          <t>G-I-I1100-FILT01</t>
        </is>
      </c>
      <c r="W137" s="27" t="inlineStr">
        <is>
          <t>Équipement fictif 09-1-1</t>
        </is>
      </c>
      <c r="X137" s="27" t="inlineStr">
        <is>
          <t>EQ-09-1-01</t>
        </is>
      </c>
      <c r="Y137" s="27" t="inlineStr">
        <is>
          <t>GG-PREV</t>
        </is>
      </c>
      <c r="Z137" s="27" t="inlineStr">
        <is>
          <t>1</t>
        </is>
      </c>
      <c r="AA137" s="29" t="n">
        <v>46420</v>
      </c>
      <c r="AB137" s="27" t="inlineStr">
        <is>
          <t>SECTIONNEMENT</t>
        </is>
      </c>
      <c r="AC137" s="27" t="inlineStr">
        <is>
          <t>EC+PIS</t>
        </is>
      </c>
      <c r="AD137" s="28" t="n">
        <v>2</v>
      </c>
      <c r="AE137" s="28" t="n">
        <v>1</v>
      </c>
      <c r="AF137" s="28" t="n">
        <v>1</v>
      </c>
      <c r="AG137" s="27" t="n"/>
      <c r="AH137" s="27" t="n"/>
      <c r="AI137" s="27" t="inlineStr">
        <is>
          <t>Instantané de démonstration – MODELE_GMAO_PREV_ANONYMISE.csv</t>
        </is>
      </c>
      <c r="AJ137" s="31" t="n">
        <v>46309.50763888889</v>
      </c>
    </row>
    <row r="138">
      <c r="A138" s="27" t="inlineStr">
        <is>
          <t>910000073</t>
        </is>
      </c>
      <c r="B138" s="27" t="inlineStr">
        <is>
          <t>PIS</t>
        </is>
      </c>
      <c r="C138" s="28" t="n">
        <v>2027</v>
      </c>
      <c r="D138" s="27" t="inlineStr">
        <is>
          <t>SITE09</t>
        </is>
      </c>
      <c r="E138" s="27" t="inlineStr">
        <is>
          <t>EQ1</t>
        </is>
      </c>
      <c r="F138" s="27" t="inlineStr">
        <is>
          <t>G-I-I1100</t>
        </is>
      </c>
      <c r="G138" s="27" t="n"/>
      <c r="H138" s="28" t="n">
        <v>74</v>
      </c>
      <c r="I138" s="29" t="n">
        <v>46364</v>
      </c>
      <c r="J138" s="27" t="n"/>
      <c r="K138" s="27" t="inlineStr">
        <is>
          <t>ZPR2</t>
        </is>
      </c>
      <c r="L138" s="27" t="inlineStr">
        <is>
          <t>PRE</t>
        </is>
      </c>
      <c r="M138" s="27" t="n"/>
      <c r="N138" s="27" t="inlineStr">
        <is>
          <t>Maintenance préventive fictive EC+PIS - poste G-I-I1100</t>
        </is>
      </c>
      <c r="O138" s="27" t="inlineStr">
        <is>
          <t>ACTI</t>
        </is>
      </c>
      <c r="P138" s="27" t="inlineStr">
        <is>
          <t>STAT_SYS_A</t>
        </is>
      </c>
      <c r="Q138" s="27" t="inlineStr">
        <is>
          <t>USER01</t>
        </is>
      </c>
      <c r="R138" s="30" t="n">
        <v>1175</v>
      </c>
      <c r="S138" s="27" t="inlineStr">
        <is>
          <t>EQ1</t>
        </is>
      </c>
      <c r="T138" s="29" t="n">
        <v>46431</v>
      </c>
      <c r="U138" s="27" t="inlineStr">
        <is>
          <t>TECH-09</t>
        </is>
      </c>
      <c r="V138" s="27" t="inlineStr">
        <is>
          <t>G-I-I1100-FILT01</t>
        </is>
      </c>
      <c r="W138" s="27" t="inlineStr">
        <is>
          <t>Équipement fictif 09-1-1</t>
        </is>
      </c>
      <c r="X138" s="27" t="inlineStr">
        <is>
          <t>EQ-09-1-01</t>
        </is>
      </c>
      <c r="Y138" s="27" t="inlineStr">
        <is>
          <t>GG-PREV</t>
        </is>
      </c>
      <c r="Z138" s="27" t="inlineStr">
        <is>
          <t>1</t>
        </is>
      </c>
      <c r="AA138" s="29" t="n">
        <v>46420</v>
      </c>
      <c r="AB138" s="27" t="inlineStr">
        <is>
          <t>SECTIONNEMENT</t>
        </is>
      </c>
      <c r="AC138" s="27" t="inlineStr">
        <is>
          <t>EC+PIS</t>
        </is>
      </c>
      <c r="AD138" s="28" t="n">
        <v>1</v>
      </c>
      <c r="AE138" s="28" t="n">
        <v>1</v>
      </c>
      <c r="AF138" s="28" t="n">
        <v>1</v>
      </c>
      <c r="AG138" s="27" t="n"/>
      <c r="AH138" s="27" t="n"/>
      <c r="AI138" s="27" t="inlineStr">
        <is>
          <t>Instantané de démonstration – MODELE_GMAO_PREV_ANONYMISE.csv</t>
        </is>
      </c>
      <c r="AJ138" s="31" t="n">
        <v>46309.50763888889</v>
      </c>
    </row>
    <row r="139">
      <c r="A139" s="27" t="inlineStr">
        <is>
          <t>910000074</t>
        </is>
      </c>
      <c r="B139" s="27" t="inlineStr">
        <is>
          <t>EC</t>
        </is>
      </c>
      <c r="C139" s="28" t="n">
        <v>2027</v>
      </c>
      <c r="D139" s="27" t="inlineStr">
        <is>
          <t>SITE09</t>
        </is>
      </c>
      <c r="E139" s="27" t="inlineStr">
        <is>
          <t>EQ1</t>
        </is>
      </c>
      <c r="F139" s="27" t="inlineStr">
        <is>
          <t>G-I-I1200</t>
        </is>
      </c>
      <c r="G139" s="27" t="n"/>
      <c r="H139" s="28" t="n">
        <v>75</v>
      </c>
      <c r="I139" s="29" t="n">
        <v>46386</v>
      </c>
      <c r="J139" s="27" t="n"/>
      <c r="K139" s="27" t="inlineStr">
        <is>
          <t>ZPR2</t>
        </is>
      </c>
      <c r="L139" s="27" t="inlineStr">
        <is>
          <t>PRE</t>
        </is>
      </c>
      <c r="M139" s="27" t="n"/>
      <c r="N139" s="27" t="inlineStr">
        <is>
          <t>Maintenance préventive fictive EC+REV - poste G-I-I1200</t>
        </is>
      </c>
      <c r="O139" s="27" t="inlineStr">
        <is>
          <t>TERM</t>
        </is>
      </c>
      <c r="P139" s="27" t="inlineStr">
        <is>
          <t>STAT_SYS_A</t>
        </is>
      </c>
      <c r="Q139" s="27" t="inlineStr">
        <is>
          <t>USER01</t>
        </is>
      </c>
      <c r="R139" s="30" t="n">
        <v>1185</v>
      </c>
      <c r="S139" s="27" t="inlineStr">
        <is>
          <t>EQ1</t>
        </is>
      </c>
      <c r="T139" s="29" t="n">
        <v>46460</v>
      </c>
      <c r="U139" s="27" t="inlineStr">
        <is>
          <t>TECH-09</t>
        </is>
      </c>
      <c r="V139" s="27" t="inlineStr">
        <is>
          <t>G-I-I1200-REG01</t>
        </is>
      </c>
      <c r="W139" s="27" t="inlineStr">
        <is>
          <t>Équipement fictif 09-1-2</t>
        </is>
      </c>
      <c r="X139" s="27" t="inlineStr">
        <is>
          <t>EQ-09-1-02</t>
        </is>
      </c>
      <c r="Y139" s="27" t="inlineStr">
        <is>
          <t>GG-PREV</t>
        </is>
      </c>
      <c r="Z139" s="27" t="inlineStr">
        <is>
          <t>2</t>
        </is>
      </c>
      <c r="AA139" s="29" t="n">
        <v>46448</v>
      </c>
      <c r="AB139" s="27" t="inlineStr">
        <is>
          <t>COMPTAGE</t>
        </is>
      </c>
      <c r="AC139" s="27" t="inlineStr">
        <is>
          <t>EC+REV</t>
        </is>
      </c>
      <c r="AD139" s="28" t="n">
        <v>2</v>
      </c>
      <c r="AE139" s="28" t="n">
        <v>1</v>
      </c>
      <c r="AF139" s="28" t="n">
        <v>1</v>
      </c>
      <c r="AG139" s="27" t="n"/>
      <c r="AH139" s="27" t="n"/>
      <c r="AI139" s="27" t="inlineStr">
        <is>
          <t>Instantané de démonstration – MODELE_GMAO_PREV_ANONYMISE.csv</t>
        </is>
      </c>
      <c r="AJ139" s="31" t="n">
        <v>46309.50763888889</v>
      </c>
    </row>
    <row r="140">
      <c r="A140" s="27" t="inlineStr">
        <is>
          <t>910000074</t>
        </is>
      </c>
      <c r="B140" s="27" t="inlineStr">
        <is>
          <t>REV</t>
        </is>
      </c>
      <c r="C140" s="28" t="n">
        <v>2027</v>
      </c>
      <c r="D140" s="27" t="inlineStr">
        <is>
          <t>SITE09</t>
        </is>
      </c>
      <c r="E140" s="27" t="inlineStr">
        <is>
          <t>EQ1</t>
        </is>
      </c>
      <c r="F140" s="27" t="inlineStr">
        <is>
          <t>G-I-I1200</t>
        </is>
      </c>
      <c r="G140" s="27" t="n"/>
      <c r="H140" s="28" t="n">
        <v>75</v>
      </c>
      <c r="I140" s="29" t="n">
        <v>46386</v>
      </c>
      <c r="J140" s="27" t="n"/>
      <c r="K140" s="27" t="inlineStr">
        <is>
          <t>ZPR2</t>
        </is>
      </c>
      <c r="L140" s="27" t="inlineStr">
        <is>
          <t>PRE</t>
        </is>
      </c>
      <c r="M140" s="27" t="n"/>
      <c r="N140" s="27" t="inlineStr">
        <is>
          <t>Maintenance préventive fictive EC+REV - poste G-I-I1200</t>
        </is>
      </c>
      <c r="O140" s="27" t="inlineStr">
        <is>
          <t>TERM</t>
        </is>
      </c>
      <c r="P140" s="27" t="inlineStr">
        <is>
          <t>STAT_SYS_A</t>
        </is>
      </c>
      <c r="Q140" s="27" t="inlineStr">
        <is>
          <t>USER01</t>
        </is>
      </c>
      <c r="R140" s="30" t="n">
        <v>1185</v>
      </c>
      <c r="S140" s="27" t="inlineStr">
        <is>
          <t>EQ1</t>
        </is>
      </c>
      <c r="T140" s="29" t="n">
        <v>46460</v>
      </c>
      <c r="U140" s="27" t="inlineStr">
        <is>
          <t>TECH-09</t>
        </is>
      </c>
      <c r="V140" s="27" t="inlineStr">
        <is>
          <t>G-I-I1200-REG01</t>
        </is>
      </c>
      <c r="W140" s="27" t="inlineStr">
        <is>
          <t>Équipement fictif 09-1-2</t>
        </is>
      </c>
      <c r="X140" s="27" t="inlineStr">
        <is>
          <t>EQ-09-1-02</t>
        </is>
      </c>
      <c r="Y140" s="27" t="inlineStr">
        <is>
          <t>GG-PREV</t>
        </is>
      </c>
      <c r="Z140" s="27" t="inlineStr">
        <is>
          <t>2</t>
        </is>
      </c>
      <c r="AA140" s="29" t="n">
        <v>46448</v>
      </c>
      <c r="AB140" s="27" t="inlineStr">
        <is>
          <t>COMPTAGE</t>
        </is>
      </c>
      <c r="AC140" s="27" t="inlineStr">
        <is>
          <t>EC+REV</t>
        </is>
      </c>
      <c r="AD140" s="28" t="n">
        <v>5</v>
      </c>
      <c r="AE140" s="28" t="n">
        <v>1</v>
      </c>
      <c r="AF140" s="28" t="n">
        <v>1</v>
      </c>
      <c r="AG140" s="27" t="n"/>
      <c r="AH140" s="27" t="n"/>
      <c r="AI140" s="27" t="inlineStr">
        <is>
          <t>Instantané de démonstration – MODELE_GMAO_PREV_ANONYMISE.csv</t>
        </is>
      </c>
      <c r="AJ140" s="31" t="n">
        <v>46309.50763888889</v>
      </c>
    </row>
    <row r="141">
      <c r="A141" s="27" t="inlineStr">
        <is>
          <t>910000075</t>
        </is>
      </c>
      <c r="B141" s="27" t="inlineStr">
        <is>
          <t>EC</t>
        </is>
      </c>
      <c r="C141" s="28" t="n">
        <v>2027</v>
      </c>
      <c r="D141" s="27" t="inlineStr">
        <is>
          <t>SITE09</t>
        </is>
      </c>
      <c r="E141" s="27" t="inlineStr">
        <is>
          <t>EQ1</t>
        </is>
      </c>
      <c r="F141" s="27" t="inlineStr">
        <is>
          <t>G-I-I1300</t>
        </is>
      </c>
      <c r="G141" s="27" t="n"/>
      <c r="H141" s="28" t="n">
        <v>76</v>
      </c>
      <c r="I141" s="29" t="n">
        <v>46411</v>
      </c>
      <c r="J141" s="27" t="n"/>
      <c r="K141" s="27" t="inlineStr">
        <is>
          <t>ZPR2</t>
        </is>
      </c>
      <c r="L141" s="27" t="inlineStr">
        <is>
          <t>PRE</t>
        </is>
      </c>
      <c r="M141" s="27" t="n"/>
      <c r="N141" s="27" t="inlineStr">
        <is>
          <t>Maintenance préventive fictive EC+PIS+PILOTAGE+FILTRE - poste G-I-I1300</t>
        </is>
      </c>
      <c r="O141" s="27" t="inlineStr">
        <is>
          <t>ACTI</t>
        </is>
      </c>
      <c r="P141" s="27" t="inlineStr">
        <is>
          <t>STAT_SYS_A</t>
        </is>
      </c>
      <c r="Q141" s="27" t="inlineStr">
        <is>
          <t>USER01</t>
        </is>
      </c>
      <c r="R141" s="30" t="n">
        <v>1195</v>
      </c>
      <c r="S141" s="27" t="inlineStr">
        <is>
          <t>EQ1</t>
        </is>
      </c>
      <c r="T141" s="29" t="n">
        <v>46492</v>
      </c>
      <c r="U141" s="27" t="inlineStr">
        <is>
          <t>TECH-09</t>
        </is>
      </c>
      <c r="V141" s="27" t="inlineStr">
        <is>
          <t>G-I-I1300-FILT01</t>
        </is>
      </c>
      <c r="W141" s="27" t="inlineStr">
        <is>
          <t>Équipement fictif 09-1-3</t>
        </is>
      </c>
      <c r="X141" s="27" t="inlineStr">
        <is>
          <t>EQ-09-1-03</t>
        </is>
      </c>
      <c r="Y141" s="27" t="inlineStr">
        <is>
          <t>GG-PREV</t>
        </is>
      </c>
      <c r="Z141" s="27" t="inlineStr">
        <is>
          <t>3</t>
        </is>
      </c>
      <c r="AA141" s="29" t="n">
        <v>46479</v>
      </c>
      <c r="AB141" s="27" t="inlineStr">
        <is>
          <t>PIQUAGE</t>
        </is>
      </c>
      <c r="AC141" s="27" t="inlineStr">
        <is>
          <t>EC+PIS+PILOTAGE+FILTRE</t>
        </is>
      </c>
      <c r="AD141" s="28" t="n">
        <v>2</v>
      </c>
      <c r="AE141" s="28" t="n">
        <v>1</v>
      </c>
      <c r="AF141" s="28" t="n">
        <v>1</v>
      </c>
      <c r="AG141" s="27" t="n"/>
      <c r="AH141" s="27" t="n"/>
      <c r="AI141" s="27" t="inlineStr">
        <is>
          <t>Instantané de démonstration – MODELE_GMAO_PREV_ANONYMISE.csv</t>
        </is>
      </c>
      <c r="AJ141" s="31" t="n">
        <v>46309.50763888889</v>
      </c>
    </row>
    <row r="142">
      <c r="A142" s="27" t="inlineStr">
        <is>
          <t>910000075</t>
        </is>
      </c>
      <c r="B142" s="27" t="inlineStr">
        <is>
          <t>PIS</t>
        </is>
      </c>
      <c r="C142" s="28" t="n">
        <v>2027</v>
      </c>
      <c r="D142" s="27" t="inlineStr">
        <is>
          <t>SITE09</t>
        </is>
      </c>
      <c r="E142" s="27" t="inlineStr">
        <is>
          <t>EQ1</t>
        </is>
      </c>
      <c r="F142" s="27" t="inlineStr">
        <is>
          <t>G-I-I1300</t>
        </is>
      </c>
      <c r="G142" s="27" t="n"/>
      <c r="H142" s="28" t="n">
        <v>76</v>
      </c>
      <c r="I142" s="29" t="n">
        <v>46411</v>
      </c>
      <c r="J142" s="27" t="n"/>
      <c r="K142" s="27" t="inlineStr">
        <is>
          <t>ZPR2</t>
        </is>
      </c>
      <c r="L142" s="27" t="inlineStr">
        <is>
          <t>PRE</t>
        </is>
      </c>
      <c r="M142" s="27" t="n"/>
      <c r="N142" s="27" t="inlineStr">
        <is>
          <t>Maintenance préventive fictive EC+PIS+PILOTAGE+FILTRE - poste G-I-I1300</t>
        </is>
      </c>
      <c r="O142" s="27" t="inlineStr">
        <is>
          <t>ACTI</t>
        </is>
      </c>
      <c r="P142" s="27" t="inlineStr">
        <is>
          <t>STAT_SYS_A</t>
        </is>
      </c>
      <c r="Q142" s="27" t="inlineStr">
        <is>
          <t>USER01</t>
        </is>
      </c>
      <c r="R142" s="30" t="n">
        <v>1195</v>
      </c>
      <c r="S142" s="27" t="inlineStr">
        <is>
          <t>EQ1</t>
        </is>
      </c>
      <c r="T142" s="29" t="n">
        <v>46492</v>
      </c>
      <c r="U142" s="27" t="inlineStr">
        <is>
          <t>TECH-09</t>
        </is>
      </c>
      <c r="V142" s="27" t="inlineStr">
        <is>
          <t>G-I-I1300-FILT01</t>
        </is>
      </c>
      <c r="W142" s="27" t="inlineStr">
        <is>
          <t>Équipement fictif 09-1-3</t>
        </is>
      </c>
      <c r="X142" s="27" t="inlineStr">
        <is>
          <t>EQ-09-1-03</t>
        </is>
      </c>
      <c r="Y142" s="27" t="inlineStr">
        <is>
          <t>GG-PREV</t>
        </is>
      </c>
      <c r="Z142" s="27" t="inlineStr">
        <is>
          <t>3</t>
        </is>
      </c>
      <c r="AA142" s="29" t="n">
        <v>46479</v>
      </c>
      <c r="AB142" s="27" t="inlineStr">
        <is>
          <t>PIQUAGE</t>
        </is>
      </c>
      <c r="AC142" s="27" t="inlineStr">
        <is>
          <t>EC+PIS+PILOTAGE+FILTRE</t>
        </is>
      </c>
      <c r="AD142" s="28" t="n">
        <v>1</v>
      </c>
      <c r="AE142" s="28" t="n">
        <v>1</v>
      </c>
      <c r="AF142" s="28" t="n">
        <v>1</v>
      </c>
      <c r="AG142" s="27" t="n"/>
      <c r="AH142" s="27" t="n"/>
      <c r="AI142" s="27" t="inlineStr">
        <is>
          <t>Instantané de démonstration – MODELE_GMAO_PREV_ANONYMISE.csv</t>
        </is>
      </c>
      <c r="AJ142" s="31" t="n">
        <v>46309.50763888889</v>
      </c>
    </row>
    <row r="143">
      <c r="A143" s="27" t="inlineStr">
        <is>
          <t>910000075</t>
        </is>
      </c>
      <c r="B143" s="27" t="inlineStr">
        <is>
          <t>PILOTAGE</t>
        </is>
      </c>
      <c r="C143" s="28" t="n">
        <v>2027</v>
      </c>
      <c r="D143" s="27" t="inlineStr">
        <is>
          <t>SITE09</t>
        </is>
      </c>
      <c r="E143" s="27" t="inlineStr">
        <is>
          <t>EQ1</t>
        </is>
      </c>
      <c r="F143" s="27" t="inlineStr">
        <is>
          <t>G-I-I1300</t>
        </is>
      </c>
      <c r="G143" s="27" t="n"/>
      <c r="H143" s="28" t="n">
        <v>76</v>
      </c>
      <c r="I143" s="29" t="n">
        <v>46411</v>
      </c>
      <c r="J143" s="27" t="n"/>
      <c r="K143" s="27" t="inlineStr">
        <is>
          <t>ZPR2</t>
        </is>
      </c>
      <c r="L143" s="27" t="inlineStr">
        <is>
          <t>PRE</t>
        </is>
      </c>
      <c r="M143" s="27" t="n"/>
      <c r="N143" s="27" t="inlineStr">
        <is>
          <t>Maintenance préventive fictive EC+PIS+PILOTAGE+FILTRE - poste G-I-I1300</t>
        </is>
      </c>
      <c r="O143" s="27" t="inlineStr">
        <is>
          <t>ACTI</t>
        </is>
      </c>
      <c r="P143" s="27" t="inlineStr">
        <is>
          <t>STAT_SYS_A</t>
        </is>
      </c>
      <c r="Q143" s="27" t="inlineStr">
        <is>
          <t>USER01</t>
        </is>
      </c>
      <c r="R143" s="30" t="n">
        <v>1195</v>
      </c>
      <c r="S143" s="27" t="inlineStr">
        <is>
          <t>EQ1</t>
        </is>
      </c>
      <c r="T143" s="29" t="n">
        <v>46492</v>
      </c>
      <c r="U143" s="27" t="inlineStr">
        <is>
          <t>TECH-09</t>
        </is>
      </c>
      <c r="V143" s="27" t="inlineStr">
        <is>
          <t>G-I-I1300-FILT01</t>
        </is>
      </c>
      <c r="W143" s="27" t="inlineStr">
        <is>
          <t>Équipement fictif 09-1-3</t>
        </is>
      </c>
      <c r="X143" s="27" t="inlineStr">
        <is>
          <t>EQ-09-1-03</t>
        </is>
      </c>
      <c r="Y143" s="27" t="inlineStr">
        <is>
          <t>GG-PREV</t>
        </is>
      </c>
      <c r="Z143" s="27" t="inlineStr">
        <is>
          <t>3</t>
        </is>
      </c>
      <c r="AA143" s="29" t="n">
        <v>46479</v>
      </c>
      <c r="AB143" s="27" t="inlineStr">
        <is>
          <t>PIQUAGE</t>
        </is>
      </c>
      <c r="AC143" s="27" t="inlineStr">
        <is>
          <t>EC+PIS+PILOTAGE+FILTRE</t>
        </is>
      </c>
      <c r="AD143" s="28" t="n">
        <v>3</v>
      </c>
      <c r="AE143" s="28" t="n">
        <v>1</v>
      </c>
      <c r="AF143" s="28" t="n">
        <v>1</v>
      </c>
      <c r="AG143" s="27" t="n"/>
      <c r="AH143" s="27" t="n"/>
      <c r="AI143" s="27" t="inlineStr">
        <is>
          <t>Instantané de démonstration – MODELE_GMAO_PREV_ANONYMISE.csv</t>
        </is>
      </c>
      <c r="AJ143" s="31" t="n">
        <v>46309.50763888889</v>
      </c>
    </row>
    <row r="144">
      <c r="A144" s="27" t="inlineStr">
        <is>
          <t>910000075</t>
        </is>
      </c>
      <c r="B144" s="27" t="inlineStr">
        <is>
          <t>FILTRE</t>
        </is>
      </c>
      <c r="C144" s="28" t="n">
        <v>2027</v>
      </c>
      <c r="D144" s="27" t="inlineStr">
        <is>
          <t>SITE09</t>
        </is>
      </c>
      <c r="E144" s="27" t="inlineStr">
        <is>
          <t>EQ1</t>
        </is>
      </c>
      <c r="F144" s="27" t="inlineStr">
        <is>
          <t>G-I-I1300</t>
        </is>
      </c>
      <c r="G144" s="27" t="n"/>
      <c r="H144" s="28" t="n">
        <v>76</v>
      </c>
      <c r="I144" s="29" t="n">
        <v>46411</v>
      </c>
      <c r="J144" s="27" t="n"/>
      <c r="K144" s="27" t="inlineStr">
        <is>
          <t>ZPR2</t>
        </is>
      </c>
      <c r="L144" s="27" t="inlineStr">
        <is>
          <t>PRE</t>
        </is>
      </c>
      <c r="M144" s="27" t="n"/>
      <c r="N144" s="27" t="inlineStr">
        <is>
          <t>Maintenance préventive fictive EC+PIS+PILOTAGE+FILTRE - poste G-I-I1300</t>
        </is>
      </c>
      <c r="O144" s="27" t="inlineStr">
        <is>
          <t>ACTI</t>
        </is>
      </c>
      <c r="P144" s="27" t="inlineStr">
        <is>
          <t>STAT_SYS_A</t>
        </is>
      </c>
      <c r="Q144" s="27" t="inlineStr">
        <is>
          <t>USER01</t>
        </is>
      </c>
      <c r="R144" s="30" t="n">
        <v>1195</v>
      </c>
      <c r="S144" s="27" t="inlineStr">
        <is>
          <t>EQ1</t>
        </is>
      </c>
      <c r="T144" s="29" t="n">
        <v>46492</v>
      </c>
      <c r="U144" s="27" t="inlineStr">
        <is>
          <t>TECH-09</t>
        </is>
      </c>
      <c r="V144" s="27" t="inlineStr">
        <is>
          <t>G-I-I1300-FILT01</t>
        </is>
      </c>
      <c r="W144" s="27" t="inlineStr">
        <is>
          <t>Équipement fictif 09-1-3</t>
        </is>
      </c>
      <c r="X144" s="27" t="inlineStr">
        <is>
          <t>EQ-09-1-03</t>
        </is>
      </c>
      <c r="Y144" s="27" t="inlineStr">
        <is>
          <t>GG-PREV</t>
        </is>
      </c>
      <c r="Z144" s="27" t="inlineStr">
        <is>
          <t>3</t>
        </is>
      </c>
      <c r="AA144" s="29" t="n">
        <v>46479</v>
      </c>
      <c r="AB144" s="27" t="inlineStr">
        <is>
          <t>PIQUAGE</t>
        </is>
      </c>
      <c r="AC144" s="27" t="inlineStr">
        <is>
          <t>EC+PIS+PILOTAGE+FILTRE</t>
        </is>
      </c>
      <c r="AD144" s="28" t="n">
        <v>4</v>
      </c>
      <c r="AE144" s="28" t="n">
        <v>1</v>
      </c>
      <c r="AF144" s="28" t="n">
        <v>1</v>
      </c>
      <c r="AG144" s="27" t="n"/>
      <c r="AH144" s="27" t="n"/>
      <c r="AI144" s="27" t="inlineStr">
        <is>
          <t>Instantané de démonstration – MODELE_GMAO_PREV_ANONYMISE.csv</t>
        </is>
      </c>
      <c r="AJ144" s="31" t="n">
        <v>46309.50763888889</v>
      </c>
    </row>
    <row r="145">
      <c r="A145" s="27" t="inlineStr">
        <is>
          <t>910000076</t>
        </is>
      </c>
      <c r="B145" s="27" t="inlineStr">
        <is>
          <t>EC</t>
        </is>
      </c>
      <c r="C145" s="28" t="n">
        <v>2027</v>
      </c>
      <c r="D145" s="27" t="inlineStr">
        <is>
          <t>SITE09</t>
        </is>
      </c>
      <c r="E145" s="27" t="inlineStr">
        <is>
          <t>EQ2</t>
        </is>
      </c>
      <c r="F145" s="27" t="inlineStr">
        <is>
          <t>G-I-I2100</t>
        </is>
      </c>
      <c r="G145" s="27" t="n"/>
      <c r="H145" s="28" t="n">
        <v>77</v>
      </c>
      <c r="I145" s="29" t="n">
        <v>46392</v>
      </c>
      <c r="J145" s="27" t="n"/>
      <c r="K145" s="27" t="inlineStr">
        <is>
          <t>ZPR2</t>
        </is>
      </c>
      <c r="L145" s="27" t="inlineStr">
        <is>
          <t>PRE</t>
        </is>
      </c>
      <c r="M145" s="27" t="n"/>
      <c r="N145" s="27" t="inlineStr">
        <is>
          <t>Maintenance préventive fictive EC+REV - poste G-I-I2100</t>
        </is>
      </c>
      <c r="O145" s="27" t="inlineStr">
        <is>
          <t>TERM</t>
        </is>
      </c>
      <c r="P145" s="27" t="inlineStr">
        <is>
          <t>STAT_SYS_A</t>
        </is>
      </c>
      <c r="Q145" s="27" t="inlineStr">
        <is>
          <t>USER02</t>
        </is>
      </c>
      <c r="R145" s="30" t="n">
        <v>1215</v>
      </c>
      <c r="S145" s="27" t="inlineStr">
        <is>
          <t>EQ2</t>
        </is>
      </c>
      <c r="T145" s="29" t="n">
        <v>46459</v>
      </c>
      <c r="U145" s="27" t="inlineStr">
        <is>
          <t>TECH-09</t>
        </is>
      </c>
      <c r="V145" s="27" t="inlineStr">
        <is>
          <t>G-I-I2100-FILT01</t>
        </is>
      </c>
      <c r="W145" s="27" t="inlineStr">
        <is>
          <t>Équipement fictif 09-2-1</t>
        </is>
      </c>
      <c r="X145" s="27" t="inlineStr">
        <is>
          <t>EQ-09-2-01</t>
        </is>
      </c>
      <c r="Y145" s="27" t="inlineStr">
        <is>
          <t>GG-PREV</t>
        </is>
      </c>
      <c r="Z145" s="27" t="inlineStr">
        <is>
          <t>1</t>
        </is>
      </c>
      <c r="AA145" s="29" t="n">
        <v>46448</v>
      </c>
      <c r="AB145" s="27" t="inlineStr">
        <is>
          <t>SECTIONNEMENT</t>
        </is>
      </c>
      <c r="AC145" s="27" t="inlineStr">
        <is>
          <t>EC+REV</t>
        </is>
      </c>
      <c r="AD145" s="28" t="n">
        <v>2</v>
      </c>
      <c r="AE145" s="28" t="n">
        <v>1</v>
      </c>
      <c r="AF145" s="28" t="n">
        <v>1</v>
      </c>
      <c r="AG145" s="27" t="n"/>
      <c r="AH145" s="27" t="n"/>
      <c r="AI145" s="27" t="inlineStr">
        <is>
          <t>Instantané de démonstration – MODELE_GMAO_PREV_ANONYMISE.csv</t>
        </is>
      </c>
      <c r="AJ145" s="31" t="n">
        <v>46309.50763888889</v>
      </c>
    </row>
    <row r="146">
      <c r="A146" s="27" t="inlineStr">
        <is>
          <t>910000076</t>
        </is>
      </c>
      <c r="B146" s="27" t="inlineStr">
        <is>
          <t>REV</t>
        </is>
      </c>
      <c r="C146" s="28" t="n">
        <v>2027</v>
      </c>
      <c r="D146" s="27" t="inlineStr">
        <is>
          <t>SITE09</t>
        </is>
      </c>
      <c r="E146" s="27" t="inlineStr">
        <is>
          <t>EQ2</t>
        </is>
      </c>
      <c r="F146" s="27" t="inlineStr">
        <is>
          <t>G-I-I2100</t>
        </is>
      </c>
      <c r="G146" s="27" t="n"/>
      <c r="H146" s="28" t="n">
        <v>77</v>
      </c>
      <c r="I146" s="29" t="n">
        <v>46392</v>
      </c>
      <c r="J146" s="27" t="n"/>
      <c r="K146" s="27" t="inlineStr">
        <is>
          <t>ZPR2</t>
        </is>
      </c>
      <c r="L146" s="27" t="inlineStr">
        <is>
          <t>PRE</t>
        </is>
      </c>
      <c r="M146" s="27" t="n"/>
      <c r="N146" s="27" t="inlineStr">
        <is>
          <t>Maintenance préventive fictive EC+REV - poste G-I-I2100</t>
        </is>
      </c>
      <c r="O146" s="27" t="inlineStr">
        <is>
          <t>TERM</t>
        </is>
      </c>
      <c r="P146" s="27" t="inlineStr">
        <is>
          <t>STAT_SYS_A</t>
        </is>
      </c>
      <c r="Q146" s="27" t="inlineStr">
        <is>
          <t>USER02</t>
        </is>
      </c>
      <c r="R146" s="30" t="n">
        <v>1215</v>
      </c>
      <c r="S146" s="27" t="inlineStr">
        <is>
          <t>EQ2</t>
        </is>
      </c>
      <c r="T146" s="29" t="n">
        <v>46459</v>
      </c>
      <c r="U146" s="27" t="inlineStr">
        <is>
          <t>TECH-09</t>
        </is>
      </c>
      <c r="V146" s="27" t="inlineStr">
        <is>
          <t>G-I-I2100-FILT01</t>
        </is>
      </c>
      <c r="W146" s="27" t="inlineStr">
        <is>
          <t>Équipement fictif 09-2-1</t>
        </is>
      </c>
      <c r="X146" s="27" t="inlineStr">
        <is>
          <t>EQ-09-2-01</t>
        </is>
      </c>
      <c r="Y146" s="27" t="inlineStr">
        <is>
          <t>GG-PREV</t>
        </is>
      </c>
      <c r="Z146" s="27" t="inlineStr">
        <is>
          <t>1</t>
        </is>
      </c>
      <c r="AA146" s="29" t="n">
        <v>46448</v>
      </c>
      <c r="AB146" s="27" t="inlineStr">
        <is>
          <t>SECTIONNEMENT</t>
        </is>
      </c>
      <c r="AC146" s="27" t="inlineStr">
        <is>
          <t>EC+REV</t>
        </is>
      </c>
      <c r="AD146" s="28" t="n">
        <v>5</v>
      </c>
      <c r="AE146" s="28" t="n">
        <v>1</v>
      </c>
      <c r="AF146" s="28" t="n">
        <v>1</v>
      </c>
      <c r="AG146" s="27" t="n"/>
      <c r="AH146" s="27" t="n"/>
      <c r="AI146" s="27" t="inlineStr">
        <is>
          <t>Instantané de démonstration – MODELE_GMAO_PREV_ANONYMISE.csv</t>
        </is>
      </c>
      <c r="AJ146" s="31" t="n">
        <v>46309.50763888889</v>
      </c>
    </row>
    <row r="147">
      <c r="A147" s="27" t="inlineStr">
        <is>
          <t>910000077</t>
        </is>
      </c>
      <c r="B147" s="27" t="inlineStr">
        <is>
          <t>EC</t>
        </is>
      </c>
      <c r="C147" s="28" t="n">
        <v>2027</v>
      </c>
      <c r="D147" s="27" t="inlineStr">
        <is>
          <t>SITE09</t>
        </is>
      </c>
      <c r="E147" s="27" t="inlineStr">
        <is>
          <t>EQ2</t>
        </is>
      </c>
      <c r="F147" s="27" t="inlineStr">
        <is>
          <t>G-I-I2200</t>
        </is>
      </c>
      <c r="G147" s="27" t="n"/>
      <c r="H147" s="28" t="n">
        <v>78</v>
      </c>
      <c r="I147" s="29" t="n">
        <v>46417</v>
      </c>
      <c r="J147" s="27" t="n"/>
      <c r="K147" s="27" t="inlineStr">
        <is>
          <t>ZPR2</t>
        </is>
      </c>
      <c r="L147" s="27" t="inlineStr">
        <is>
          <t>PRE</t>
        </is>
      </c>
      <c r="M147" s="27" t="n"/>
      <c r="N147" s="27" t="inlineStr">
        <is>
          <t>Maintenance préventive fictive EC+PIS+PILOTAGE+FILTRE - poste G-I-I2200</t>
        </is>
      </c>
      <c r="O147" s="27" t="inlineStr">
        <is>
          <t>ACTI</t>
        </is>
      </c>
      <c r="P147" s="27" t="inlineStr">
        <is>
          <t>STAT_SYS_A</t>
        </is>
      </c>
      <c r="Q147" s="27" t="inlineStr">
        <is>
          <t>USER02</t>
        </is>
      </c>
      <c r="R147" s="30" t="n">
        <v>1225</v>
      </c>
      <c r="S147" s="27" t="inlineStr">
        <is>
          <t>EQ2</t>
        </is>
      </c>
      <c r="T147" s="29" t="n">
        <v>46491</v>
      </c>
      <c r="U147" s="27" t="inlineStr">
        <is>
          <t>TECH-09</t>
        </is>
      </c>
      <c r="V147" s="27" t="inlineStr">
        <is>
          <t>G-I-I2200-REG01</t>
        </is>
      </c>
      <c r="W147" s="27" t="inlineStr">
        <is>
          <t>Équipement fictif 09-2-2</t>
        </is>
      </c>
      <c r="X147" s="27" t="inlineStr">
        <is>
          <t>EQ-09-2-02</t>
        </is>
      </c>
      <c r="Y147" s="27" t="inlineStr">
        <is>
          <t>GG-PREV</t>
        </is>
      </c>
      <c r="Z147" s="27" t="inlineStr">
        <is>
          <t>2</t>
        </is>
      </c>
      <c r="AA147" s="29" t="n">
        <v>46479</v>
      </c>
      <c r="AB147" s="27" t="inlineStr">
        <is>
          <t>COMPTAGE</t>
        </is>
      </c>
      <c r="AC147" s="27" t="inlineStr">
        <is>
          <t>EC+PIS+PILOTAGE+FILTRE</t>
        </is>
      </c>
      <c r="AD147" s="28" t="n">
        <v>2</v>
      </c>
      <c r="AE147" s="28" t="n">
        <v>1</v>
      </c>
      <c r="AF147" s="28" t="n">
        <v>1</v>
      </c>
      <c r="AG147" s="27" t="n"/>
      <c r="AH147" s="27" t="n"/>
      <c r="AI147" s="27" t="inlineStr">
        <is>
          <t>Instantané de démonstration – MODELE_GMAO_PREV_ANONYMISE.csv</t>
        </is>
      </c>
      <c r="AJ147" s="31" t="n">
        <v>46309.50763888889</v>
      </c>
    </row>
    <row r="148">
      <c r="A148" s="27" t="inlineStr">
        <is>
          <t>910000077</t>
        </is>
      </c>
      <c r="B148" s="27" t="inlineStr">
        <is>
          <t>PIS</t>
        </is>
      </c>
      <c r="C148" s="28" t="n">
        <v>2027</v>
      </c>
      <c r="D148" s="27" t="inlineStr">
        <is>
          <t>SITE09</t>
        </is>
      </c>
      <c r="E148" s="27" t="inlineStr">
        <is>
          <t>EQ2</t>
        </is>
      </c>
      <c r="F148" s="27" t="inlineStr">
        <is>
          <t>G-I-I2200</t>
        </is>
      </c>
      <c r="G148" s="27" t="n"/>
      <c r="H148" s="28" t="n">
        <v>78</v>
      </c>
      <c r="I148" s="29" t="n">
        <v>46417</v>
      </c>
      <c r="J148" s="27" t="n"/>
      <c r="K148" s="27" t="inlineStr">
        <is>
          <t>ZPR2</t>
        </is>
      </c>
      <c r="L148" s="27" t="inlineStr">
        <is>
          <t>PRE</t>
        </is>
      </c>
      <c r="M148" s="27" t="n"/>
      <c r="N148" s="27" t="inlineStr">
        <is>
          <t>Maintenance préventive fictive EC+PIS+PILOTAGE+FILTRE - poste G-I-I2200</t>
        </is>
      </c>
      <c r="O148" s="27" t="inlineStr">
        <is>
          <t>ACTI</t>
        </is>
      </c>
      <c r="P148" s="27" t="inlineStr">
        <is>
          <t>STAT_SYS_A</t>
        </is>
      </c>
      <c r="Q148" s="27" t="inlineStr">
        <is>
          <t>USER02</t>
        </is>
      </c>
      <c r="R148" s="30" t="n">
        <v>1225</v>
      </c>
      <c r="S148" s="27" t="inlineStr">
        <is>
          <t>EQ2</t>
        </is>
      </c>
      <c r="T148" s="29" t="n">
        <v>46491</v>
      </c>
      <c r="U148" s="27" t="inlineStr">
        <is>
          <t>TECH-09</t>
        </is>
      </c>
      <c r="V148" s="27" t="inlineStr">
        <is>
          <t>G-I-I2200-REG01</t>
        </is>
      </c>
      <c r="W148" s="27" t="inlineStr">
        <is>
          <t>Équipement fictif 09-2-2</t>
        </is>
      </c>
      <c r="X148" s="27" t="inlineStr">
        <is>
          <t>EQ-09-2-02</t>
        </is>
      </c>
      <c r="Y148" s="27" t="inlineStr">
        <is>
          <t>GG-PREV</t>
        </is>
      </c>
      <c r="Z148" s="27" t="inlineStr">
        <is>
          <t>2</t>
        </is>
      </c>
      <c r="AA148" s="29" t="n">
        <v>46479</v>
      </c>
      <c r="AB148" s="27" t="inlineStr">
        <is>
          <t>COMPTAGE</t>
        </is>
      </c>
      <c r="AC148" s="27" t="inlineStr">
        <is>
          <t>EC+PIS+PILOTAGE+FILTRE</t>
        </is>
      </c>
      <c r="AD148" s="28" t="n">
        <v>1</v>
      </c>
      <c r="AE148" s="28" t="n">
        <v>1</v>
      </c>
      <c r="AF148" s="28" t="n">
        <v>1</v>
      </c>
      <c r="AG148" s="27" t="n"/>
      <c r="AH148" s="27" t="n"/>
      <c r="AI148" s="27" t="inlineStr">
        <is>
          <t>Instantané de démonstration – MODELE_GMAO_PREV_ANONYMISE.csv</t>
        </is>
      </c>
      <c r="AJ148" s="31" t="n">
        <v>46309.50763888889</v>
      </c>
    </row>
    <row r="149">
      <c r="A149" s="27" t="inlineStr">
        <is>
          <t>910000077</t>
        </is>
      </c>
      <c r="B149" s="27" t="inlineStr">
        <is>
          <t>PILOTAGE</t>
        </is>
      </c>
      <c r="C149" s="28" t="n">
        <v>2027</v>
      </c>
      <c r="D149" s="27" t="inlineStr">
        <is>
          <t>SITE09</t>
        </is>
      </c>
      <c r="E149" s="27" t="inlineStr">
        <is>
          <t>EQ2</t>
        </is>
      </c>
      <c r="F149" s="27" t="inlineStr">
        <is>
          <t>G-I-I2200</t>
        </is>
      </c>
      <c r="G149" s="27" t="n"/>
      <c r="H149" s="28" t="n">
        <v>78</v>
      </c>
      <c r="I149" s="29" t="n">
        <v>46417</v>
      </c>
      <c r="J149" s="27" t="n"/>
      <c r="K149" s="27" t="inlineStr">
        <is>
          <t>ZPR2</t>
        </is>
      </c>
      <c r="L149" s="27" t="inlineStr">
        <is>
          <t>PRE</t>
        </is>
      </c>
      <c r="M149" s="27" t="n"/>
      <c r="N149" s="27" t="inlineStr">
        <is>
          <t>Maintenance préventive fictive EC+PIS+PILOTAGE+FILTRE - poste G-I-I2200</t>
        </is>
      </c>
      <c r="O149" s="27" t="inlineStr">
        <is>
          <t>ACTI</t>
        </is>
      </c>
      <c r="P149" s="27" t="inlineStr">
        <is>
          <t>STAT_SYS_A</t>
        </is>
      </c>
      <c r="Q149" s="27" t="inlineStr">
        <is>
          <t>USER02</t>
        </is>
      </c>
      <c r="R149" s="30" t="n">
        <v>1225</v>
      </c>
      <c r="S149" s="27" t="inlineStr">
        <is>
          <t>EQ2</t>
        </is>
      </c>
      <c r="T149" s="29" t="n">
        <v>46491</v>
      </c>
      <c r="U149" s="27" t="inlineStr">
        <is>
          <t>TECH-09</t>
        </is>
      </c>
      <c r="V149" s="27" t="inlineStr">
        <is>
          <t>G-I-I2200-REG01</t>
        </is>
      </c>
      <c r="W149" s="27" t="inlineStr">
        <is>
          <t>Équipement fictif 09-2-2</t>
        </is>
      </c>
      <c r="X149" s="27" t="inlineStr">
        <is>
          <t>EQ-09-2-02</t>
        </is>
      </c>
      <c r="Y149" s="27" t="inlineStr">
        <is>
          <t>GG-PREV</t>
        </is>
      </c>
      <c r="Z149" s="27" t="inlineStr">
        <is>
          <t>2</t>
        </is>
      </c>
      <c r="AA149" s="29" t="n">
        <v>46479</v>
      </c>
      <c r="AB149" s="27" t="inlineStr">
        <is>
          <t>COMPTAGE</t>
        </is>
      </c>
      <c r="AC149" s="27" t="inlineStr">
        <is>
          <t>EC+PIS+PILOTAGE+FILTRE</t>
        </is>
      </c>
      <c r="AD149" s="28" t="n">
        <v>3</v>
      </c>
      <c r="AE149" s="28" t="n">
        <v>1</v>
      </c>
      <c r="AF149" s="28" t="n">
        <v>1</v>
      </c>
      <c r="AG149" s="27" t="n"/>
      <c r="AH149" s="27" t="n"/>
      <c r="AI149" s="27" t="inlineStr">
        <is>
          <t>Instantané de démonstration – MODELE_GMAO_PREV_ANONYMISE.csv</t>
        </is>
      </c>
      <c r="AJ149" s="31" t="n">
        <v>46309.50763888889</v>
      </c>
    </row>
    <row r="150">
      <c r="A150" s="27" t="inlineStr">
        <is>
          <t>910000077</t>
        </is>
      </c>
      <c r="B150" s="27" t="inlineStr">
        <is>
          <t>FILTRE</t>
        </is>
      </c>
      <c r="C150" s="28" t="n">
        <v>2027</v>
      </c>
      <c r="D150" s="27" t="inlineStr">
        <is>
          <t>SITE09</t>
        </is>
      </c>
      <c r="E150" s="27" t="inlineStr">
        <is>
          <t>EQ2</t>
        </is>
      </c>
      <c r="F150" s="27" t="inlineStr">
        <is>
          <t>G-I-I2200</t>
        </is>
      </c>
      <c r="G150" s="27" t="n"/>
      <c r="H150" s="28" t="n">
        <v>78</v>
      </c>
      <c r="I150" s="29" t="n">
        <v>46417</v>
      </c>
      <c r="J150" s="27" t="n"/>
      <c r="K150" s="27" t="inlineStr">
        <is>
          <t>ZPR2</t>
        </is>
      </c>
      <c r="L150" s="27" t="inlineStr">
        <is>
          <t>PRE</t>
        </is>
      </c>
      <c r="M150" s="27" t="n"/>
      <c r="N150" s="27" t="inlineStr">
        <is>
          <t>Maintenance préventive fictive EC+PIS+PILOTAGE+FILTRE - poste G-I-I2200</t>
        </is>
      </c>
      <c r="O150" s="27" t="inlineStr">
        <is>
          <t>ACTI</t>
        </is>
      </c>
      <c r="P150" s="27" t="inlineStr">
        <is>
          <t>STAT_SYS_A</t>
        </is>
      </c>
      <c r="Q150" s="27" t="inlineStr">
        <is>
          <t>USER02</t>
        </is>
      </c>
      <c r="R150" s="30" t="n">
        <v>1225</v>
      </c>
      <c r="S150" s="27" t="inlineStr">
        <is>
          <t>EQ2</t>
        </is>
      </c>
      <c r="T150" s="29" t="n">
        <v>46491</v>
      </c>
      <c r="U150" s="27" t="inlineStr">
        <is>
          <t>TECH-09</t>
        </is>
      </c>
      <c r="V150" s="27" t="inlineStr">
        <is>
          <t>G-I-I2200-REG01</t>
        </is>
      </c>
      <c r="W150" s="27" t="inlineStr">
        <is>
          <t>Équipement fictif 09-2-2</t>
        </is>
      </c>
      <c r="X150" s="27" t="inlineStr">
        <is>
          <t>EQ-09-2-02</t>
        </is>
      </c>
      <c r="Y150" s="27" t="inlineStr">
        <is>
          <t>GG-PREV</t>
        </is>
      </c>
      <c r="Z150" s="27" t="inlineStr">
        <is>
          <t>2</t>
        </is>
      </c>
      <c r="AA150" s="29" t="n">
        <v>46479</v>
      </c>
      <c r="AB150" s="27" t="inlineStr">
        <is>
          <t>COMPTAGE</t>
        </is>
      </c>
      <c r="AC150" s="27" t="inlineStr">
        <is>
          <t>EC+PIS+PILOTAGE+FILTRE</t>
        </is>
      </c>
      <c r="AD150" s="28" t="n">
        <v>4</v>
      </c>
      <c r="AE150" s="28" t="n">
        <v>1</v>
      </c>
      <c r="AF150" s="28" t="n">
        <v>1</v>
      </c>
      <c r="AG150" s="27" t="n"/>
      <c r="AH150" s="27" t="n"/>
      <c r="AI150" s="27" t="inlineStr">
        <is>
          <t>Instantané de démonstration – MODELE_GMAO_PREV_ANONYMISE.csv</t>
        </is>
      </c>
      <c r="AJ150" s="31" t="n">
        <v>46309.50763888889</v>
      </c>
    </row>
    <row r="151">
      <c r="A151" s="27" t="inlineStr">
        <is>
          <t>910000078</t>
        </is>
      </c>
      <c r="B151" s="27" t="inlineStr">
        <is>
          <t>EC</t>
        </is>
      </c>
      <c r="C151" s="28" t="n">
        <v>2027</v>
      </c>
      <c r="D151" s="27" t="inlineStr">
        <is>
          <t>SITE09</t>
        </is>
      </c>
      <c r="E151" s="27" t="inlineStr">
        <is>
          <t>EQ2</t>
        </is>
      </c>
      <c r="F151" s="27" t="inlineStr">
        <is>
          <t>G-I-I2300</t>
        </is>
      </c>
      <c r="G151" s="27" t="n"/>
      <c r="H151" s="28" t="n">
        <v>79</v>
      </c>
      <c r="I151" s="29" t="n">
        <v>46441</v>
      </c>
      <c r="J151" s="27" t="n"/>
      <c r="K151" s="27" t="inlineStr">
        <is>
          <t>ZPR2</t>
        </is>
      </c>
      <c r="L151" s="27" t="inlineStr">
        <is>
          <t>PRE</t>
        </is>
      </c>
      <c r="M151" s="27" t="n"/>
      <c r="N151" s="27" t="inlineStr">
        <is>
          <t>Maintenance préventive fictive EC+FILTRE - poste G-I-I2300</t>
        </is>
      </c>
      <c r="O151" s="27" t="inlineStr">
        <is>
          <t>ACTI</t>
        </is>
      </c>
      <c r="P151" s="27" t="inlineStr">
        <is>
          <t>STAT_SYS_A</t>
        </is>
      </c>
      <c r="Q151" s="27" t="inlineStr">
        <is>
          <t>USER02</t>
        </is>
      </c>
      <c r="R151" s="30" t="n">
        <v>1235</v>
      </c>
      <c r="S151" s="27" t="inlineStr">
        <is>
          <t>EQ2</t>
        </is>
      </c>
      <c r="T151" s="29" t="n">
        <v>46522</v>
      </c>
      <c r="U151" s="27" t="inlineStr">
        <is>
          <t>TECH-09</t>
        </is>
      </c>
      <c r="V151" s="27" t="inlineStr">
        <is>
          <t>G-I-I2300-FILT01</t>
        </is>
      </c>
      <c r="W151" s="27" t="inlineStr">
        <is>
          <t>Équipement fictif 09-2-3</t>
        </is>
      </c>
      <c r="X151" s="27" t="inlineStr">
        <is>
          <t>EQ-09-2-03</t>
        </is>
      </c>
      <c r="Y151" s="27" t="inlineStr">
        <is>
          <t>GG-PREV</t>
        </is>
      </c>
      <c r="Z151" s="27" t="inlineStr">
        <is>
          <t>3</t>
        </is>
      </c>
      <c r="AA151" s="29" t="n">
        <v>46509</v>
      </c>
      <c r="AB151" s="27" t="inlineStr">
        <is>
          <t>PIQUAGE</t>
        </is>
      </c>
      <c r="AC151" s="27" t="inlineStr">
        <is>
          <t>EC+FILTRE</t>
        </is>
      </c>
      <c r="AD151" s="28" t="n">
        <v>2</v>
      </c>
      <c r="AE151" s="28" t="n">
        <v>1</v>
      </c>
      <c r="AF151" s="28" t="n">
        <v>1</v>
      </c>
      <c r="AG151" s="27" t="n"/>
      <c r="AH151" s="27" t="n"/>
      <c r="AI151" s="27" t="inlineStr">
        <is>
          <t>Instantané de démonstration – MODELE_GMAO_PREV_ANONYMISE.csv</t>
        </is>
      </c>
      <c r="AJ151" s="31" t="n">
        <v>46309.50763888889</v>
      </c>
    </row>
    <row r="152">
      <c r="A152" s="27" t="inlineStr">
        <is>
          <t>910000078</t>
        </is>
      </c>
      <c r="B152" s="27" t="inlineStr">
        <is>
          <t>FILTRE</t>
        </is>
      </c>
      <c r="C152" s="28" t="n">
        <v>2027</v>
      </c>
      <c r="D152" s="27" t="inlineStr">
        <is>
          <t>SITE09</t>
        </is>
      </c>
      <c r="E152" s="27" t="inlineStr">
        <is>
          <t>EQ2</t>
        </is>
      </c>
      <c r="F152" s="27" t="inlineStr">
        <is>
          <t>G-I-I2300</t>
        </is>
      </c>
      <c r="G152" s="27" t="n"/>
      <c r="H152" s="28" t="n">
        <v>79</v>
      </c>
      <c r="I152" s="29" t="n">
        <v>46441</v>
      </c>
      <c r="J152" s="27" t="n"/>
      <c r="K152" s="27" t="inlineStr">
        <is>
          <t>ZPR2</t>
        </is>
      </c>
      <c r="L152" s="27" t="inlineStr">
        <is>
          <t>PRE</t>
        </is>
      </c>
      <c r="M152" s="27" t="n"/>
      <c r="N152" s="27" t="inlineStr">
        <is>
          <t>Maintenance préventive fictive EC+FILTRE - poste G-I-I2300</t>
        </is>
      </c>
      <c r="O152" s="27" t="inlineStr">
        <is>
          <t>ACTI</t>
        </is>
      </c>
      <c r="P152" s="27" t="inlineStr">
        <is>
          <t>STAT_SYS_A</t>
        </is>
      </c>
      <c r="Q152" s="27" t="inlineStr">
        <is>
          <t>USER02</t>
        </is>
      </c>
      <c r="R152" s="30" t="n">
        <v>1235</v>
      </c>
      <c r="S152" s="27" t="inlineStr">
        <is>
          <t>EQ2</t>
        </is>
      </c>
      <c r="T152" s="29" t="n">
        <v>46522</v>
      </c>
      <c r="U152" s="27" t="inlineStr">
        <is>
          <t>TECH-09</t>
        </is>
      </c>
      <c r="V152" s="27" t="inlineStr">
        <is>
          <t>G-I-I2300-FILT01</t>
        </is>
      </c>
      <c r="W152" s="27" t="inlineStr">
        <is>
          <t>Équipement fictif 09-2-3</t>
        </is>
      </c>
      <c r="X152" s="27" t="inlineStr">
        <is>
          <t>EQ-09-2-03</t>
        </is>
      </c>
      <c r="Y152" s="27" t="inlineStr">
        <is>
          <t>GG-PREV</t>
        </is>
      </c>
      <c r="Z152" s="27" t="inlineStr">
        <is>
          <t>3</t>
        </is>
      </c>
      <c r="AA152" s="29" t="n">
        <v>46509</v>
      </c>
      <c r="AB152" s="27" t="inlineStr">
        <is>
          <t>PIQUAGE</t>
        </is>
      </c>
      <c r="AC152" s="27" t="inlineStr">
        <is>
          <t>EC+FILTRE</t>
        </is>
      </c>
      <c r="AD152" s="28" t="n">
        <v>4</v>
      </c>
      <c r="AE152" s="28" t="n">
        <v>1</v>
      </c>
      <c r="AF152" s="28" t="n">
        <v>1</v>
      </c>
      <c r="AG152" s="27" t="n"/>
      <c r="AH152" s="27" t="n"/>
      <c r="AI152" s="27" t="inlineStr">
        <is>
          <t>Instantané de démonstration – MODELE_GMAO_PREV_ANONYMISE.csv</t>
        </is>
      </c>
      <c r="AJ152" s="31" t="n">
        <v>46309.50763888889</v>
      </c>
    </row>
    <row r="153">
      <c r="A153" s="27" t="inlineStr">
        <is>
          <t>910000079</t>
        </is>
      </c>
      <c r="B153" s="27" t="inlineStr">
        <is>
          <t>EC</t>
        </is>
      </c>
      <c r="C153" s="28" t="n">
        <v>2027</v>
      </c>
      <c r="D153" s="27" t="inlineStr">
        <is>
          <t>SITE09</t>
        </is>
      </c>
      <c r="E153" s="27" t="inlineStr">
        <is>
          <t>EQ3</t>
        </is>
      </c>
      <c r="F153" s="27" t="inlineStr">
        <is>
          <t>G-I-I3100</t>
        </is>
      </c>
      <c r="G153" s="27" t="n"/>
      <c r="H153" s="28" t="n">
        <v>80</v>
      </c>
      <c r="I153" s="29" t="n">
        <v>46423</v>
      </c>
      <c r="J153" s="27" t="n"/>
      <c r="K153" s="27" t="inlineStr">
        <is>
          <t>ZPR2</t>
        </is>
      </c>
      <c r="L153" s="27" t="inlineStr">
        <is>
          <t>PRE</t>
        </is>
      </c>
      <c r="M153" s="27" t="n"/>
      <c r="N153" s="27" t="inlineStr">
        <is>
          <t>Maintenance préventive fictive EC+PIS+PILOTAGE+FILTRE - poste G-I-I3100</t>
        </is>
      </c>
      <c r="O153" s="27" t="inlineStr">
        <is>
          <t>ACTI</t>
        </is>
      </c>
      <c r="P153" s="27" t="inlineStr">
        <is>
          <t>STAT_SYS_A</t>
        </is>
      </c>
      <c r="Q153" s="27" t="inlineStr">
        <is>
          <t>USER03</t>
        </is>
      </c>
      <c r="R153" s="30" t="n">
        <v>1255</v>
      </c>
      <c r="S153" s="27" t="inlineStr">
        <is>
          <t>EQ3</t>
        </is>
      </c>
      <c r="T153" s="29" t="n">
        <v>46490</v>
      </c>
      <c r="U153" s="27" t="inlineStr">
        <is>
          <t>TECH-09</t>
        </is>
      </c>
      <c r="V153" s="27" t="inlineStr">
        <is>
          <t>G-I-I3100-VAN01</t>
        </is>
      </c>
      <c r="W153" s="27" t="inlineStr">
        <is>
          <t>Équipement fictif 09-3-1</t>
        </is>
      </c>
      <c r="X153" s="27" t="inlineStr">
        <is>
          <t>EQ-09-3-01</t>
        </is>
      </c>
      <c r="Y153" s="27" t="inlineStr">
        <is>
          <t>GG-PREV</t>
        </is>
      </c>
      <c r="Z153" s="27" t="inlineStr">
        <is>
          <t>1</t>
        </is>
      </c>
      <c r="AA153" s="29" t="n">
        <v>46479</v>
      </c>
      <c r="AB153" s="27" t="inlineStr">
        <is>
          <t>SECTIONNEMENT</t>
        </is>
      </c>
      <c r="AC153" s="27" t="inlineStr">
        <is>
          <t>EC+PIS+PILOTAGE+FILTRE</t>
        </is>
      </c>
      <c r="AD153" s="28" t="n">
        <v>2</v>
      </c>
      <c r="AE153" s="28" t="n">
        <v>1</v>
      </c>
      <c r="AF153" s="28" t="n">
        <v>1</v>
      </c>
      <c r="AG153" s="27" t="n"/>
      <c r="AH153" s="27" t="n"/>
      <c r="AI153" s="27" t="inlineStr">
        <is>
          <t>Instantané de démonstration – MODELE_GMAO_PREV_ANONYMISE.csv</t>
        </is>
      </c>
      <c r="AJ153" s="31" t="n">
        <v>46309.50763888889</v>
      </c>
    </row>
    <row r="154">
      <c r="A154" s="27" t="inlineStr">
        <is>
          <t>910000079</t>
        </is>
      </c>
      <c r="B154" s="27" t="inlineStr">
        <is>
          <t>PIS</t>
        </is>
      </c>
      <c r="C154" s="28" t="n">
        <v>2027</v>
      </c>
      <c r="D154" s="27" t="inlineStr">
        <is>
          <t>SITE09</t>
        </is>
      </c>
      <c r="E154" s="27" t="inlineStr">
        <is>
          <t>EQ3</t>
        </is>
      </c>
      <c r="F154" s="27" t="inlineStr">
        <is>
          <t>G-I-I3100</t>
        </is>
      </c>
      <c r="G154" s="27" t="n"/>
      <c r="H154" s="28" t="n">
        <v>80</v>
      </c>
      <c r="I154" s="29" t="n">
        <v>46423</v>
      </c>
      <c r="J154" s="27" t="n"/>
      <c r="K154" s="27" t="inlineStr">
        <is>
          <t>ZPR2</t>
        </is>
      </c>
      <c r="L154" s="27" t="inlineStr">
        <is>
          <t>PRE</t>
        </is>
      </c>
      <c r="M154" s="27" t="n"/>
      <c r="N154" s="27" t="inlineStr">
        <is>
          <t>Maintenance préventive fictive EC+PIS+PILOTAGE+FILTRE - poste G-I-I3100</t>
        </is>
      </c>
      <c r="O154" s="27" t="inlineStr">
        <is>
          <t>ACTI</t>
        </is>
      </c>
      <c r="P154" s="27" t="inlineStr">
        <is>
          <t>STAT_SYS_A</t>
        </is>
      </c>
      <c r="Q154" s="27" t="inlineStr">
        <is>
          <t>USER03</t>
        </is>
      </c>
      <c r="R154" s="30" t="n">
        <v>1255</v>
      </c>
      <c r="S154" s="27" t="inlineStr">
        <is>
          <t>EQ3</t>
        </is>
      </c>
      <c r="T154" s="29" t="n">
        <v>46490</v>
      </c>
      <c r="U154" s="27" t="inlineStr">
        <is>
          <t>TECH-09</t>
        </is>
      </c>
      <c r="V154" s="27" t="inlineStr">
        <is>
          <t>G-I-I3100-VAN01</t>
        </is>
      </c>
      <c r="W154" s="27" t="inlineStr">
        <is>
          <t>Équipement fictif 09-3-1</t>
        </is>
      </c>
      <c r="X154" s="27" t="inlineStr">
        <is>
          <t>EQ-09-3-01</t>
        </is>
      </c>
      <c r="Y154" s="27" t="inlineStr">
        <is>
          <t>GG-PREV</t>
        </is>
      </c>
      <c r="Z154" s="27" t="inlineStr">
        <is>
          <t>1</t>
        </is>
      </c>
      <c r="AA154" s="29" t="n">
        <v>46479</v>
      </c>
      <c r="AB154" s="27" t="inlineStr">
        <is>
          <t>SECTIONNEMENT</t>
        </is>
      </c>
      <c r="AC154" s="27" t="inlineStr">
        <is>
          <t>EC+PIS+PILOTAGE+FILTRE</t>
        </is>
      </c>
      <c r="AD154" s="28" t="n">
        <v>1</v>
      </c>
      <c r="AE154" s="28" t="n">
        <v>1</v>
      </c>
      <c r="AF154" s="28" t="n">
        <v>1</v>
      </c>
      <c r="AG154" s="27" t="n"/>
      <c r="AH154" s="27" t="n"/>
      <c r="AI154" s="27" t="inlineStr">
        <is>
          <t>Instantané de démonstration – MODELE_GMAO_PREV_ANONYMISE.csv</t>
        </is>
      </c>
      <c r="AJ154" s="31" t="n">
        <v>46309.50763888889</v>
      </c>
    </row>
    <row r="155">
      <c r="A155" s="27" t="inlineStr">
        <is>
          <t>910000079</t>
        </is>
      </c>
      <c r="B155" s="27" t="inlineStr">
        <is>
          <t>PILOTAGE</t>
        </is>
      </c>
      <c r="C155" s="28" t="n">
        <v>2027</v>
      </c>
      <c r="D155" s="27" t="inlineStr">
        <is>
          <t>SITE09</t>
        </is>
      </c>
      <c r="E155" s="27" t="inlineStr">
        <is>
          <t>EQ3</t>
        </is>
      </c>
      <c r="F155" s="27" t="inlineStr">
        <is>
          <t>G-I-I3100</t>
        </is>
      </c>
      <c r="G155" s="27" t="n"/>
      <c r="H155" s="28" t="n">
        <v>80</v>
      </c>
      <c r="I155" s="29" t="n">
        <v>46423</v>
      </c>
      <c r="J155" s="27" t="n"/>
      <c r="K155" s="27" t="inlineStr">
        <is>
          <t>ZPR2</t>
        </is>
      </c>
      <c r="L155" s="27" t="inlineStr">
        <is>
          <t>PRE</t>
        </is>
      </c>
      <c r="M155" s="27" t="n"/>
      <c r="N155" s="27" t="inlineStr">
        <is>
          <t>Maintenance préventive fictive EC+PIS+PILOTAGE+FILTRE - poste G-I-I3100</t>
        </is>
      </c>
      <c r="O155" s="27" t="inlineStr">
        <is>
          <t>ACTI</t>
        </is>
      </c>
      <c r="P155" s="27" t="inlineStr">
        <is>
          <t>STAT_SYS_A</t>
        </is>
      </c>
      <c r="Q155" s="27" t="inlineStr">
        <is>
          <t>USER03</t>
        </is>
      </c>
      <c r="R155" s="30" t="n">
        <v>1255</v>
      </c>
      <c r="S155" s="27" t="inlineStr">
        <is>
          <t>EQ3</t>
        </is>
      </c>
      <c r="T155" s="29" t="n">
        <v>46490</v>
      </c>
      <c r="U155" s="27" t="inlineStr">
        <is>
          <t>TECH-09</t>
        </is>
      </c>
      <c r="V155" s="27" t="inlineStr">
        <is>
          <t>G-I-I3100-VAN01</t>
        </is>
      </c>
      <c r="W155" s="27" t="inlineStr">
        <is>
          <t>Équipement fictif 09-3-1</t>
        </is>
      </c>
      <c r="X155" s="27" t="inlineStr">
        <is>
          <t>EQ-09-3-01</t>
        </is>
      </c>
      <c r="Y155" s="27" t="inlineStr">
        <is>
          <t>GG-PREV</t>
        </is>
      </c>
      <c r="Z155" s="27" t="inlineStr">
        <is>
          <t>1</t>
        </is>
      </c>
      <c r="AA155" s="29" t="n">
        <v>46479</v>
      </c>
      <c r="AB155" s="27" t="inlineStr">
        <is>
          <t>SECTIONNEMENT</t>
        </is>
      </c>
      <c r="AC155" s="27" t="inlineStr">
        <is>
          <t>EC+PIS+PILOTAGE+FILTRE</t>
        </is>
      </c>
      <c r="AD155" s="28" t="n">
        <v>3</v>
      </c>
      <c r="AE155" s="28" t="n">
        <v>1</v>
      </c>
      <c r="AF155" s="28" t="n">
        <v>1</v>
      </c>
      <c r="AG155" s="27" t="n"/>
      <c r="AH155" s="27" t="n"/>
      <c r="AI155" s="27" t="inlineStr">
        <is>
          <t>Instantané de démonstration – MODELE_GMAO_PREV_ANONYMISE.csv</t>
        </is>
      </c>
      <c r="AJ155" s="31" t="n">
        <v>46309.50763888889</v>
      </c>
    </row>
    <row r="156">
      <c r="A156" s="27" t="inlineStr">
        <is>
          <t>910000079</t>
        </is>
      </c>
      <c r="B156" s="27" t="inlineStr">
        <is>
          <t>FILTRE</t>
        </is>
      </c>
      <c r="C156" s="28" t="n">
        <v>2027</v>
      </c>
      <c r="D156" s="27" t="inlineStr">
        <is>
          <t>SITE09</t>
        </is>
      </c>
      <c r="E156" s="27" t="inlineStr">
        <is>
          <t>EQ3</t>
        </is>
      </c>
      <c r="F156" s="27" t="inlineStr">
        <is>
          <t>G-I-I3100</t>
        </is>
      </c>
      <c r="G156" s="27" t="n"/>
      <c r="H156" s="28" t="n">
        <v>80</v>
      </c>
      <c r="I156" s="29" t="n">
        <v>46423</v>
      </c>
      <c r="J156" s="27" t="n"/>
      <c r="K156" s="27" t="inlineStr">
        <is>
          <t>ZPR2</t>
        </is>
      </c>
      <c r="L156" s="27" t="inlineStr">
        <is>
          <t>PRE</t>
        </is>
      </c>
      <c r="M156" s="27" t="n"/>
      <c r="N156" s="27" t="inlineStr">
        <is>
          <t>Maintenance préventive fictive EC+PIS+PILOTAGE+FILTRE - poste G-I-I3100</t>
        </is>
      </c>
      <c r="O156" s="27" t="inlineStr">
        <is>
          <t>ACTI</t>
        </is>
      </c>
      <c r="P156" s="27" t="inlineStr">
        <is>
          <t>STAT_SYS_A</t>
        </is>
      </c>
      <c r="Q156" s="27" t="inlineStr">
        <is>
          <t>USER03</t>
        </is>
      </c>
      <c r="R156" s="30" t="n">
        <v>1255</v>
      </c>
      <c r="S156" s="27" t="inlineStr">
        <is>
          <t>EQ3</t>
        </is>
      </c>
      <c r="T156" s="29" t="n">
        <v>46490</v>
      </c>
      <c r="U156" s="27" t="inlineStr">
        <is>
          <t>TECH-09</t>
        </is>
      </c>
      <c r="V156" s="27" t="inlineStr">
        <is>
          <t>G-I-I3100-VAN01</t>
        </is>
      </c>
      <c r="W156" s="27" t="inlineStr">
        <is>
          <t>Équipement fictif 09-3-1</t>
        </is>
      </c>
      <c r="X156" s="27" t="inlineStr">
        <is>
          <t>EQ-09-3-01</t>
        </is>
      </c>
      <c r="Y156" s="27" t="inlineStr">
        <is>
          <t>GG-PREV</t>
        </is>
      </c>
      <c r="Z156" s="27" t="inlineStr">
        <is>
          <t>1</t>
        </is>
      </c>
      <c r="AA156" s="29" t="n">
        <v>46479</v>
      </c>
      <c r="AB156" s="27" t="inlineStr">
        <is>
          <t>SECTIONNEMENT</t>
        </is>
      </c>
      <c r="AC156" s="27" t="inlineStr">
        <is>
          <t>EC+PIS+PILOTAGE+FILTRE</t>
        </is>
      </c>
      <c r="AD156" s="28" t="n">
        <v>4</v>
      </c>
      <c r="AE156" s="28" t="n">
        <v>1</v>
      </c>
      <c r="AF156" s="28" t="n">
        <v>1</v>
      </c>
      <c r="AG156" s="27" t="n"/>
      <c r="AH156" s="27" t="n"/>
      <c r="AI156" s="27" t="inlineStr">
        <is>
          <t>Instantané de démonstration – MODELE_GMAO_PREV_ANONYMISE.csv</t>
        </is>
      </c>
      <c r="AJ156" s="31" t="n">
        <v>46309.50763888889</v>
      </c>
    </row>
    <row r="157">
      <c r="A157" s="27" t="inlineStr">
        <is>
          <t>910000080</t>
        </is>
      </c>
      <c r="B157" s="27" t="inlineStr">
        <is>
          <t>EC</t>
        </is>
      </c>
      <c r="C157" s="28" t="n">
        <v>2027</v>
      </c>
      <c r="D157" s="27" t="inlineStr">
        <is>
          <t>SITE09</t>
        </is>
      </c>
      <c r="E157" s="27" t="inlineStr">
        <is>
          <t>EQ3</t>
        </is>
      </c>
      <c r="F157" s="27" t="inlineStr">
        <is>
          <t>G-I-I3200</t>
        </is>
      </c>
      <c r="G157" s="27" t="n"/>
      <c r="H157" s="28" t="n">
        <v>81</v>
      </c>
      <c r="I157" s="29" t="n">
        <v>46447</v>
      </c>
      <c r="J157" s="27" t="n"/>
      <c r="K157" s="27" t="inlineStr">
        <is>
          <t>ZPR2</t>
        </is>
      </c>
      <c r="L157" s="27" t="inlineStr">
        <is>
          <t>PRE</t>
        </is>
      </c>
      <c r="M157" s="27" t="n"/>
      <c r="N157" s="27" t="inlineStr">
        <is>
          <t>Maintenance préventive fictive EC+FILTRE - poste G-I-I3200</t>
        </is>
      </c>
      <c r="O157" s="27" t="inlineStr">
        <is>
          <t>ACTI</t>
        </is>
      </c>
      <c r="P157" s="27" t="inlineStr">
        <is>
          <t>STAT_SYS_A</t>
        </is>
      </c>
      <c r="Q157" s="27" t="inlineStr">
        <is>
          <t>USER03</t>
        </is>
      </c>
      <c r="R157" s="30" t="n">
        <v>1265</v>
      </c>
      <c r="S157" s="27" t="inlineStr">
        <is>
          <t>EQ3</t>
        </is>
      </c>
      <c r="T157" s="29" t="n">
        <v>46521</v>
      </c>
      <c r="U157" s="27" t="inlineStr">
        <is>
          <t>TECH-09</t>
        </is>
      </c>
      <c r="V157" s="27" t="inlineStr">
        <is>
          <t>G-I-I3200-VAN01</t>
        </is>
      </c>
      <c r="W157" s="27" t="inlineStr">
        <is>
          <t>Équipement fictif 09-3-2</t>
        </is>
      </c>
      <c r="X157" s="27" t="inlineStr">
        <is>
          <t>EQ-09-3-02</t>
        </is>
      </c>
      <c r="Y157" s="27" t="inlineStr">
        <is>
          <t>GG-PREV</t>
        </is>
      </c>
      <c r="Z157" s="27" t="inlineStr">
        <is>
          <t>2</t>
        </is>
      </c>
      <c r="AA157" s="29" t="n">
        <v>46509</v>
      </c>
      <c r="AB157" s="27" t="inlineStr">
        <is>
          <t>COMPTAGE</t>
        </is>
      </c>
      <c r="AC157" s="27" t="inlineStr">
        <is>
          <t>EC+FILTRE</t>
        </is>
      </c>
      <c r="AD157" s="28" t="n">
        <v>2</v>
      </c>
      <c r="AE157" s="28" t="n">
        <v>1</v>
      </c>
      <c r="AF157" s="28" t="n">
        <v>1</v>
      </c>
      <c r="AG157" s="27" t="n"/>
      <c r="AH157" s="27" t="n"/>
      <c r="AI157" s="27" t="inlineStr">
        <is>
          <t>Instantané de démonstration – MODELE_GMAO_PREV_ANONYMISE.csv</t>
        </is>
      </c>
      <c r="AJ157" s="31" t="n">
        <v>46309.50763888889</v>
      </c>
    </row>
    <row r="158">
      <c r="A158" s="27" t="inlineStr">
        <is>
          <t>910000080</t>
        </is>
      </c>
      <c r="B158" s="27" t="inlineStr">
        <is>
          <t>FILTRE</t>
        </is>
      </c>
      <c r="C158" s="28" t="n">
        <v>2027</v>
      </c>
      <c r="D158" s="27" t="inlineStr">
        <is>
          <t>SITE09</t>
        </is>
      </c>
      <c r="E158" s="27" t="inlineStr">
        <is>
          <t>EQ3</t>
        </is>
      </c>
      <c r="F158" s="27" t="inlineStr">
        <is>
          <t>G-I-I3200</t>
        </is>
      </c>
      <c r="G158" s="27" t="n"/>
      <c r="H158" s="28" t="n">
        <v>81</v>
      </c>
      <c r="I158" s="29" t="n">
        <v>46447</v>
      </c>
      <c r="J158" s="27" t="n"/>
      <c r="K158" s="27" t="inlineStr">
        <is>
          <t>ZPR2</t>
        </is>
      </c>
      <c r="L158" s="27" t="inlineStr">
        <is>
          <t>PRE</t>
        </is>
      </c>
      <c r="M158" s="27" t="n"/>
      <c r="N158" s="27" t="inlineStr">
        <is>
          <t>Maintenance préventive fictive EC+FILTRE - poste G-I-I3200</t>
        </is>
      </c>
      <c r="O158" s="27" t="inlineStr">
        <is>
          <t>ACTI</t>
        </is>
      </c>
      <c r="P158" s="27" t="inlineStr">
        <is>
          <t>STAT_SYS_A</t>
        </is>
      </c>
      <c r="Q158" s="27" t="inlineStr">
        <is>
          <t>USER03</t>
        </is>
      </c>
      <c r="R158" s="30" t="n">
        <v>1265</v>
      </c>
      <c r="S158" s="27" t="inlineStr">
        <is>
          <t>EQ3</t>
        </is>
      </c>
      <c r="T158" s="29" t="n">
        <v>46521</v>
      </c>
      <c r="U158" s="27" t="inlineStr">
        <is>
          <t>TECH-09</t>
        </is>
      </c>
      <c r="V158" s="27" t="inlineStr">
        <is>
          <t>G-I-I3200-VAN01</t>
        </is>
      </c>
      <c r="W158" s="27" t="inlineStr">
        <is>
          <t>Équipement fictif 09-3-2</t>
        </is>
      </c>
      <c r="X158" s="27" t="inlineStr">
        <is>
          <t>EQ-09-3-02</t>
        </is>
      </c>
      <c r="Y158" s="27" t="inlineStr">
        <is>
          <t>GG-PREV</t>
        </is>
      </c>
      <c r="Z158" s="27" t="inlineStr">
        <is>
          <t>2</t>
        </is>
      </c>
      <c r="AA158" s="29" t="n">
        <v>46509</v>
      </c>
      <c r="AB158" s="27" t="inlineStr">
        <is>
          <t>COMPTAGE</t>
        </is>
      </c>
      <c r="AC158" s="27" t="inlineStr">
        <is>
          <t>EC+FILTRE</t>
        </is>
      </c>
      <c r="AD158" s="28" t="n">
        <v>4</v>
      </c>
      <c r="AE158" s="28" t="n">
        <v>1</v>
      </c>
      <c r="AF158" s="28" t="n">
        <v>1</v>
      </c>
      <c r="AG158" s="27" t="n"/>
      <c r="AH158" s="27" t="n"/>
      <c r="AI158" s="27" t="inlineStr">
        <is>
          <t>Instantané de démonstration – MODELE_GMAO_PREV_ANONYMISE.csv</t>
        </is>
      </c>
      <c r="AJ158" s="31" t="n">
        <v>46309.50763888889</v>
      </c>
    </row>
    <row r="159">
      <c r="A159" s="27" t="inlineStr">
        <is>
          <t>910000081</t>
        </is>
      </c>
      <c r="B159" s="27" t="inlineStr">
        <is>
          <t>PIS</t>
        </is>
      </c>
      <c r="C159" s="28" t="n">
        <v>2027</v>
      </c>
      <c r="D159" s="27" t="inlineStr">
        <is>
          <t>SITE09</t>
        </is>
      </c>
      <c r="E159" s="27" t="inlineStr">
        <is>
          <t>EQ3</t>
        </is>
      </c>
      <c r="F159" s="27" t="inlineStr">
        <is>
          <t>G-I-I3300</t>
        </is>
      </c>
      <c r="G159" s="27" t="n"/>
      <c r="H159" s="28" t="n">
        <v>82</v>
      </c>
      <c r="I159" s="29" t="n">
        <v>46472</v>
      </c>
      <c r="J159" s="27" t="n"/>
      <c r="K159" s="27" t="inlineStr">
        <is>
          <t>ZPR2</t>
        </is>
      </c>
      <c r="L159" s="27" t="inlineStr">
        <is>
          <t>PRE</t>
        </is>
      </c>
      <c r="M159" s="27" t="n"/>
      <c r="N159" s="27" t="inlineStr">
        <is>
          <t>Maintenance préventive fictive PIS+REV - poste G-I-I3300</t>
        </is>
      </c>
      <c r="O159" s="27" t="inlineStr">
        <is>
          <t>TERM</t>
        </is>
      </c>
      <c r="P159" s="27" t="inlineStr">
        <is>
          <t>STAT_SYS_A</t>
        </is>
      </c>
      <c r="Q159" s="27" t="inlineStr">
        <is>
          <t>USER03</t>
        </is>
      </c>
      <c r="R159" s="30" t="n">
        <v>1275</v>
      </c>
      <c r="S159" s="27" t="inlineStr">
        <is>
          <t>EQ3</t>
        </is>
      </c>
      <c r="T159" s="29" t="n">
        <v>46553</v>
      </c>
      <c r="U159" s="27" t="inlineStr">
        <is>
          <t>TECH-09</t>
        </is>
      </c>
      <c r="V159" s="27" t="inlineStr">
        <is>
          <t>G-I-I3300-FILT01</t>
        </is>
      </c>
      <c r="W159" s="27" t="inlineStr">
        <is>
          <t>Équipement fictif 09-3-3</t>
        </is>
      </c>
      <c r="X159" s="27" t="inlineStr">
        <is>
          <t>EQ-09-3-03</t>
        </is>
      </c>
      <c r="Y159" s="27" t="inlineStr">
        <is>
          <t>GG-PREV</t>
        </is>
      </c>
      <c r="Z159" s="27" t="inlineStr">
        <is>
          <t>3</t>
        </is>
      </c>
      <c r="AA159" s="29" t="n">
        <v>46540</v>
      </c>
      <c r="AB159" s="27" t="inlineStr">
        <is>
          <t>PIQUAGE</t>
        </is>
      </c>
      <c r="AC159" s="27" t="inlineStr">
        <is>
          <t>PIS+REV</t>
        </is>
      </c>
      <c r="AD159" s="28" t="n">
        <v>1</v>
      </c>
      <c r="AE159" s="28" t="n">
        <v>1</v>
      </c>
      <c r="AF159" s="28" t="n">
        <v>1</v>
      </c>
      <c r="AG159" s="27" t="n"/>
      <c r="AH159" s="27" t="n"/>
      <c r="AI159" s="27" t="inlineStr">
        <is>
          <t>Instantané de démonstration – MODELE_GMAO_PREV_ANONYMISE.csv</t>
        </is>
      </c>
      <c r="AJ159" s="31" t="n">
        <v>46309.50763888889</v>
      </c>
    </row>
    <row r="160">
      <c r="A160" s="27" t="inlineStr">
        <is>
          <t>910000081</t>
        </is>
      </c>
      <c r="B160" s="27" t="inlineStr">
        <is>
          <t>REV</t>
        </is>
      </c>
      <c r="C160" s="28" t="n">
        <v>2027</v>
      </c>
      <c r="D160" s="27" t="inlineStr">
        <is>
          <t>SITE09</t>
        </is>
      </c>
      <c r="E160" s="27" t="inlineStr">
        <is>
          <t>EQ3</t>
        </is>
      </c>
      <c r="F160" s="27" t="inlineStr">
        <is>
          <t>G-I-I3300</t>
        </is>
      </c>
      <c r="G160" s="27" t="n"/>
      <c r="H160" s="28" t="n">
        <v>82</v>
      </c>
      <c r="I160" s="29" t="n">
        <v>46472</v>
      </c>
      <c r="J160" s="27" t="n"/>
      <c r="K160" s="27" t="inlineStr">
        <is>
          <t>ZPR2</t>
        </is>
      </c>
      <c r="L160" s="27" t="inlineStr">
        <is>
          <t>PRE</t>
        </is>
      </c>
      <c r="M160" s="27" t="n"/>
      <c r="N160" s="27" t="inlineStr">
        <is>
          <t>Maintenance préventive fictive PIS+REV - poste G-I-I3300</t>
        </is>
      </c>
      <c r="O160" s="27" t="inlineStr">
        <is>
          <t>TERM</t>
        </is>
      </c>
      <c r="P160" s="27" t="inlineStr">
        <is>
          <t>STAT_SYS_A</t>
        </is>
      </c>
      <c r="Q160" s="27" t="inlineStr">
        <is>
          <t>USER03</t>
        </is>
      </c>
      <c r="R160" s="30" t="n">
        <v>1275</v>
      </c>
      <c r="S160" s="27" t="inlineStr">
        <is>
          <t>EQ3</t>
        </is>
      </c>
      <c r="T160" s="29" t="n">
        <v>46553</v>
      </c>
      <c r="U160" s="27" t="inlineStr">
        <is>
          <t>TECH-09</t>
        </is>
      </c>
      <c r="V160" s="27" t="inlineStr">
        <is>
          <t>G-I-I3300-FILT01</t>
        </is>
      </c>
      <c r="W160" s="27" t="inlineStr">
        <is>
          <t>Équipement fictif 09-3-3</t>
        </is>
      </c>
      <c r="X160" s="27" t="inlineStr">
        <is>
          <t>EQ-09-3-03</t>
        </is>
      </c>
      <c r="Y160" s="27" t="inlineStr">
        <is>
          <t>GG-PREV</t>
        </is>
      </c>
      <c r="Z160" s="27" t="inlineStr">
        <is>
          <t>3</t>
        </is>
      </c>
      <c r="AA160" s="29" t="n">
        <v>46540</v>
      </c>
      <c r="AB160" s="27" t="inlineStr">
        <is>
          <t>PIQUAGE</t>
        </is>
      </c>
      <c r="AC160" s="27" t="inlineStr">
        <is>
          <t>PIS+REV</t>
        </is>
      </c>
      <c r="AD160" s="28" t="n">
        <v>5</v>
      </c>
      <c r="AE160" s="28" t="n">
        <v>1</v>
      </c>
      <c r="AF160" s="28" t="n">
        <v>1</v>
      </c>
      <c r="AG160" s="27" t="n"/>
      <c r="AH160" s="27" t="n"/>
      <c r="AI160" s="27" t="inlineStr">
        <is>
          <t>Instantané de démonstration – MODELE_GMAO_PREV_ANONYMISE.csv</t>
        </is>
      </c>
      <c r="AJ160" s="31" t="n">
        <v>46309.50763888889</v>
      </c>
    </row>
    <row r="161">
      <c r="A161" s="27" t="inlineStr">
        <is>
          <t>910000082</t>
        </is>
      </c>
      <c r="B161" s="27" t="inlineStr">
        <is>
          <t>EC</t>
        </is>
      </c>
      <c r="C161" s="28" t="n">
        <v>2027</v>
      </c>
      <c r="D161" s="27" t="inlineStr">
        <is>
          <t>SITE10</t>
        </is>
      </c>
      <c r="E161" s="27" t="inlineStr">
        <is>
          <t>EQ1</t>
        </is>
      </c>
      <c r="F161" s="27" t="inlineStr">
        <is>
          <t>G-I-J1100</t>
        </is>
      </c>
      <c r="G161" s="27" t="n"/>
      <c r="H161" s="28" t="n">
        <v>83</v>
      </c>
      <c r="I161" s="29" t="n">
        <v>46365</v>
      </c>
      <c r="J161" s="27" t="n"/>
      <c r="K161" s="27" t="inlineStr">
        <is>
          <t>ZPR2</t>
        </is>
      </c>
      <c r="L161" s="27" t="inlineStr">
        <is>
          <t>PRE</t>
        </is>
      </c>
      <c r="M161" s="27" t="n"/>
      <c r="N161" s="27" t="inlineStr">
        <is>
          <t>Maintenance préventive fictive EC+REV - poste G-I-J1100</t>
        </is>
      </c>
      <c r="O161" s="27" t="inlineStr">
        <is>
          <t>ACTI</t>
        </is>
      </c>
      <c r="P161" s="27" t="inlineStr">
        <is>
          <t>STAT_SYS_A</t>
        </is>
      </c>
      <c r="Q161" s="27" t="inlineStr">
        <is>
          <t>USER01</t>
        </is>
      </c>
      <c r="R161" s="30" t="n">
        <v>1300</v>
      </c>
      <c r="S161" s="27" t="inlineStr">
        <is>
          <t>EQ1</t>
        </is>
      </c>
      <c r="T161" s="29" t="n">
        <v>46432</v>
      </c>
      <c r="U161" s="27" t="inlineStr">
        <is>
          <t>TECH-10</t>
        </is>
      </c>
      <c r="V161" s="27" t="inlineStr">
        <is>
          <t>G-I-J1100-FILT01</t>
        </is>
      </c>
      <c r="W161" s="27" t="inlineStr">
        <is>
          <t>Équipement fictif 10-1-1</t>
        </is>
      </c>
      <c r="X161" s="27" t="inlineStr">
        <is>
          <t>EQ-10-1-01</t>
        </is>
      </c>
      <c r="Y161" s="27" t="inlineStr">
        <is>
          <t>GG-PREV</t>
        </is>
      </c>
      <c r="Z161" s="27" t="inlineStr">
        <is>
          <t>1</t>
        </is>
      </c>
      <c r="AA161" s="29" t="n">
        <v>46421</v>
      </c>
      <c r="AB161" s="27" t="inlineStr">
        <is>
          <t>COMPTAGE</t>
        </is>
      </c>
      <c r="AC161" s="27" t="inlineStr">
        <is>
          <t>EC+REV</t>
        </is>
      </c>
      <c r="AD161" s="28" t="n">
        <v>2</v>
      </c>
      <c r="AE161" s="28" t="n">
        <v>1</v>
      </c>
      <c r="AF161" s="28" t="n">
        <v>1</v>
      </c>
      <c r="AG161" s="27" t="n"/>
      <c r="AH161" s="27" t="n"/>
      <c r="AI161" s="27" t="inlineStr">
        <is>
          <t>Instantané de démonstration – MODELE_GMAO_PREV_ANONYMISE.csv</t>
        </is>
      </c>
      <c r="AJ161" s="31" t="n">
        <v>46309.50763888889</v>
      </c>
    </row>
    <row r="162">
      <c r="A162" s="27" t="inlineStr">
        <is>
          <t>910000082</t>
        </is>
      </c>
      <c r="B162" s="27" t="inlineStr">
        <is>
          <t>REV</t>
        </is>
      </c>
      <c r="C162" s="28" t="n">
        <v>2027</v>
      </c>
      <c r="D162" s="27" t="inlineStr">
        <is>
          <t>SITE10</t>
        </is>
      </c>
      <c r="E162" s="27" t="inlineStr">
        <is>
          <t>EQ1</t>
        </is>
      </c>
      <c r="F162" s="27" t="inlineStr">
        <is>
          <t>G-I-J1100</t>
        </is>
      </c>
      <c r="G162" s="27" t="n"/>
      <c r="H162" s="28" t="n">
        <v>83</v>
      </c>
      <c r="I162" s="29" t="n">
        <v>46365</v>
      </c>
      <c r="J162" s="27" t="n"/>
      <c r="K162" s="27" t="inlineStr">
        <is>
          <t>ZPR2</t>
        </is>
      </c>
      <c r="L162" s="27" t="inlineStr">
        <is>
          <t>PRE</t>
        </is>
      </c>
      <c r="M162" s="27" t="n"/>
      <c r="N162" s="27" t="inlineStr">
        <is>
          <t>Maintenance préventive fictive EC+REV - poste G-I-J1100</t>
        </is>
      </c>
      <c r="O162" s="27" t="inlineStr">
        <is>
          <t>ACTI</t>
        </is>
      </c>
      <c r="P162" s="27" t="inlineStr">
        <is>
          <t>STAT_SYS_A</t>
        </is>
      </c>
      <c r="Q162" s="27" t="inlineStr">
        <is>
          <t>USER01</t>
        </is>
      </c>
      <c r="R162" s="30" t="n">
        <v>1300</v>
      </c>
      <c r="S162" s="27" t="inlineStr">
        <is>
          <t>EQ1</t>
        </is>
      </c>
      <c r="T162" s="29" t="n">
        <v>46432</v>
      </c>
      <c r="U162" s="27" t="inlineStr">
        <is>
          <t>TECH-10</t>
        </is>
      </c>
      <c r="V162" s="27" t="inlineStr">
        <is>
          <t>G-I-J1100-FILT01</t>
        </is>
      </c>
      <c r="W162" s="27" t="inlineStr">
        <is>
          <t>Équipement fictif 10-1-1</t>
        </is>
      </c>
      <c r="X162" s="27" t="inlineStr">
        <is>
          <t>EQ-10-1-01</t>
        </is>
      </c>
      <c r="Y162" s="27" t="inlineStr">
        <is>
          <t>GG-PREV</t>
        </is>
      </c>
      <c r="Z162" s="27" t="inlineStr">
        <is>
          <t>1</t>
        </is>
      </c>
      <c r="AA162" s="29" t="n">
        <v>46421</v>
      </c>
      <c r="AB162" s="27" t="inlineStr">
        <is>
          <t>COMPTAGE</t>
        </is>
      </c>
      <c r="AC162" s="27" t="inlineStr">
        <is>
          <t>EC+REV</t>
        </is>
      </c>
      <c r="AD162" s="28" t="n">
        <v>5</v>
      </c>
      <c r="AE162" s="28" t="n">
        <v>1</v>
      </c>
      <c r="AF162" s="28" t="n">
        <v>1</v>
      </c>
      <c r="AG162" s="27" t="n"/>
      <c r="AH162" s="27" t="n"/>
      <c r="AI162" s="27" t="inlineStr">
        <is>
          <t>Instantané de démonstration – MODELE_GMAO_PREV_ANONYMISE.csv</t>
        </is>
      </c>
      <c r="AJ162" s="31" t="n">
        <v>46309.50763888889</v>
      </c>
    </row>
    <row r="163">
      <c r="A163" s="27" t="inlineStr">
        <is>
          <t>910000083</t>
        </is>
      </c>
      <c r="B163" s="27" t="inlineStr">
        <is>
          <t>EC</t>
        </is>
      </c>
      <c r="C163" s="28" t="n">
        <v>2027</v>
      </c>
      <c r="D163" s="27" t="inlineStr">
        <is>
          <t>SITE10</t>
        </is>
      </c>
      <c r="E163" s="27" t="inlineStr">
        <is>
          <t>EQ1</t>
        </is>
      </c>
      <c r="F163" s="27" t="inlineStr">
        <is>
          <t>G-I-J1200</t>
        </is>
      </c>
      <c r="G163" s="27" t="n"/>
      <c r="H163" s="28" t="n">
        <v>84</v>
      </c>
      <c r="I163" s="29" t="n">
        <v>46387</v>
      </c>
      <c r="J163" s="27" t="n"/>
      <c r="K163" s="27" t="inlineStr">
        <is>
          <t>ZPR2</t>
        </is>
      </c>
      <c r="L163" s="27" t="inlineStr">
        <is>
          <t>PRE</t>
        </is>
      </c>
      <c r="M163" s="27" t="n"/>
      <c r="N163" s="27" t="inlineStr">
        <is>
          <t>Maintenance préventive fictive EC+PIS+PILOTAGE+FILTRE - poste G-I-J1200</t>
        </is>
      </c>
      <c r="O163" s="27" t="inlineStr">
        <is>
          <t>TERM</t>
        </is>
      </c>
      <c r="P163" s="27" t="inlineStr">
        <is>
          <t>STAT_SYS_A</t>
        </is>
      </c>
      <c r="Q163" s="27" t="inlineStr">
        <is>
          <t>USER01</t>
        </is>
      </c>
      <c r="R163" s="30" t="n">
        <v>1310</v>
      </c>
      <c r="S163" s="27" t="inlineStr">
        <is>
          <t>EQ1</t>
        </is>
      </c>
      <c r="T163" s="29" t="n">
        <v>46461</v>
      </c>
      <c r="U163" s="27" t="inlineStr">
        <is>
          <t>TECH-10</t>
        </is>
      </c>
      <c r="V163" s="27" t="inlineStr">
        <is>
          <t>G-I-J1200-FILT01</t>
        </is>
      </c>
      <c r="W163" s="27" t="inlineStr">
        <is>
          <t>Équipement fictif 10-1-2</t>
        </is>
      </c>
      <c r="X163" s="27" t="inlineStr">
        <is>
          <t>EQ-10-1-02</t>
        </is>
      </c>
      <c r="Y163" s="27" t="inlineStr">
        <is>
          <t>GG-PREV</t>
        </is>
      </c>
      <c r="Z163" s="27" t="inlineStr">
        <is>
          <t>2</t>
        </is>
      </c>
      <c r="AA163" s="29" t="n">
        <v>46449</v>
      </c>
      <c r="AB163" s="27" t="inlineStr">
        <is>
          <t>PIQUAGE</t>
        </is>
      </c>
      <c r="AC163" s="27" t="inlineStr">
        <is>
          <t>EC+PIS+PILOTAGE+FILTRE</t>
        </is>
      </c>
      <c r="AD163" s="28" t="n">
        <v>2</v>
      </c>
      <c r="AE163" s="28" t="n">
        <v>1</v>
      </c>
      <c r="AF163" s="28" t="n">
        <v>1</v>
      </c>
      <c r="AG163" s="27" t="n"/>
      <c r="AH163" s="27" t="n"/>
      <c r="AI163" s="27" t="inlineStr">
        <is>
          <t>Instantané de démonstration – MODELE_GMAO_PREV_ANONYMISE.csv</t>
        </is>
      </c>
      <c r="AJ163" s="31" t="n">
        <v>46309.50763888889</v>
      </c>
    </row>
    <row r="164">
      <c r="A164" s="27" t="inlineStr">
        <is>
          <t>910000083</t>
        </is>
      </c>
      <c r="B164" s="27" t="inlineStr">
        <is>
          <t>PIS</t>
        </is>
      </c>
      <c r="C164" s="28" t="n">
        <v>2027</v>
      </c>
      <c r="D164" s="27" t="inlineStr">
        <is>
          <t>SITE10</t>
        </is>
      </c>
      <c r="E164" s="27" t="inlineStr">
        <is>
          <t>EQ1</t>
        </is>
      </c>
      <c r="F164" s="27" t="inlineStr">
        <is>
          <t>G-I-J1200</t>
        </is>
      </c>
      <c r="G164" s="27" t="n"/>
      <c r="H164" s="28" t="n">
        <v>84</v>
      </c>
      <c r="I164" s="29" t="n">
        <v>46387</v>
      </c>
      <c r="J164" s="27" t="n"/>
      <c r="K164" s="27" t="inlineStr">
        <is>
          <t>ZPR2</t>
        </is>
      </c>
      <c r="L164" s="27" t="inlineStr">
        <is>
          <t>PRE</t>
        </is>
      </c>
      <c r="M164" s="27" t="n"/>
      <c r="N164" s="27" t="inlineStr">
        <is>
          <t>Maintenance préventive fictive EC+PIS+PILOTAGE+FILTRE - poste G-I-J1200</t>
        </is>
      </c>
      <c r="O164" s="27" t="inlineStr">
        <is>
          <t>TERM</t>
        </is>
      </c>
      <c r="P164" s="27" t="inlineStr">
        <is>
          <t>STAT_SYS_A</t>
        </is>
      </c>
      <c r="Q164" s="27" t="inlineStr">
        <is>
          <t>USER01</t>
        </is>
      </c>
      <c r="R164" s="30" t="n">
        <v>1310</v>
      </c>
      <c r="S164" s="27" t="inlineStr">
        <is>
          <t>EQ1</t>
        </is>
      </c>
      <c r="T164" s="29" t="n">
        <v>46461</v>
      </c>
      <c r="U164" s="27" t="inlineStr">
        <is>
          <t>TECH-10</t>
        </is>
      </c>
      <c r="V164" s="27" t="inlineStr">
        <is>
          <t>G-I-J1200-FILT01</t>
        </is>
      </c>
      <c r="W164" s="27" t="inlineStr">
        <is>
          <t>Équipement fictif 10-1-2</t>
        </is>
      </c>
      <c r="X164" s="27" t="inlineStr">
        <is>
          <t>EQ-10-1-02</t>
        </is>
      </c>
      <c r="Y164" s="27" t="inlineStr">
        <is>
          <t>GG-PREV</t>
        </is>
      </c>
      <c r="Z164" s="27" t="inlineStr">
        <is>
          <t>2</t>
        </is>
      </c>
      <c r="AA164" s="29" t="n">
        <v>46449</v>
      </c>
      <c r="AB164" s="27" t="inlineStr">
        <is>
          <t>PIQUAGE</t>
        </is>
      </c>
      <c r="AC164" s="27" t="inlineStr">
        <is>
          <t>EC+PIS+PILOTAGE+FILTRE</t>
        </is>
      </c>
      <c r="AD164" s="28" t="n">
        <v>1</v>
      </c>
      <c r="AE164" s="28" t="n">
        <v>1</v>
      </c>
      <c r="AF164" s="28" t="n">
        <v>1</v>
      </c>
      <c r="AG164" s="27" t="n"/>
      <c r="AH164" s="27" t="n"/>
      <c r="AI164" s="27" t="inlineStr">
        <is>
          <t>Instantané de démonstration – MODELE_GMAO_PREV_ANONYMISE.csv</t>
        </is>
      </c>
      <c r="AJ164" s="31" t="n">
        <v>46309.50763888889</v>
      </c>
    </row>
    <row r="165">
      <c r="A165" s="27" t="inlineStr">
        <is>
          <t>910000083</t>
        </is>
      </c>
      <c r="B165" s="27" t="inlineStr">
        <is>
          <t>PILOTAGE</t>
        </is>
      </c>
      <c r="C165" s="28" t="n">
        <v>2027</v>
      </c>
      <c r="D165" s="27" t="inlineStr">
        <is>
          <t>SITE10</t>
        </is>
      </c>
      <c r="E165" s="27" t="inlineStr">
        <is>
          <t>EQ1</t>
        </is>
      </c>
      <c r="F165" s="27" t="inlineStr">
        <is>
          <t>G-I-J1200</t>
        </is>
      </c>
      <c r="G165" s="27" t="n"/>
      <c r="H165" s="28" t="n">
        <v>84</v>
      </c>
      <c r="I165" s="29" t="n">
        <v>46387</v>
      </c>
      <c r="J165" s="27" t="n"/>
      <c r="K165" s="27" t="inlineStr">
        <is>
          <t>ZPR2</t>
        </is>
      </c>
      <c r="L165" s="27" t="inlineStr">
        <is>
          <t>PRE</t>
        </is>
      </c>
      <c r="M165" s="27" t="n"/>
      <c r="N165" s="27" t="inlineStr">
        <is>
          <t>Maintenance préventive fictive EC+PIS+PILOTAGE+FILTRE - poste G-I-J1200</t>
        </is>
      </c>
      <c r="O165" s="27" t="inlineStr">
        <is>
          <t>TERM</t>
        </is>
      </c>
      <c r="P165" s="27" t="inlineStr">
        <is>
          <t>STAT_SYS_A</t>
        </is>
      </c>
      <c r="Q165" s="27" t="inlineStr">
        <is>
          <t>USER01</t>
        </is>
      </c>
      <c r="R165" s="30" t="n">
        <v>1310</v>
      </c>
      <c r="S165" s="27" t="inlineStr">
        <is>
          <t>EQ1</t>
        </is>
      </c>
      <c r="T165" s="29" t="n">
        <v>46461</v>
      </c>
      <c r="U165" s="27" t="inlineStr">
        <is>
          <t>TECH-10</t>
        </is>
      </c>
      <c r="V165" s="27" t="inlineStr">
        <is>
          <t>G-I-J1200-FILT01</t>
        </is>
      </c>
      <c r="W165" s="27" t="inlineStr">
        <is>
          <t>Équipement fictif 10-1-2</t>
        </is>
      </c>
      <c r="X165" s="27" t="inlineStr">
        <is>
          <t>EQ-10-1-02</t>
        </is>
      </c>
      <c r="Y165" s="27" t="inlineStr">
        <is>
          <t>GG-PREV</t>
        </is>
      </c>
      <c r="Z165" s="27" t="inlineStr">
        <is>
          <t>2</t>
        </is>
      </c>
      <c r="AA165" s="29" t="n">
        <v>46449</v>
      </c>
      <c r="AB165" s="27" t="inlineStr">
        <is>
          <t>PIQUAGE</t>
        </is>
      </c>
      <c r="AC165" s="27" t="inlineStr">
        <is>
          <t>EC+PIS+PILOTAGE+FILTRE</t>
        </is>
      </c>
      <c r="AD165" s="28" t="n">
        <v>3</v>
      </c>
      <c r="AE165" s="28" t="n">
        <v>1</v>
      </c>
      <c r="AF165" s="28" t="n">
        <v>1</v>
      </c>
      <c r="AG165" s="27" t="n"/>
      <c r="AH165" s="27" t="n"/>
      <c r="AI165" s="27" t="inlineStr">
        <is>
          <t>Instantané de démonstration – MODELE_GMAO_PREV_ANONYMISE.csv</t>
        </is>
      </c>
      <c r="AJ165" s="31" t="n">
        <v>46309.50763888889</v>
      </c>
    </row>
    <row r="166">
      <c r="A166" s="27" t="inlineStr">
        <is>
          <t>910000083</t>
        </is>
      </c>
      <c r="B166" s="27" t="inlineStr">
        <is>
          <t>FILTRE</t>
        </is>
      </c>
      <c r="C166" s="28" t="n">
        <v>2027</v>
      </c>
      <c r="D166" s="27" t="inlineStr">
        <is>
          <t>SITE10</t>
        </is>
      </c>
      <c r="E166" s="27" t="inlineStr">
        <is>
          <t>EQ1</t>
        </is>
      </c>
      <c r="F166" s="27" t="inlineStr">
        <is>
          <t>G-I-J1200</t>
        </is>
      </c>
      <c r="G166" s="27" t="n"/>
      <c r="H166" s="28" t="n">
        <v>84</v>
      </c>
      <c r="I166" s="29" t="n">
        <v>46387</v>
      </c>
      <c r="J166" s="27" t="n"/>
      <c r="K166" s="27" t="inlineStr">
        <is>
          <t>ZPR2</t>
        </is>
      </c>
      <c r="L166" s="27" t="inlineStr">
        <is>
          <t>PRE</t>
        </is>
      </c>
      <c r="M166" s="27" t="n"/>
      <c r="N166" s="27" t="inlineStr">
        <is>
          <t>Maintenance préventive fictive EC+PIS+PILOTAGE+FILTRE - poste G-I-J1200</t>
        </is>
      </c>
      <c r="O166" s="27" t="inlineStr">
        <is>
          <t>TERM</t>
        </is>
      </c>
      <c r="P166" s="27" t="inlineStr">
        <is>
          <t>STAT_SYS_A</t>
        </is>
      </c>
      <c r="Q166" s="27" t="inlineStr">
        <is>
          <t>USER01</t>
        </is>
      </c>
      <c r="R166" s="30" t="n">
        <v>1310</v>
      </c>
      <c r="S166" s="27" t="inlineStr">
        <is>
          <t>EQ1</t>
        </is>
      </c>
      <c r="T166" s="29" t="n">
        <v>46461</v>
      </c>
      <c r="U166" s="27" t="inlineStr">
        <is>
          <t>TECH-10</t>
        </is>
      </c>
      <c r="V166" s="27" t="inlineStr">
        <is>
          <t>G-I-J1200-FILT01</t>
        </is>
      </c>
      <c r="W166" s="27" t="inlineStr">
        <is>
          <t>Équipement fictif 10-1-2</t>
        </is>
      </c>
      <c r="X166" s="27" t="inlineStr">
        <is>
          <t>EQ-10-1-02</t>
        </is>
      </c>
      <c r="Y166" s="27" t="inlineStr">
        <is>
          <t>GG-PREV</t>
        </is>
      </c>
      <c r="Z166" s="27" t="inlineStr">
        <is>
          <t>2</t>
        </is>
      </c>
      <c r="AA166" s="29" t="n">
        <v>46449</v>
      </c>
      <c r="AB166" s="27" t="inlineStr">
        <is>
          <t>PIQUAGE</t>
        </is>
      </c>
      <c r="AC166" s="27" t="inlineStr">
        <is>
          <t>EC+PIS+PILOTAGE+FILTRE</t>
        </is>
      </c>
      <c r="AD166" s="28" t="n">
        <v>4</v>
      </c>
      <c r="AE166" s="28" t="n">
        <v>1</v>
      </c>
      <c r="AF166" s="28" t="n">
        <v>1</v>
      </c>
      <c r="AG166" s="27" t="n"/>
      <c r="AH166" s="27" t="n"/>
      <c r="AI166" s="27" t="inlineStr">
        <is>
          <t>Instantané de démonstration – MODELE_GMAO_PREV_ANONYMISE.csv</t>
        </is>
      </c>
      <c r="AJ166" s="31" t="n">
        <v>46309.50763888889</v>
      </c>
    </row>
    <row r="167">
      <c r="A167" s="27" t="inlineStr">
        <is>
          <t>910000084</t>
        </is>
      </c>
      <c r="B167" s="27" t="inlineStr">
        <is>
          <t>EC</t>
        </is>
      </c>
      <c r="C167" s="28" t="n">
        <v>2027</v>
      </c>
      <c r="D167" s="27" t="inlineStr">
        <is>
          <t>SITE10</t>
        </is>
      </c>
      <c r="E167" s="27" t="inlineStr">
        <is>
          <t>EQ1</t>
        </is>
      </c>
      <c r="F167" s="27" t="inlineStr">
        <is>
          <t>G-I-J1300</t>
        </is>
      </c>
      <c r="G167" s="27" t="n"/>
      <c r="H167" s="28" t="n">
        <v>85</v>
      </c>
      <c r="I167" s="29" t="n">
        <v>46412</v>
      </c>
      <c r="J167" s="27" t="n"/>
      <c r="K167" s="27" t="inlineStr">
        <is>
          <t>ZPR2</t>
        </is>
      </c>
      <c r="L167" s="27" t="inlineStr">
        <is>
          <t>PRE</t>
        </is>
      </c>
      <c r="M167" s="27" t="n"/>
      <c r="N167" s="27" t="inlineStr">
        <is>
          <t>Maintenance préventive fictive EC+FILTRE - poste G-I-J1300</t>
        </is>
      </c>
      <c r="O167" s="27" t="inlineStr">
        <is>
          <t>ACTI</t>
        </is>
      </c>
      <c r="P167" s="27" t="inlineStr">
        <is>
          <t>STAT_SYS_A</t>
        </is>
      </c>
      <c r="Q167" s="27" t="inlineStr">
        <is>
          <t>USER01</t>
        </is>
      </c>
      <c r="R167" s="30" t="n">
        <v>1320</v>
      </c>
      <c r="S167" s="27" t="inlineStr">
        <is>
          <t>EQ1</t>
        </is>
      </c>
      <c r="T167" s="29" t="n">
        <v>46493</v>
      </c>
      <c r="U167" s="27" t="inlineStr">
        <is>
          <t>TECH-10</t>
        </is>
      </c>
      <c r="V167" s="27" t="inlineStr">
        <is>
          <t>G-I-J1300-REG01</t>
        </is>
      </c>
      <c r="W167" s="27" t="inlineStr">
        <is>
          <t>Équipement fictif 10-1-3</t>
        </is>
      </c>
      <c r="X167" s="27" t="inlineStr">
        <is>
          <t>EQ-10-1-03</t>
        </is>
      </c>
      <c r="Y167" s="27" t="inlineStr">
        <is>
          <t>GG-PREV</t>
        </is>
      </c>
      <c r="Z167" s="27" t="inlineStr">
        <is>
          <t>3</t>
        </is>
      </c>
      <c r="AA167" s="29" t="n">
        <v>46480</v>
      </c>
      <c r="AB167" s="27" t="inlineStr">
        <is>
          <t>FILTRE</t>
        </is>
      </c>
      <c r="AC167" s="27" t="inlineStr">
        <is>
          <t>EC+FILTRE</t>
        </is>
      </c>
      <c r="AD167" s="28" t="n">
        <v>2</v>
      </c>
      <c r="AE167" s="28" t="n">
        <v>1</v>
      </c>
      <c r="AF167" s="28" t="n">
        <v>1</v>
      </c>
      <c r="AG167" s="27" t="n"/>
      <c r="AH167" s="27" t="n"/>
      <c r="AI167" s="27" t="inlineStr">
        <is>
          <t>Instantané de démonstration – MODELE_GMAO_PREV_ANONYMISE.csv</t>
        </is>
      </c>
      <c r="AJ167" s="31" t="n">
        <v>46309.50763888889</v>
      </c>
    </row>
    <row r="168">
      <c r="A168" s="27" t="inlineStr">
        <is>
          <t>910000084</t>
        </is>
      </c>
      <c r="B168" s="27" t="inlineStr">
        <is>
          <t>FILTRE</t>
        </is>
      </c>
      <c r="C168" s="28" t="n">
        <v>2027</v>
      </c>
      <c r="D168" s="27" t="inlineStr">
        <is>
          <t>SITE10</t>
        </is>
      </c>
      <c r="E168" s="27" t="inlineStr">
        <is>
          <t>EQ1</t>
        </is>
      </c>
      <c r="F168" s="27" t="inlineStr">
        <is>
          <t>G-I-J1300</t>
        </is>
      </c>
      <c r="G168" s="27" t="n"/>
      <c r="H168" s="28" t="n">
        <v>85</v>
      </c>
      <c r="I168" s="29" t="n">
        <v>46412</v>
      </c>
      <c r="J168" s="27" t="n"/>
      <c r="K168" s="27" t="inlineStr">
        <is>
          <t>ZPR2</t>
        </is>
      </c>
      <c r="L168" s="27" t="inlineStr">
        <is>
          <t>PRE</t>
        </is>
      </c>
      <c r="M168" s="27" t="n"/>
      <c r="N168" s="27" t="inlineStr">
        <is>
          <t>Maintenance préventive fictive EC+FILTRE - poste G-I-J1300</t>
        </is>
      </c>
      <c r="O168" s="27" t="inlineStr">
        <is>
          <t>ACTI</t>
        </is>
      </c>
      <c r="P168" s="27" t="inlineStr">
        <is>
          <t>STAT_SYS_A</t>
        </is>
      </c>
      <c r="Q168" s="27" t="inlineStr">
        <is>
          <t>USER01</t>
        </is>
      </c>
      <c r="R168" s="30" t="n">
        <v>1320</v>
      </c>
      <c r="S168" s="27" t="inlineStr">
        <is>
          <t>EQ1</t>
        </is>
      </c>
      <c r="T168" s="29" t="n">
        <v>46493</v>
      </c>
      <c r="U168" s="27" t="inlineStr">
        <is>
          <t>TECH-10</t>
        </is>
      </c>
      <c r="V168" s="27" t="inlineStr">
        <is>
          <t>G-I-J1300-REG01</t>
        </is>
      </c>
      <c r="W168" s="27" t="inlineStr">
        <is>
          <t>Équipement fictif 10-1-3</t>
        </is>
      </c>
      <c r="X168" s="27" t="inlineStr">
        <is>
          <t>EQ-10-1-03</t>
        </is>
      </c>
      <c r="Y168" s="27" t="inlineStr">
        <is>
          <t>GG-PREV</t>
        </is>
      </c>
      <c r="Z168" s="27" t="inlineStr">
        <is>
          <t>3</t>
        </is>
      </c>
      <c r="AA168" s="29" t="n">
        <v>46480</v>
      </c>
      <c r="AB168" s="27" t="inlineStr">
        <is>
          <t>FILTRE</t>
        </is>
      </c>
      <c r="AC168" s="27" t="inlineStr">
        <is>
          <t>EC+FILTRE</t>
        </is>
      </c>
      <c r="AD168" s="28" t="n">
        <v>4</v>
      </c>
      <c r="AE168" s="28" t="n">
        <v>1</v>
      </c>
      <c r="AF168" s="28" t="n">
        <v>1</v>
      </c>
      <c r="AG168" s="27" t="n"/>
      <c r="AH168" s="27" t="n"/>
      <c r="AI168" s="27" t="inlineStr">
        <is>
          <t>Instantané de démonstration – MODELE_GMAO_PREV_ANONYMISE.csv</t>
        </is>
      </c>
      <c r="AJ168" s="31" t="n">
        <v>46309.50763888889</v>
      </c>
    </row>
    <row r="169">
      <c r="A169" s="27" t="inlineStr">
        <is>
          <t>910000085</t>
        </is>
      </c>
      <c r="B169" s="27" t="inlineStr">
        <is>
          <t>EC</t>
        </is>
      </c>
      <c r="C169" s="28" t="n">
        <v>2027</v>
      </c>
      <c r="D169" s="27" t="inlineStr">
        <is>
          <t>SITE10</t>
        </is>
      </c>
      <c r="E169" s="27" t="inlineStr">
        <is>
          <t>EQ2</t>
        </is>
      </c>
      <c r="F169" s="27" t="inlineStr">
        <is>
          <t>G-I-J2100</t>
        </is>
      </c>
      <c r="G169" s="27" t="n"/>
      <c r="H169" s="28" t="n">
        <v>86</v>
      </c>
      <c r="I169" s="29" t="n">
        <v>46393</v>
      </c>
      <c r="J169" s="27" t="n"/>
      <c r="K169" s="27" t="inlineStr">
        <is>
          <t>ZPR2</t>
        </is>
      </c>
      <c r="L169" s="27" t="inlineStr">
        <is>
          <t>PRE</t>
        </is>
      </c>
      <c r="M169" s="27" t="n"/>
      <c r="N169" s="27" t="inlineStr">
        <is>
          <t>Maintenance préventive fictive EC+PIS+PILOTAGE+FILTRE - poste G-I-J2100</t>
        </is>
      </c>
      <c r="O169" s="27" t="inlineStr">
        <is>
          <t>TERM</t>
        </is>
      </c>
      <c r="P169" s="27" t="inlineStr">
        <is>
          <t>STAT_SYS_A</t>
        </is>
      </c>
      <c r="Q169" s="27" t="inlineStr">
        <is>
          <t>USER02</t>
        </is>
      </c>
      <c r="R169" s="30" t="n">
        <v>1340</v>
      </c>
      <c r="S169" s="27" t="inlineStr">
        <is>
          <t>EQ2</t>
        </is>
      </c>
      <c r="T169" s="29" t="n">
        <v>46460</v>
      </c>
      <c r="U169" s="27" t="inlineStr">
        <is>
          <t>TECH-10</t>
        </is>
      </c>
      <c r="V169" s="27" t="inlineStr">
        <is>
          <t>G-I-J2100-REG01</t>
        </is>
      </c>
      <c r="W169" s="27" t="inlineStr">
        <is>
          <t>Équipement fictif 10-2-1</t>
        </is>
      </c>
      <c r="X169" s="27" t="inlineStr">
        <is>
          <t>EQ-10-2-01</t>
        </is>
      </c>
      <c r="Y169" s="27" t="inlineStr">
        <is>
          <t>GG-PREV</t>
        </is>
      </c>
      <c r="Z169" s="27" t="inlineStr">
        <is>
          <t>1</t>
        </is>
      </c>
      <c r="AA169" s="29" t="n">
        <v>46449</v>
      </c>
      <c r="AB169" s="27" t="inlineStr">
        <is>
          <t>COMPTAGE</t>
        </is>
      </c>
      <c r="AC169" s="27" t="inlineStr">
        <is>
          <t>EC+PIS+PILOTAGE+FILTRE</t>
        </is>
      </c>
      <c r="AD169" s="28" t="n">
        <v>2</v>
      </c>
      <c r="AE169" s="28" t="n">
        <v>1</v>
      </c>
      <c r="AF169" s="28" t="n">
        <v>1</v>
      </c>
      <c r="AG169" s="27" t="n"/>
      <c r="AH169" s="27" t="n"/>
      <c r="AI169" s="27" t="inlineStr">
        <is>
          <t>Instantané de démonstration – MODELE_GMAO_PREV_ANONYMISE.csv</t>
        </is>
      </c>
      <c r="AJ169" s="31" t="n">
        <v>46309.50763888889</v>
      </c>
    </row>
    <row r="170">
      <c r="A170" s="27" t="inlineStr">
        <is>
          <t>910000085</t>
        </is>
      </c>
      <c r="B170" s="27" t="inlineStr">
        <is>
          <t>PIS</t>
        </is>
      </c>
      <c r="C170" s="28" t="n">
        <v>2027</v>
      </c>
      <c r="D170" s="27" t="inlineStr">
        <is>
          <t>SITE10</t>
        </is>
      </c>
      <c r="E170" s="27" t="inlineStr">
        <is>
          <t>EQ2</t>
        </is>
      </c>
      <c r="F170" s="27" t="inlineStr">
        <is>
          <t>G-I-J2100</t>
        </is>
      </c>
      <c r="G170" s="27" t="n"/>
      <c r="H170" s="28" t="n">
        <v>86</v>
      </c>
      <c r="I170" s="29" t="n">
        <v>46393</v>
      </c>
      <c r="J170" s="27" t="n"/>
      <c r="K170" s="27" t="inlineStr">
        <is>
          <t>ZPR2</t>
        </is>
      </c>
      <c r="L170" s="27" t="inlineStr">
        <is>
          <t>PRE</t>
        </is>
      </c>
      <c r="M170" s="27" t="n"/>
      <c r="N170" s="27" t="inlineStr">
        <is>
          <t>Maintenance préventive fictive EC+PIS+PILOTAGE+FILTRE - poste G-I-J2100</t>
        </is>
      </c>
      <c r="O170" s="27" t="inlineStr">
        <is>
          <t>TERM</t>
        </is>
      </c>
      <c r="P170" s="27" t="inlineStr">
        <is>
          <t>STAT_SYS_A</t>
        </is>
      </c>
      <c r="Q170" s="27" t="inlineStr">
        <is>
          <t>USER02</t>
        </is>
      </c>
      <c r="R170" s="30" t="n">
        <v>1340</v>
      </c>
      <c r="S170" s="27" t="inlineStr">
        <is>
          <t>EQ2</t>
        </is>
      </c>
      <c r="T170" s="29" t="n">
        <v>46460</v>
      </c>
      <c r="U170" s="27" t="inlineStr">
        <is>
          <t>TECH-10</t>
        </is>
      </c>
      <c r="V170" s="27" t="inlineStr">
        <is>
          <t>G-I-J2100-REG01</t>
        </is>
      </c>
      <c r="W170" s="27" t="inlineStr">
        <is>
          <t>Équipement fictif 10-2-1</t>
        </is>
      </c>
      <c r="X170" s="27" t="inlineStr">
        <is>
          <t>EQ-10-2-01</t>
        </is>
      </c>
      <c r="Y170" s="27" t="inlineStr">
        <is>
          <t>GG-PREV</t>
        </is>
      </c>
      <c r="Z170" s="27" t="inlineStr">
        <is>
          <t>1</t>
        </is>
      </c>
      <c r="AA170" s="29" t="n">
        <v>46449</v>
      </c>
      <c r="AB170" s="27" t="inlineStr">
        <is>
          <t>COMPTAGE</t>
        </is>
      </c>
      <c r="AC170" s="27" t="inlineStr">
        <is>
          <t>EC+PIS+PILOTAGE+FILTRE</t>
        </is>
      </c>
      <c r="AD170" s="28" t="n">
        <v>1</v>
      </c>
      <c r="AE170" s="28" t="n">
        <v>1</v>
      </c>
      <c r="AF170" s="28" t="n">
        <v>1</v>
      </c>
      <c r="AG170" s="27" t="n"/>
      <c r="AH170" s="27" t="n"/>
      <c r="AI170" s="27" t="inlineStr">
        <is>
          <t>Instantané de démonstration – MODELE_GMAO_PREV_ANONYMISE.csv</t>
        </is>
      </c>
      <c r="AJ170" s="31" t="n">
        <v>46309.50763888889</v>
      </c>
    </row>
    <row r="171">
      <c r="A171" s="27" t="inlineStr">
        <is>
          <t>910000085</t>
        </is>
      </c>
      <c r="B171" s="27" t="inlineStr">
        <is>
          <t>PILOTAGE</t>
        </is>
      </c>
      <c r="C171" s="28" t="n">
        <v>2027</v>
      </c>
      <c r="D171" s="27" t="inlineStr">
        <is>
          <t>SITE10</t>
        </is>
      </c>
      <c r="E171" s="27" t="inlineStr">
        <is>
          <t>EQ2</t>
        </is>
      </c>
      <c r="F171" s="27" t="inlineStr">
        <is>
          <t>G-I-J2100</t>
        </is>
      </c>
      <c r="G171" s="27" t="n"/>
      <c r="H171" s="28" t="n">
        <v>86</v>
      </c>
      <c r="I171" s="29" t="n">
        <v>46393</v>
      </c>
      <c r="J171" s="27" t="n"/>
      <c r="K171" s="27" t="inlineStr">
        <is>
          <t>ZPR2</t>
        </is>
      </c>
      <c r="L171" s="27" t="inlineStr">
        <is>
          <t>PRE</t>
        </is>
      </c>
      <c r="M171" s="27" t="n"/>
      <c r="N171" s="27" t="inlineStr">
        <is>
          <t>Maintenance préventive fictive EC+PIS+PILOTAGE+FILTRE - poste G-I-J2100</t>
        </is>
      </c>
      <c r="O171" s="27" t="inlineStr">
        <is>
          <t>TERM</t>
        </is>
      </c>
      <c r="P171" s="27" t="inlineStr">
        <is>
          <t>STAT_SYS_A</t>
        </is>
      </c>
      <c r="Q171" s="27" t="inlineStr">
        <is>
          <t>USER02</t>
        </is>
      </c>
      <c r="R171" s="30" t="n">
        <v>1340</v>
      </c>
      <c r="S171" s="27" t="inlineStr">
        <is>
          <t>EQ2</t>
        </is>
      </c>
      <c r="T171" s="29" t="n">
        <v>46460</v>
      </c>
      <c r="U171" s="27" t="inlineStr">
        <is>
          <t>TECH-10</t>
        </is>
      </c>
      <c r="V171" s="27" t="inlineStr">
        <is>
          <t>G-I-J2100-REG01</t>
        </is>
      </c>
      <c r="W171" s="27" t="inlineStr">
        <is>
          <t>Équipement fictif 10-2-1</t>
        </is>
      </c>
      <c r="X171" s="27" t="inlineStr">
        <is>
          <t>EQ-10-2-01</t>
        </is>
      </c>
      <c r="Y171" s="27" t="inlineStr">
        <is>
          <t>GG-PREV</t>
        </is>
      </c>
      <c r="Z171" s="27" t="inlineStr">
        <is>
          <t>1</t>
        </is>
      </c>
      <c r="AA171" s="29" t="n">
        <v>46449</v>
      </c>
      <c r="AB171" s="27" t="inlineStr">
        <is>
          <t>COMPTAGE</t>
        </is>
      </c>
      <c r="AC171" s="27" t="inlineStr">
        <is>
          <t>EC+PIS+PILOTAGE+FILTRE</t>
        </is>
      </c>
      <c r="AD171" s="28" t="n">
        <v>3</v>
      </c>
      <c r="AE171" s="28" t="n">
        <v>1</v>
      </c>
      <c r="AF171" s="28" t="n">
        <v>1</v>
      </c>
      <c r="AG171" s="27" t="n"/>
      <c r="AH171" s="27" t="n"/>
      <c r="AI171" s="27" t="inlineStr">
        <is>
          <t>Instantané de démonstration – MODELE_GMAO_PREV_ANONYMISE.csv</t>
        </is>
      </c>
      <c r="AJ171" s="31" t="n">
        <v>46309.50763888889</v>
      </c>
    </row>
    <row r="172">
      <c r="A172" s="27" t="inlineStr">
        <is>
          <t>910000085</t>
        </is>
      </c>
      <c r="B172" s="27" t="inlineStr">
        <is>
          <t>FILTRE</t>
        </is>
      </c>
      <c r="C172" s="28" t="n">
        <v>2027</v>
      </c>
      <c r="D172" s="27" t="inlineStr">
        <is>
          <t>SITE10</t>
        </is>
      </c>
      <c r="E172" s="27" t="inlineStr">
        <is>
          <t>EQ2</t>
        </is>
      </c>
      <c r="F172" s="27" t="inlineStr">
        <is>
          <t>G-I-J2100</t>
        </is>
      </c>
      <c r="G172" s="27" t="n"/>
      <c r="H172" s="28" t="n">
        <v>86</v>
      </c>
      <c r="I172" s="29" t="n">
        <v>46393</v>
      </c>
      <c r="J172" s="27" t="n"/>
      <c r="K172" s="27" t="inlineStr">
        <is>
          <t>ZPR2</t>
        </is>
      </c>
      <c r="L172" s="27" t="inlineStr">
        <is>
          <t>PRE</t>
        </is>
      </c>
      <c r="M172" s="27" t="n"/>
      <c r="N172" s="27" t="inlineStr">
        <is>
          <t>Maintenance préventive fictive EC+PIS+PILOTAGE+FILTRE - poste G-I-J2100</t>
        </is>
      </c>
      <c r="O172" s="27" t="inlineStr">
        <is>
          <t>TERM</t>
        </is>
      </c>
      <c r="P172" s="27" t="inlineStr">
        <is>
          <t>STAT_SYS_A</t>
        </is>
      </c>
      <c r="Q172" s="27" t="inlineStr">
        <is>
          <t>USER02</t>
        </is>
      </c>
      <c r="R172" s="30" t="n">
        <v>1340</v>
      </c>
      <c r="S172" s="27" t="inlineStr">
        <is>
          <t>EQ2</t>
        </is>
      </c>
      <c r="T172" s="29" t="n">
        <v>46460</v>
      </c>
      <c r="U172" s="27" t="inlineStr">
        <is>
          <t>TECH-10</t>
        </is>
      </c>
      <c r="V172" s="27" t="inlineStr">
        <is>
          <t>G-I-J2100-REG01</t>
        </is>
      </c>
      <c r="W172" s="27" t="inlineStr">
        <is>
          <t>Équipement fictif 10-2-1</t>
        </is>
      </c>
      <c r="X172" s="27" t="inlineStr">
        <is>
          <t>EQ-10-2-01</t>
        </is>
      </c>
      <c r="Y172" s="27" t="inlineStr">
        <is>
          <t>GG-PREV</t>
        </is>
      </c>
      <c r="Z172" s="27" t="inlineStr">
        <is>
          <t>1</t>
        </is>
      </c>
      <c r="AA172" s="29" t="n">
        <v>46449</v>
      </c>
      <c r="AB172" s="27" t="inlineStr">
        <is>
          <t>COMPTAGE</t>
        </is>
      </c>
      <c r="AC172" s="27" t="inlineStr">
        <is>
          <t>EC+PIS+PILOTAGE+FILTRE</t>
        </is>
      </c>
      <c r="AD172" s="28" t="n">
        <v>4</v>
      </c>
      <c r="AE172" s="28" t="n">
        <v>1</v>
      </c>
      <c r="AF172" s="28" t="n">
        <v>1</v>
      </c>
      <c r="AG172" s="27" t="n"/>
      <c r="AH172" s="27" t="n"/>
      <c r="AI172" s="27" t="inlineStr">
        <is>
          <t>Instantané de démonstration – MODELE_GMAO_PREV_ANONYMISE.csv</t>
        </is>
      </c>
      <c r="AJ172" s="31" t="n">
        <v>46309.50763888889</v>
      </c>
    </row>
    <row r="173">
      <c r="A173" s="27" t="inlineStr">
        <is>
          <t>910000086</t>
        </is>
      </c>
      <c r="B173" s="27" t="inlineStr">
        <is>
          <t>EC</t>
        </is>
      </c>
      <c r="C173" s="28" t="n">
        <v>2027</v>
      </c>
      <c r="D173" s="27" t="inlineStr">
        <is>
          <t>SITE10</t>
        </is>
      </c>
      <c r="E173" s="27" t="inlineStr">
        <is>
          <t>EQ2</t>
        </is>
      </c>
      <c r="F173" s="27" t="inlineStr">
        <is>
          <t>G-I-J2200</t>
        </is>
      </c>
      <c r="G173" s="27" t="n"/>
      <c r="H173" s="28" t="n">
        <v>87</v>
      </c>
      <c r="I173" s="29" t="n">
        <v>46418</v>
      </c>
      <c r="J173" s="27" t="n"/>
      <c r="K173" s="27" t="inlineStr">
        <is>
          <t>ZPR2</t>
        </is>
      </c>
      <c r="L173" s="27" t="inlineStr">
        <is>
          <t>PRE</t>
        </is>
      </c>
      <c r="M173" s="27" t="n"/>
      <c r="N173" s="27" t="inlineStr">
        <is>
          <t>Maintenance préventive fictive EC+FILTRE - poste G-I-J2200</t>
        </is>
      </c>
      <c r="O173" s="27" t="inlineStr">
        <is>
          <t>ACTI</t>
        </is>
      </c>
      <c r="P173" s="27" t="inlineStr">
        <is>
          <t>STAT_SYS_A</t>
        </is>
      </c>
      <c r="Q173" s="27" t="inlineStr">
        <is>
          <t>USER02</t>
        </is>
      </c>
      <c r="R173" s="30" t="n">
        <v>1350</v>
      </c>
      <c r="S173" s="27" t="inlineStr">
        <is>
          <t>EQ2</t>
        </is>
      </c>
      <c r="T173" s="29" t="n">
        <v>46492</v>
      </c>
      <c r="U173" s="27" t="inlineStr">
        <is>
          <t>TECH-10</t>
        </is>
      </c>
      <c r="V173" s="27" t="inlineStr">
        <is>
          <t>G-I-J2200-SEC01</t>
        </is>
      </c>
      <c r="W173" s="27" t="inlineStr">
        <is>
          <t>Équipement fictif 10-2-2</t>
        </is>
      </c>
      <c r="X173" s="27" t="inlineStr">
        <is>
          <t>EQ-10-2-02</t>
        </is>
      </c>
      <c r="Y173" s="27" t="inlineStr">
        <is>
          <t>GG-PREV</t>
        </is>
      </c>
      <c r="Z173" s="27" t="inlineStr">
        <is>
          <t>2</t>
        </is>
      </c>
      <c r="AA173" s="29" t="n">
        <v>46480</v>
      </c>
      <c r="AB173" s="27" t="inlineStr">
        <is>
          <t>PIQUAGE</t>
        </is>
      </c>
      <c r="AC173" s="27" t="inlineStr">
        <is>
          <t>EC+FILTRE</t>
        </is>
      </c>
      <c r="AD173" s="28" t="n">
        <v>2</v>
      </c>
      <c r="AE173" s="28" t="n">
        <v>1</v>
      </c>
      <c r="AF173" s="28" t="n">
        <v>1</v>
      </c>
      <c r="AG173" s="27" t="n"/>
      <c r="AH173" s="27" t="n"/>
      <c r="AI173" s="27" t="inlineStr">
        <is>
          <t>Instantané de démonstration – MODELE_GMAO_PREV_ANONYMISE.csv</t>
        </is>
      </c>
      <c r="AJ173" s="31" t="n">
        <v>46309.50763888889</v>
      </c>
    </row>
    <row r="174">
      <c r="A174" s="27" t="inlineStr">
        <is>
          <t>910000086</t>
        </is>
      </c>
      <c r="B174" s="27" t="inlineStr">
        <is>
          <t>FILTRE</t>
        </is>
      </c>
      <c r="C174" s="28" t="n">
        <v>2027</v>
      </c>
      <c r="D174" s="27" t="inlineStr">
        <is>
          <t>SITE10</t>
        </is>
      </c>
      <c r="E174" s="27" t="inlineStr">
        <is>
          <t>EQ2</t>
        </is>
      </c>
      <c r="F174" s="27" t="inlineStr">
        <is>
          <t>G-I-J2200</t>
        </is>
      </c>
      <c r="G174" s="27" t="n"/>
      <c r="H174" s="28" t="n">
        <v>87</v>
      </c>
      <c r="I174" s="29" t="n">
        <v>46418</v>
      </c>
      <c r="J174" s="27" t="n"/>
      <c r="K174" s="27" t="inlineStr">
        <is>
          <t>ZPR2</t>
        </is>
      </c>
      <c r="L174" s="27" t="inlineStr">
        <is>
          <t>PRE</t>
        </is>
      </c>
      <c r="M174" s="27" t="n"/>
      <c r="N174" s="27" t="inlineStr">
        <is>
          <t>Maintenance préventive fictive EC+FILTRE - poste G-I-J2200</t>
        </is>
      </c>
      <c r="O174" s="27" t="inlineStr">
        <is>
          <t>ACTI</t>
        </is>
      </c>
      <c r="P174" s="27" t="inlineStr">
        <is>
          <t>STAT_SYS_A</t>
        </is>
      </c>
      <c r="Q174" s="27" t="inlineStr">
        <is>
          <t>USER02</t>
        </is>
      </c>
      <c r="R174" s="30" t="n">
        <v>1350</v>
      </c>
      <c r="S174" s="27" t="inlineStr">
        <is>
          <t>EQ2</t>
        </is>
      </c>
      <c r="T174" s="29" t="n">
        <v>46492</v>
      </c>
      <c r="U174" s="27" t="inlineStr">
        <is>
          <t>TECH-10</t>
        </is>
      </c>
      <c r="V174" s="27" t="inlineStr">
        <is>
          <t>G-I-J2200-SEC01</t>
        </is>
      </c>
      <c r="W174" s="27" t="inlineStr">
        <is>
          <t>Équipement fictif 10-2-2</t>
        </is>
      </c>
      <c r="X174" s="27" t="inlineStr">
        <is>
          <t>EQ-10-2-02</t>
        </is>
      </c>
      <c r="Y174" s="27" t="inlineStr">
        <is>
          <t>GG-PREV</t>
        </is>
      </c>
      <c r="Z174" s="27" t="inlineStr">
        <is>
          <t>2</t>
        </is>
      </c>
      <c r="AA174" s="29" t="n">
        <v>46480</v>
      </c>
      <c r="AB174" s="27" t="inlineStr">
        <is>
          <t>PIQUAGE</t>
        </is>
      </c>
      <c r="AC174" s="27" t="inlineStr">
        <is>
          <t>EC+FILTRE</t>
        </is>
      </c>
      <c r="AD174" s="28" t="n">
        <v>4</v>
      </c>
      <c r="AE174" s="28" t="n">
        <v>1</v>
      </c>
      <c r="AF174" s="28" t="n">
        <v>1</v>
      </c>
      <c r="AG174" s="27" t="n"/>
      <c r="AH174" s="27" t="n"/>
      <c r="AI174" s="27" t="inlineStr">
        <is>
          <t>Instantané de démonstration – MODELE_GMAO_PREV_ANONYMISE.csv</t>
        </is>
      </c>
      <c r="AJ174" s="31" t="n">
        <v>46309.50763888889</v>
      </c>
    </row>
    <row r="175">
      <c r="A175" s="27" t="inlineStr">
        <is>
          <t>910000087</t>
        </is>
      </c>
      <c r="B175" s="27" t="inlineStr">
        <is>
          <t>PIS</t>
        </is>
      </c>
      <c r="C175" s="28" t="n">
        <v>2027</v>
      </c>
      <c r="D175" s="27" t="inlineStr">
        <is>
          <t>SITE10</t>
        </is>
      </c>
      <c r="E175" s="27" t="inlineStr">
        <is>
          <t>EQ2</t>
        </is>
      </c>
      <c r="F175" s="27" t="inlineStr">
        <is>
          <t>G-I-J2300</t>
        </is>
      </c>
      <c r="G175" s="27" t="n"/>
      <c r="H175" s="28" t="n">
        <v>88</v>
      </c>
      <c r="I175" s="29" t="n">
        <v>46442</v>
      </c>
      <c r="J175" s="27" t="n"/>
      <c r="K175" s="27" t="inlineStr">
        <is>
          <t>ZPR2</t>
        </is>
      </c>
      <c r="L175" s="27" t="inlineStr">
        <is>
          <t>PRE</t>
        </is>
      </c>
      <c r="M175" s="27" t="n"/>
      <c r="N175" s="27" t="inlineStr">
        <is>
          <t>Maintenance préventive fictive PIS+REV - poste G-I-J2300</t>
        </is>
      </c>
      <c r="O175" s="27" t="inlineStr">
        <is>
          <t>ACTI</t>
        </is>
      </c>
      <c r="P175" s="27" t="inlineStr">
        <is>
          <t>STAT_SYS_A</t>
        </is>
      </c>
      <c r="Q175" s="27" t="inlineStr">
        <is>
          <t>USER02</t>
        </is>
      </c>
      <c r="R175" s="30" t="n">
        <v>1360</v>
      </c>
      <c r="S175" s="27" t="inlineStr">
        <is>
          <t>EQ2</t>
        </is>
      </c>
      <c r="T175" s="29" t="n">
        <v>46523</v>
      </c>
      <c r="U175" s="27" t="inlineStr">
        <is>
          <t>TECH-10</t>
        </is>
      </c>
      <c r="V175" s="27" t="inlineStr">
        <is>
          <t>G-I-J2300-SEC01</t>
        </is>
      </c>
      <c r="W175" s="27" t="inlineStr">
        <is>
          <t>Équipement fictif 10-2-3</t>
        </is>
      </c>
      <c r="X175" s="27" t="inlineStr">
        <is>
          <t>EQ-10-2-03</t>
        </is>
      </c>
      <c r="Y175" s="27" t="inlineStr">
        <is>
          <t>GG-PREV</t>
        </is>
      </c>
      <c r="Z175" s="27" t="inlineStr">
        <is>
          <t>3</t>
        </is>
      </c>
      <c r="AA175" s="29" t="n">
        <v>46510</v>
      </c>
      <c r="AB175" s="27" t="inlineStr">
        <is>
          <t>FILTRE</t>
        </is>
      </c>
      <c r="AC175" s="27" t="inlineStr">
        <is>
          <t>PIS+REV</t>
        </is>
      </c>
      <c r="AD175" s="28" t="n">
        <v>1</v>
      </c>
      <c r="AE175" s="28" t="n">
        <v>1</v>
      </c>
      <c r="AF175" s="28" t="n">
        <v>1</v>
      </c>
      <c r="AG175" s="27" t="n"/>
      <c r="AH175" s="27" t="n"/>
      <c r="AI175" s="27" t="inlineStr">
        <is>
          <t>Instantané de démonstration – MODELE_GMAO_PREV_ANONYMISE.csv</t>
        </is>
      </c>
      <c r="AJ175" s="31" t="n">
        <v>46309.50763888889</v>
      </c>
    </row>
    <row r="176">
      <c r="A176" s="27" t="inlineStr">
        <is>
          <t>910000087</t>
        </is>
      </c>
      <c r="B176" s="27" t="inlineStr">
        <is>
          <t>REV</t>
        </is>
      </c>
      <c r="C176" s="28" t="n">
        <v>2027</v>
      </c>
      <c r="D176" s="27" t="inlineStr">
        <is>
          <t>SITE10</t>
        </is>
      </c>
      <c r="E176" s="27" t="inlineStr">
        <is>
          <t>EQ2</t>
        </is>
      </c>
      <c r="F176" s="27" t="inlineStr">
        <is>
          <t>G-I-J2300</t>
        </is>
      </c>
      <c r="G176" s="27" t="n"/>
      <c r="H176" s="28" t="n">
        <v>88</v>
      </c>
      <c r="I176" s="29" t="n">
        <v>46442</v>
      </c>
      <c r="J176" s="27" t="n"/>
      <c r="K176" s="27" t="inlineStr">
        <is>
          <t>ZPR2</t>
        </is>
      </c>
      <c r="L176" s="27" t="inlineStr">
        <is>
          <t>PRE</t>
        </is>
      </c>
      <c r="M176" s="27" t="n"/>
      <c r="N176" s="27" t="inlineStr">
        <is>
          <t>Maintenance préventive fictive PIS+REV - poste G-I-J2300</t>
        </is>
      </c>
      <c r="O176" s="27" t="inlineStr">
        <is>
          <t>ACTI</t>
        </is>
      </c>
      <c r="P176" s="27" t="inlineStr">
        <is>
          <t>STAT_SYS_A</t>
        </is>
      </c>
      <c r="Q176" s="27" t="inlineStr">
        <is>
          <t>USER02</t>
        </is>
      </c>
      <c r="R176" s="30" t="n">
        <v>1360</v>
      </c>
      <c r="S176" s="27" t="inlineStr">
        <is>
          <t>EQ2</t>
        </is>
      </c>
      <c r="T176" s="29" t="n">
        <v>46523</v>
      </c>
      <c r="U176" s="27" t="inlineStr">
        <is>
          <t>TECH-10</t>
        </is>
      </c>
      <c r="V176" s="27" t="inlineStr">
        <is>
          <t>G-I-J2300-SEC01</t>
        </is>
      </c>
      <c r="W176" s="27" t="inlineStr">
        <is>
          <t>Équipement fictif 10-2-3</t>
        </is>
      </c>
      <c r="X176" s="27" t="inlineStr">
        <is>
          <t>EQ-10-2-03</t>
        </is>
      </c>
      <c r="Y176" s="27" t="inlineStr">
        <is>
          <t>GG-PREV</t>
        </is>
      </c>
      <c r="Z176" s="27" t="inlineStr">
        <is>
          <t>3</t>
        </is>
      </c>
      <c r="AA176" s="29" t="n">
        <v>46510</v>
      </c>
      <c r="AB176" s="27" t="inlineStr">
        <is>
          <t>FILTRE</t>
        </is>
      </c>
      <c r="AC176" s="27" t="inlineStr">
        <is>
          <t>PIS+REV</t>
        </is>
      </c>
      <c r="AD176" s="28" t="n">
        <v>5</v>
      </c>
      <c r="AE176" s="28" t="n">
        <v>1</v>
      </c>
      <c r="AF176" s="28" t="n">
        <v>1</v>
      </c>
      <c r="AG176" s="27" t="n"/>
      <c r="AH176" s="27" t="n"/>
      <c r="AI176" s="27" t="inlineStr">
        <is>
          <t>Instantané de démonstration – MODELE_GMAO_PREV_ANONYMISE.csv</t>
        </is>
      </c>
      <c r="AJ176" s="31" t="n">
        <v>46309.50763888889</v>
      </c>
    </row>
    <row r="177">
      <c r="A177" s="27" t="inlineStr">
        <is>
          <t>910000088</t>
        </is>
      </c>
      <c r="B177" s="27" t="inlineStr">
        <is>
          <t>EC</t>
        </is>
      </c>
      <c r="C177" s="28" t="n">
        <v>2027</v>
      </c>
      <c r="D177" s="27" t="inlineStr">
        <is>
          <t>SITE10</t>
        </is>
      </c>
      <c r="E177" s="27" t="inlineStr">
        <is>
          <t>EQ3</t>
        </is>
      </c>
      <c r="F177" s="27" t="inlineStr">
        <is>
          <t>G-I-J3100</t>
        </is>
      </c>
      <c r="G177" s="27" t="n"/>
      <c r="H177" s="28" t="n">
        <v>89</v>
      </c>
      <c r="I177" s="29" t="n">
        <v>46424</v>
      </c>
      <c r="J177" s="27" t="n"/>
      <c r="K177" s="27" t="inlineStr">
        <is>
          <t>ZPR2</t>
        </is>
      </c>
      <c r="L177" s="27" t="inlineStr">
        <is>
          <t>PRE</t>
        </is>
      </c>
      <c r="M177" s="27" t="n"/>
      <c r="N177" s="27" t="inlineStr">
        <is>
          <t>Maintenance préventive fictive EC+FILTRE - poste G-I-J3100</t>
        </is>
      </c>
      <c r="O177" s="27" t="inlineStr">
        <is>
          <t>ACTI</t>
        </is>
      </c>
      <c r="P177" s="27" t="inlineStr">
        <is>
          <t>STAT_SYS_A</t>
        </is>
      </c>
      <c r="Q177" s="27" t="inlineStr">
        <is>
          <t>USER03</t>
        </is>
      </c>
      <c r="R177" s="30" t="n">
        <v>1380</v>
      </c>
      <c r="S177" s="27" t="inlineStr">
        <is>
          <t>EQ3</t>
        </is>
      </c>
      <c r="T177" s="29" t="n">
        <v>46491</v>
      </c>
      <c r="U177" s="27" t="inlineStr">
        <is>
          <t>TECH-10</t>
        </is>
      </c>
      <c r="V177" s="27" t="inlineStr">
        <is>
          <t>G-I-J3100-SEC01</t>
        </is>
      </c>
      <c r="W177" s="27" t="inlineStr">
        <is>
          <t>Équipement fictif 10-3-1</t>
        </is>
      </c>
      <c r="X177" s="27" t="inlineStr">
        <is>
          <t>EQ-10-3-01</t>
        </is>
      </c>
      <c r="Y177" s="27" t="inlineStr">
        <is>
          <t>GG-PREV</t>
        </is>
      </c>
      <c r="Z177" s="27" t="inlineStr">
        <is>
          <t>1</t>
        </is>
      </c>
      <c r="AA177" s="29" t="n">
        <v>46480</v>
      </c>
      <c r="AB177" s="27" t="inlineStr">
        <is>
          <t>COMPTAGE</t>
        </is>
      </c>
      <c r="AC177" s="27" t="inlineStr">
        <is>
          <t>EC+FILTRE</t>
        </is>
      </c>
      <c r="AD177" s="28" t="n">
        <v>2</v>
      </c>
      <c r="AE177" s="28" t="n">
        <v>1</v>
      </c>
      <c r="AF177" s="28" t="n">
        <v>1</v>
      </c>
      <c r="AG177" s="27" t="n"/>
      <c r="AH177" s="27" t="n"/>
      <c r="AI177" s="27" t="inlineStr">
        <is>
          <t>Instantané de démonstration – MODELE_GMAO_PREV_ANONYMISE.csv</t>
        </is>
      </c>
      <c r="AJ177" s="31" t="n">
        <v>46309.50763888889</v>
      </c>
    </row>
    <row r="178">
      <c r="A178" s="27" t="inlineStr">
        <is>
          <t>910000088</t>
        </is>
      </c>
      <c r="B178" s="27" t="inlineStr">
        <is>
          <t>FILTRE</t>
        </is>
      </c>
      <c r="C178" s="28" t="n">
        <v>2027</v>
      </c>
      <c r="D178" s="27" t="inlineStr">
        <is>
          <t>SITE10</t>
        </is>
      </c>
      <c r="E178" s="27" t="inlineStr">
        <is>
          <t>EQ3</t>
        </is>
      </c>
      <c r="F178" s="27" t="inlineStr">
        <is>
          <t>G-I-J3100</t>
        </is>
      </c>
      <c r="G178" s="27" t="n"/>
      <c r="H178" s="28" t="n">
        <v>89</v>
      </c>
      <c r="I178" s="29" t="n">
        <v>46424</v>
      </c>
      <c r="J178" s="27" t="n"/>
      <c r="K178" s="27" t="inlineStr">
        <is>
          <t>ZPR2</t>
        </is>
      </c>
      <c r="L178" s="27" t="inlineStr">
        <is>
          <t>PRE</t>
        </is>
      </c>
      <c r="M178" s="27" t="n"/>
      <c r="N178" s="27" t="inlineStr">
        <is>
          <t>Maintenance préventive fictive EC+FILTRE - poste G-I-J3100</t>
        </is>
      </c>
      <c r="O178" s="27" t="inlineStr">
        <is>
          <t>ACTI</t>
        </is>
      </c>
      <c r="P178" s="27" t="inlineStr">
        <is>
          <t>STAT_SYS_A</t>
        </is>
      </c>
      <c r="Q178" s="27" t="inlineStr">
        <is>
          <t>USER03</t>
        </is>
      </c>
      <c r="R178" s="30" t="n">
        <v>1380</v>
      </c>
      <c r="S178" s="27" t="inlineStr">
        <is>
          <t>EQ3</t>
        </is>
      </c>
      <c r="T178" s="29" t="n">
        <v>46491</v>
      </c>
      <c r="U178" s="27" t="inlineStr">
        <is>
          <t>TECH-10</t>
        </is>
      </c>
      <c r="V178" s="27" t="inlineStr">
        <is>
          <t>G-I-J3100-SEC01</t>
        </is>
      </c>
      <c r="W178" s="27" t="inlineStr">
        <is>
          <t>Équipement fictif 10-3-1</t>
        </is>
      </c>
      <c r="X178" s="27" t="inlineStr">
        <is>
          <t>EQ-10-3-01</t>
        </is>
      </c>
      <c r="Y178" s="27" t="inlineStr">
        <is>
          <t>GG-PREV</t>
        </is>
      </c>
      <c r="Z178" s="27" t="inlineStr">
        <is>
          <t>1</t>
        </is>
      </c>
      <c r="AA178" s="29" t="n">
        <v>46480</v>
      </c>
      <c r="AB178" s="27" t="inlineStr">
        <is>
          <t>COMPTAGE</t>
        </is>
      </c>
      <c r="AC178" s="27" t="inlineStr">
        <is>
          <t>EC+FILTRE</t>
        </is>
      </c>
      <c r="AD178" s="28" t="n">
        <v>4</v>
      </c>
      <c r="AE178" s="28" t="n">
        <v>1</v>
      </c>
      <c r="AF178" s="28" t="n">
        <v>1</v>
      </c>
      <c r="AG178" s="27" t="n"/>
      <c r="AH178" s="27" t="n"/>
      <c r="AI178" s="27" t="inlineStr">
        <is>
          <t>Instantané de démonstration – MODELE_GMAO_PREV_ANONYMISE.csv</t>
        </is>
      </c>
      <c r="AJ178" s="31" t="n">
        <v>46309.50763888889</v>
      </c>
    </row>
    <row r="179">
      <c r="A179" s="27" t="inlineStr">
        <is>
          <t>910000089</t>
        </is>
      </c>
      <c r="B179" s="27" t="inlineStr">
        <is>
          <t>PIS</t>
        </is>
      </c>
      <c r="C179" s="28" t="n">
        <v>2027</v>
      </c>
      <c r="D179" s="27" t="inlineStr">
        <is>
          <t>SITE10</t>
        </is>
      </c>
      <c r="E179" s="27" t="inlineStr">
        <is>
          <t>EQ3</t>
        </is>
      </c>
      <c r="F179" s="27" t="inlineStr">
        <is>
          <t>G-I-J3200</t>
        </is>
      </c>
      <c r="G179" s="27" t="n"/>
      <c r="H179" s="28" t="n">
        <v>90</v>
      </c>
      <c r="I179" s="29" t="n">
        <v>46448</v>
      </c>
      <c r="J179" s="27" t="n"/>
      <c r="K179" s="27" t="inlineStr">
        <is>
          <t>ZPR2</t>
        </is>
      </c>
      <c r="L179" s="27" t="inlineStr">
        <is>
          <t>PRE</t>
        </is>
      </c>
      <c r="M179" s="27" t="n"/>
      <c r="N179" s="27" t="inlineStr">
        <is>
          <t>Maintenance préventive fictive PIS+REV - poste G-I-J3200</t>
        </is>
      </c>
      <c r="O179" s="27" t="inlineStr">
        <is>
          <t>ACTI</t>
        </is>
      </c>
      <c r="P179" s="27" t="inlineStr">
        <is>
          <t>STAT_SYS_A</t>
        </is>
      </c>
      <c r="Q179" s="27" t="inlineStr">
        <is>
          <t>USER03</t>
        </is>
      </c>
      <c r="R179" s="30" t="n">
        <v>1390</v>
      </c>
      <c r="S179" s="27" t="inlineStr">
        <is>
          <t>EQ3</t>
        </is>
      </c>
      <c r="T179" s="29" t="n">
        <v>46522</v>
      </c>
      <c r="U179" s="27" t="inlineStr">
        <is>
          <t>TECH-10</t>
        </is>
      </c>
      <c r="V179" s="27" t="inlineStr">
        <is>
          <t>G-I-J3200-SEC01</t>
        </is>
      </c>
      <c r="W179" s="27" t="inlineStr">
        <is>
          <t>Équipement fictif 10-3-2</t>
        </is>
      </c>
      <c r="X179" s="27" t="inlineStr">
        <is>
          <t>EQ-10-3-02</t>
        </is>
      </c>
      <c r="Y179" s="27" t="inlineStr">
        <is>
          <t>GG-PREV</t>
        </is>
      </c>
      <c r="Z179" s="27" t="inlineStr">
        <is>
          <t>2</t>
        </is>
      </c>
      <c r="AA179" s="29" t="n">
        <v>46510</v>
      </c>
      <c r="AB179" s="27" t="inlineStr">
        <is>
          <t>PIQUAGE</t>
        </is>
      </c>
      <c r="AC179" s="27" t="inlineStr">
        <is>
          <t>PIS+REV</t>
        </is>
      </c>
      <c r="AD179" s="28" t="n">
        <v>1</v>
      </c>
      <c r="AE179" s="28" t="n">
        <v>1</v>
      </c>
      <c r="AF179" s="28" t="n">
        <v>1</v>
      </c>
      <c r="AG179" s="27" t="n"/>
      <c r="AH179" s="27" t="n"/>
      <c r="AI179" s="27" t="inlineStr">
        <is>
          <t>Instantané de démonstration – MODELE_GMAO_PREV_ANONYMISE.csv</t>
        </is>
      </c>
      <c r="AJ179" s="31" t="n">
        <v>46309.50763888889</v>
      </c>
    </row>
    <row r="180">
      <c r="A180" s="27" t="inlineStr">
        <is>
          <t>910000089</t>
        </is>
      </c>
      <c r="B180" s="27" t="inlineStr">
        <is>
          <t>REV</t>
        </is>
      </c>
      <c r="C180" s="28" t="n">
        <v>2027</v>
      </c>
      <c r="D180" s="27" t="inlineStr">
        <is>
          <t>SITE10</t>
        </is>
      </c>
      <c r="E180" s="27" t="inlineStr">
        <is>
          <t>EQ3</t>
        </is>
      </c>
      <c r="F180" s="27" t="inlineStr">
        <is>
          <t>G-I-J3200</t>
        </is>
      </c>
      <c r="G180" s="27" t="n"/>
      <c r="H180" s="28" t="n">
        <v>90</v>
      </c>
      <c r="I180" s="29" t="n">
        <v>46448</v>
      </c>
      <c r="J180" s="27" t="n"/>
      <c r="K180" s="27" t="inlineStr">
        <is>
          <t>ZPR2</t>
        </is>
      </c>
      <c r="L180" s="27" t="inlineStr">
        <is>
          <t>PRE</t>
        </is>
      </c>
      <c r="M180" s="27" t="n"/>
      <c r="N180" s="27" t="inlineStr">
        <is>
          <t>Maintenance préventive fictive PIS+REV - poste G-I-J3200</t>
        </is>
      </c>
      <c r="O180" s="27" t="inlineStr">
        <is>
          <t>ACTI</t>
        </is>
      </c>
      <c r="P180" s="27" t="inlineStr">
        <is>
          <t>STAT_SYS_A</t>
        </is>
      </c>
      <c r="Q180" s="27" t="inlineStr">
        <is>
          <t>USER03</t>
        </is>
      </c>
      <c r="R180" s="30" t="n">
        <v>1390</v>
      </c>
      <c r="S180" s="27" t="inlineStr">
        <is>
          <t>EQ3</t>
        </is>
      </c>
      <c r="T180" s="29" t="n">
        <v>46522</v>
      </c>
      <c r="U180" s="27" t="inlineStr">
        <is>
          <t>TECH-10</t>
        </is>
      </c>
      <c r="V180" s="27" t="inlineStr">
        <is>
          <t>G-I-J3200-SEC01</t>
        </is>
      </c>
      <c r="W180" s="27" t="inlineStr">
        <is>
          <t>Équipement fictif 10-3-2</t>
        </is>
      </c>
      <c r="X180" s="27" t="inlineStr">
        <is>
          <t>EQ-10-3-02</t>
        </is>
      </c>
      <c r="Y180" s="27" t="inlineStr">
        <is>
          <t>GG-PREV</t>
        </is>
      </c>
      <c r="Z180" s="27" t="inlineStr">
        <is>
          <t>2</t>
        </is>
      </c>
      <c r="AA180" s="29" t="n">
        <v>46510</v>
      </c>
      <c r="AB180" s="27" t="inlineStr">
        <is>
          <t>PIQUAGE</t>
        </is>
      </c>
      <c r="AC180" s="27" t="inlineStr">
        <is>
          <t>PIS+REV</t>
        </is>
      </c>
      <c r="AD180" s="28" t="n">
        <v>5</v>
      </c>
      <c r="AE180" s="28" t="n">
        <v>1</v>
      </c>
      <c r="AF180" s="28" t="n">
        <v>1</v>
      </c>
      <c r="AG180" s="27" t="n"/>
      <c r="AH180" s="27" t="n"/>
      <c r="AI180" s="27" t="inlineStr">
        <is>
          <t>Instantané de démonstration – MODELE_GMAO_PREV_ANONYMISE.csv</t>
        </is>
      </c>
      <c r="AJ180" s="31" t="n">
        <v>46309.50763888889</v>
      </c>
    </row>
    <row r="181">
      <c r="A181" s="27" t="inlineStr">
        <is>
          <t>910000090</t>
        </is>
      </c>
      <c r="B181" s="27" t="inlineStr">
        <is>
          <t>PIS</t>
        </is>
      </c>
      <c r="C181" s="28" t="n">
        <v>2027</v>
      </c>
      <c r="D181" s="27" t="inlineStr">
        <is>
          <t>SITE10</t>
        </is>
      </c>
      <c r="E181" s="27" t="inlineStr">
        <is>
          <t>EQ3</t>
        </is>
      </c>
      <c r="F181" s="27" t="inlineStr">
        <is>
          <t>G-I-J3300</t>
        </is>
      </c>
      <c r="G181" s="27" t="n"/>
      <c r="H181" s="28" t="n">
        <v>91</v>
      </c>
      <c r="I181" s="29" t="n">
        <v>46473</v>
      </c>
      <c r="J181" s="27" t="n"/>
      <c r="K181" s="27" t="inlineStr">
        <is>
          <t>ZPR2</t>
        </is>
      </c>
      <c r="L181" s="27" t="inlineStr">
        <is>
          <t>PRE</t>
        </is>
      </c>
      <c r="M181" s="27" t="n"/>
      <c r="N181" s="27" t="inlineStr">
        <is>
          <t>Maintenance préventive fictive PIS - poste G-I-J3300</t>
        </is>
      </c>
      <c r="O181" s="27" t="inlineStr">
        <is>
          <t>TERM</t>
        </is>
      </c>
      <c r="P181" s="27" t="inlineStr">
        <is>
          <t>STAT_SYS_A</t>
        </is>
      </c>
      <c r="Q181" s="27" t="inlineStr">
        <is>
          <t>USER03</t>
        </is>
      </c>
      <c r="R181" s="30" t="n">
        <v>1400</v>
      </c>
      <c r="S181" s="27" t="inlineStr">
        <is>
          <t>EQ3</t>
        </is>
      </c>
      <c r="T181" s="29" t="n">
        <v>46554</v>
      </c>
      <c r="U181" s="27" t="inlineStr">
        <is>
          <t>TECH-10</t>
        </is>
      </c>
      <c r="V181" s="27" t="inlineStr">
        <is>
          <t>G-I-J3300-REG01</t>
        </is>
      </c>
      <c r="W181" s="27" t="inlineStr">
        <is>
          <t>Équipement fictif 10-3-3</t>
        </is>
      </c>
      <c r="X181" s="27" t="inlineStr">
        <is>
          <t>EQ-10-3-03</t>
        </is>
      </c>
      <c r="Y181" s="27" t="inlineStr">
        <is>
          <t>GG-PREV</t>
        </is>
      </c>
      <c r="Z181" s="27" t="inlineStr">
        <is>
          <t>3</t>
        </is>
      </c>
      <c r="AA181" s="29" t="n">
        <v>46541</v>
      </c>
      <c r="AB181" s="27" t="inlineStr">
        <is>
          <t>FILTRE</t>
        </is>
      </c>
      <c r="AC181" s="27" t="inlineStr">
        <is>
          <t>PIS</t>
        </is>
      </c>
      <c r="AD181" s="28" t="n">
        <v>1</v>
      </c>
      <c r="AE181" s="28" t="n">
        <v>1</v>
      </c>
      <c r="AF181" s="28" t="n">
        <v>1</v>
      </c>
      <c r="AG181" s="27" t="n"/>
      <c r="AH181" s="27" t="n"/>
      <c r="AI181" s="27" t="inlineStr">
        <is>
          <t>Instantané de démonstration – MODELE_GMAO_PREV_ANONYMISE.csv</t>
        </is>
      </c>
      <c r="AJ181" s="31" t="n">
        <v>46309.50763888889</v>
      </c>
    </row>
  </sheetData>
  <autoFilter ref="A1:AJ181"/>
  <conditionalFormatting sqref="G2:G200000">
    <cfRule type="expression" priority="1" dxfId="0">
      <formula>LEN($G2)&gt;0</formula>
    </cfRule>
  </conditionalFormatting>
  <pageMargins left="0.4" right="0.4" top="0.5" bottom="0.5" header="0.5" footer="0.5"/>
  <pageSetup orientation="landscape" paperSize="9" fitToHeight="0" fitToWidth="2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V3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4" customWidth="1" min="5" max="5"/>
    <col width="30" customWidth="1" min="6" max="6"/>
    <col width="15" customWidth="1" min="7" max="7"/>
    <col width="3" customWidth="1" min="8" max="8"/>
    <col width="11" customWidth="1" min="9" max="9"/>
    <col width="13" customWidth="1" min="10" max="10"/>
    <col width="27" customWidth="1" min="11" max="11"/>
    <col width="26" customWidth="1" min="12" max="12"/>
    <col width="3" customWidth="1" min="13" max="13"/>
    <col width="10" customWidth="1" min="14" max="14"/>
    <col width="9" customWidth="1" min="15" max="15"/>
    <col width="27" customWidth="1" min="16" max="16"/>
    <col width="3" customWidth="1" min="17" max="17"/>
    <col width="16" customWidth="1" min="18" max="18"/>
    <col width="18" customWidth="1" min="19" max="19"/>
    <col width="14" customWidth="1" min="20" max="20"/>
    <col width="13" customWidth="1" min="21" max="21"/>
    <col width="24" customWidth="1" min="22" max="22"/>
  </cols>
  <sheetData>
    <row r="1" ht="30" customHeight="1">
      <c r="A1" s="1" t="inlineStr">
        <is>
          <t>Référentiels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4" t="inlineStr">
        <is>
          <t>PROTOTYPE V0.3</t>
        </is>
      </c>
    </row>
    <row r="2" ht="18" customHeight="1">
      <c r="A2" s="5" t="inlineStr">
        <is>
          <t>Correspondances de libellés. Corriger un référentiel corrige les vues ; rien n'est déduit des données.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</row>
    <row r="5">
      <c r="A5" s="32" t="inlineStr">
        <is>
          <t>Types d'opération du programme</t>
        </is>
      </c>
      <c r="I5" s="32" t="inlineStr">
        <is>
          <t>Activités GMAO</t>
        </is>
      </c>
      <c r="N5" s="32" t="inlineStr">
        <is>
          <t>Sites et équipes connus</t>
        </is>
      </c>
      <c r="R5" s="32" t="inlineStr">
        <is>
          <t>Correspondance postes programme ↔ GMAO</t>
        </is>
      </c>
    </row>
    <row r="6" ht="16" customHeight="1">
      <c r="A6" s="33" t="inlineStr">
        <is>
          <t>Lus par 01_PLAN_PREVENTIF (Opération, Statut). Copie du référentiel fictif.</t>
        </is>
      </c>
      <c r="I6" s="33" t="inlineStr">
        <is>
          <t>Une activité absente d'ici est signalée « inconnue » à l'import. Libellés non fournis.</t>
        </is>
      </c>
      <c r="N6" s="33" t="inlineStr">
        <is>
          <t>Tout autre couple est signalé « Nouveau site » ou « Nouvelle équipe ».</t>
        </is>
      </c>
      <c r="R6" s="33" t="inlineStr">
        <is>
          <t>À construire avec le métier. Prépare la future comparaison prévu / OT ; non utilisée.</t>
        </is>
      </c>
    </row>
    <row r="8" ht="34" customHeight="1">
      <c r="A8" s="17" t="inlineStr">
        <is>
          <t>Valeur source</t>
        </is>
      </c>
      <c r="B8" s="17" t="inlineStr">
        <is>
          <t>Libellé affiché</t>
        </is>
      </c>
      <c r="C8" s="17" t="inlineStr">
        <is>
          <t>Famille</t>
        </is>
      </c>
      <c r="D8" s="17" t="inlineStr">
        <is>
          <t>Périodicité indicative</t>
        </is>
      </c>
      <c r="E8" s="17" t="inlineStr">
        <is>
          <t>Référence technique fictive</t>
        </is>
      </c>
      <c r="F8" s="17" t="inlineStr">
        <is>
          <t>Description courte</t>
        </is>
      </c>
      <c r="G8" s="17" t="inlineStr">
        <is>
          <t>Statut</t>
        </is>
      </c>
      <c r="I8" s="17" t="inlineStr">
        <is>
          <t>Activité</t>
        </is>
      </c>
      <c r="J8" s="17" t="inlineStr">
        <is>
          <t>Libellé</t>
        </is>
      </c>
      <c r="K8" s="17" t="inlineStr">
        <is>
          <t>Statut</t>
        </is>
      </c>
      <c r="L8" s="17" t="inlineStr">
        <is>
          <t>Hypothèse de correspondance programme (non appliquée)</t>
        </is>
      </c>
      <c r="N8" s="17" t="inlineStr">
        <is>
          <t>Site</t>
        </is>
      </c>
      <c r="O8" s="17" t="inlineStr">
        <is>
          <t>Équipe</t>
        </is>
      </c>
      <c r="P8" s="17" t="inlineStr">
        <is>
          <t>Statut</t>
        </is>
      </c>
      <c r="R8" s="17" t="inlineStr">
        <is>
          <t>Code installation (programme)</t>
        </is>
      </c>
      <c r="S8" s="17" t="inlineStr">
        <is>
          <t>Installation (programme)</t>
        </is>
      </c>
      <c r="T8" s="17" t="inlineStr">
        <is>
          <t>Code poste (GMAO)</t>
        </is>
      </c>
      <c r="U8" s="17" t="inlineStr">
        <is>
          <t>Statut</t>
        </is>
      </c>
      <c r="V8" s="17" t="inlineStr">
        <is>
          <t>Commentaire</t>
        </is>
      </c>
    </row>
    <row r="9" ht="33" customHeight="1">
      <c r="A9" s="34" t="inlineStr">
        <is>
          <t>TYPE_A</t>
        </is>
      </c>
      <c r="B9" s="34" t="inlineStr">
        <is>
          <t>Contrôle annuel</t>
        </is>
      </c>
      <c r="C9" s="34" t="inlineStr">
        <is>
          <t>Contrôle</t>
        </is>
      </c>
      <c r="D9" s="34" t="inlineStr">
        <is>
          <t>1 an</t>
        </is>
      </c>
      <c r="E9" s="34" t="inlineStr">
        <is>
          <t>REF-001</t>
        </is>
      </c>
      <c r="F9" s="34" t="inlineStr">
        <is>
          <t>Contrôle périodique de démonstration.</t>
        </is>
      </c>
      <c r="G9" s="34" t="inlineStr">
        <is>
          <t>Validé pour démo</t>
        </is>
      </c>
      <c r="I9" s="34" t="inlineStr">
        <is>
          <t>PIS</t>
        </is>
      </c>
      <c r="J9" s="34" t="inlineStr">
        <is>
          <t>À confirmer</t>
        </is>
      </c>
      <c r="K9" s="34" t="inlineStr">
        <is>
          <t>Observée dans l'export modèle</t>
        </is>
      </c>
      <c r="L9" s="34" t="inlineStr"/>
      <c r="N9" s="34" t="inlineStr">
        <is>
          <t>SITE01</t>
        </is>
      </c>
      <c r="O9" s="34" t="inlineStr">
        <is>
          <t>EQ1</t>
        </is>
      </c>
      <c r="P9" s="34" t="inlineStr">
        <is>
          <t>Observé dans l'export modèle</t>
        </is>
      </c>
      <c r="R9" s="34" t="n"/>
      <c r="S9" s="34" t="n"/>
      <c r="T9" s="34" t="n"/>
      <c r="U9" s="34" t="n"/>
      <c r="V9" s="34" t="n"/>
    </row>
    <row r="10" ht="33" customHeight="1">
      <c r="A10" s="34" t="inlineStr">
        <is>
          <t>TYPE_B</t>
        </is>
      </c>
      <c r="B10" s="34" t="inlineStr">
        <is>
          <t>Essai de conformité</t>
        </is>
      </c>
      <c r="C10" s="34" t="inlineStr">
        <is>
          <t>Contrôle</t>
        </is>
      </c>
      <c r="D10" s="34" t="inlineStr">
        <is>
          <t>2 ans</t>
        </is>
      </c>
      <c r="E10" s="34" t="inlineStr">
        <is>
          <t>REF-002</t>
        </is>
      </c>
      <c r="F10" s="34" t="inlineStr">
        <is>
          <t>Essai périodique de démonstration.</t>
        </is>
      </c>
      <c r="G10" s="34" t="inlineStr">
        <is>
          <t>Validé pour démo</t>
        </is>
      </c>
      <c r="I10" s="34" t="inlineStr">
        <is>
          <t>EC</t>
        </is>
      </c>
      <c r="J10" s="34" t="inlineStr">
        <is>
          <t>À confirmer</t>
        </is>
      </c>
      <c r="K10" s="34" t="inlineStr">
        <is>
          <t>Observée dans l'export modèle</t>
        </is>
      </c>
      <c r="L10" s="34" t="inlineStr"/>
      <c r="N10" s="34" t="inlineStr">
        <is>
          <t>SITE01</t>
        </is>
      </c>
      <c r="O10" s="34" t="inlineStr">
        <is>
          <t>EQ2</t>
        </is>
      </c>
      <c r="P10" s="34" t="inlineStr">
        <is>
          <t>Observé dans l'export modèle</t>
        </is>
      </c>
    </row>
    <row r="11" ht="33" customHeight="1">
      <c r="A11" s="34" t="inlineStr">
        <is>
          <t>TYPE_C</t>
        </is>
      </c>
      <c r="B11" s="34" t="inlineStr">
        <is>
          <t>Contrôle filtre</t>
        </is>
      </c>
      <c r="C11" s="34" t="inlineStr">
        <is>
          <t>Contrôle</t>
        </is>
      </c>
      <c r="D11" s="34" t="inlineStr">
        <is>
          <t>3 ans</t>
        </is>
      </c>
      <c r="E11" s="34" t="inlineStr">
        <is>
          <t>REF-003</t>
        </is>
      </c>
      <c r="F11" s="34" t="inlineStr">
        <is>
          <t>Contrôle filtre de démonstration.</t>
        </is>
      </c>
      <c r="G11" s="34" t="inlineStr">
        <is>
          <t>Validé pour démo</t>
        </is>
      </c>
      <c r="I11" s="34" t="inlineStr">
        <is>
          <t>PILOTAGE</t>
        </is>
      </c>
      <c r="J11" s="34" t="inlineStr">
        <is>
          <t>À confirmer</t>
        </is>
      </c>
      <c r="K11" s="34" t="inlineStr">
        <is>
          <t>Observée dans l'export modèle</t>
        </is>
      </c>
      <c r="L11" s="34" t="inlineStr"/>
      <c r="N11" s="34" t="inlineStr">
        <is>
          <t>SITE01</t>
        </is>
      </c>
      <c r="O11" s="34" t="inlineStr">
        <is>
          <t>EQ3</t>
        </is>
      </c>
      <c r="P11" s="34" t="inlineStr">
        <is>
          <t>Observé dans l'export modèle</t>
        </is>
      </c>
    </row>
    <row r="12" ht="33" customHeight="1">
      <c r="A12" s="34" t="inlineStr">
        <is>
          <t>TYPE_D</t>
        </is>
      </c>
      <c r="B12" s="34" t="inlineStr">
        <is>
          <t>Révision</t>
        </is>
      </c>
      <c r="C12" s="34" t="inlineStr">
        <is>
          <t>Révision</t>
        </is>
      </c>
      <c r="D12" s="34" t="inlineStr">
        <is>
          <t>6 ans</t>
        </is>
      </c>
      <c r="E12" s="34" t="inlineStr">
        <is>
          <t>REF-004</t>
        </is>
      </c>
      <c r="F12" s="34" t="inlineStr">
        <is>
          <t>Révision périodique de démonstration.</t>
        </is>
      </c>
      <c r="G12" s="34" t="inlineStr">
        <is>
          <t>Validé pour démo</t>
        </is>
      </c>
      <c r="I12" s="34" t="inlineStr">
        <is>
          <t>FILTRE</t>
        </is>
      </c>
      <c r="J12" s="34" t="inlineStr">
        <is>
          <t>À confirmer</t>
        </is>
      </c>
      <c r="K12" s="34" t="inlineStr">
        <is>
          <t>Observée dans l'export modèle</t>
        </is>
      </c>
      <c r="L12" s="34" t="inlineStr">
        <is>
          <t>TYPE_C « Contrôle filtre » ?</t>
        </is>
      </c>
      <c r="N12" s="34" t="inlineStr">
        <is>
          <t>SITE02</t>
        </is>
      </c>
      <c r="O12" s="34" t="inlineStr">
        <is>
          <t>EQ1</t>
        </is>
      </c>
      <c r="P12" s="34" t="inlineStr">
        <is>
          <t>Observé dans l'export modèle</t>
        </is>
      </c>
    </row>
    <row r="13" ht="46.5" customHeight="1">
      <c r="A13" s="34" t="inlineStr">
        <is>
          <t>TYPE_E</t>
        </is>
      </c>
      <c r="B13" s="34" t="inlineStr">
        <is>
          <t>Opération spécifique</t>
        </is>
      </c>
      <c r="C13" s="34" t="inlineStr">
        <is>
          <t>Autre</t>
        </is>
      </c>
      <c r="D13" s="34" t="inlineStr">
        <is>
          <t>2 ans</t>
        </is>
      </c>
      <c r="E13" s="34" t="inlineStr">
        <is>
          <t>À confirmer</t>
        </is>
      </c>
      <c r="F13" s="34" t="inlineStr">
        <is>
          <t>Exemple volontairement incomplet pour tester la gestion des inconnues.</t>
        </is>
      </c>
      <c r="G13" s="34" t="inlineStr">
        <is>
          <t>À confirmer</t>
        </is>
      </c>
      <c r="I13" s="34" t="inlineStr">
        <is>
          <t>REV</t>
        </is>
      </c>
      <c r="J13" s="34" t="inlineStr">
        <is>
          <t>À confirmer</t>
        </is>
      </c>
      <c r="K13" s="34" t="inlineStr">
        <is>
          <t>Observée dans l'export modèle</t>
        </is>
      </c>
      <c r="L13" s="34" t="inlineStr">
        <is>
          <t>TYPE_D « Révision » ?</t>
        </is>
      </c>
      <c r="N13" s="34" t="inlineStr">
        <is>
          <t>SITE02</t>
        </is>
      </c>
      <c r="O13" s="34" t="inlineStr">
        <is>
          <t>EQ2</t>
        </is>
      </c>
      <c r="P13" s="34" t="inlineStr">
        <is>
          <t>Observé dans l'export modèle</t>
        </is>
      </c>
    </row>
    <row r="14" ht="33" customHeight="1">
      <c r="N14" s="34" t="inlineStr">
        <is>
          <t>SITE02</t>
        </is>
      </c>
      <c r="O14" s="34" t="inlineStr">
        <is>
          <t>EQ3</t>
        </is>
      </c>
      <c r="P14" s="34" t="inlineStr">
        <is>
          <t>Observé dans l'export modèle</t>
        </is>
      </c>
    </row>
    <row r="15" ht="33" customHeight="1">
      <c r="N15" s="34" t="inlineStr">
        <is>
          <t>SITE03</t>
        </is>
      </c>
      <c r="O15" s="34" t="inlineStr">
        <is>
          <t>EQ1</t>
        </is>
      </c>
      <c r="P15" s="34" t="inlineStr">
        <is>
          <t>Observé dans l'export modèle</t>
        </is>
      </c>
    </row>
    <row r="16" ht="33" customHeight="1">
      <c r="N16" s="34" t="inlineStr">
        <is>
          <t>SITE03</t>
        </is>
      </c>
      <c r="O16" s="34" t="inlineStr">
        <is>
          <t>EQ2</t>
        </is>
      </c>
      <c r="P16" s="34" t="inlineStr">
        <is>
          <t>Observé dans l'export modèle</t>
        </is>
      </c>
    </row>
    <row r="17" ht="33" customHeight="1">
      <c r="N17" s="34" t="inlineStr">
        <is>
          <t>SITE03</t>
        </is>
      </c>
      <c r="O17" s="34" t="inlineStr">
        <is>
          <t>EQ3</t>
        </is>
      </c>
      <c r="P17" s="34" t="inlineStr">
        <is>
          <t>Observé dans l'export modèle</t>
        </is>
      </c>
    </row>
    <row r="18" ht="33" customHeight="1">
      <c r="N18" s="34" t="inlineStr">
        <is>
          <t>SITE04</t>
        </is>
      </c>
      <c r="O18" s="34" t="inlineStr">
        <is>
          <t>EQ1</t>
        </is>
      </c>
      <c r="P18" s="34" t="inlineStr">
        <is>
          <t>Observé dans l'export modèle</t>
        </is>
      </c>
    </row>
    <row r="19" ht="33" customHeight="1">
      <c r="N19" s="34" t="inlineStr">
        <is>
          <t>SITE04</t>
        </is>
      </c>
      <c r="O19" s="34" t="inlineStr">
        <is>
          <t>EQ2</t>
        </is>
      </c>
      <c r="P19" s="34" t="inlineStr">
        <is>
          <t>Observé dans l'export modèle</t>
        </is>
      </c>
    </row>
    <row r="20" ht="33" customHeight="1">
      <c r="N20" s="34" t="inlineStr">
        <is>
          <t>SITE04</t>
        </is>
      </c>
      <c r="O20" s="34" t="inlineStr">
        <is>
          <t>EQ3</t>
        </is>
      </c>
      <c r="P20" s="34" t="inlineStr">
        <is>
          <t>Observé dans l'export modèle</t>
        </is>
      </c>
    </row>
    <row r="21" ht="33" customHeight="1">
      <c r="N21" s="34" t="inlineStr">
        <is>
          <t>SITE05</t>
        </is>
      </c>
      <c r="O21" s="34" t="inlineStr">
        <is>
          <t>EQ1</t>
        </is>
      </c>
      <c r="P21" s="34" t="inlineStr">
        <is>
          <t>Observé dans l'export modèle</t>
        </is>
      </c>
    </row>
    <row r="22" ht="33" customHeight="1">
      <c r="N22" s="34" t="inlineStr">
        <is>
          <t>SITE05</t>
        </is>
      </c>
      <c r="O22" s="34" t="inlineStr">
        <is>
          <t>EQ2</t>
        </is>
      </c>
      <c r="P22" s="34" t="inlineStr">
        <is>
          <t>Observé dans l'export modèle</t>
        </is>
      </c>
    </row>
    <row r="23" ht="33" customHeight="1">
      <c r="N23" s="34" t="inlineStr">
        <is>
          <t>SITE05</t>
        </is>
      </c>
      <c r="O23" s="34" t="inlineStr">
        <is>
          <t>EQ3</t>
        </is>
      </c>
      <c r="P23" s="34" t="inlineStr">
        <is>
          <t>Observé dans l'export modèle</t>
        </is>
      </c>
    </row>
    <row r="24" ht="33" customHeight="1">
      <c r="N24" s="34" t="inlineStr">
        <is>
          <t>SITE06</t>
        </is>
      </c>
      <c r="O24" s="34" t="inlineStr">
        <is>
          <t>EQ1</t>
        </is>
      </c>
      <c r="P24" s="34" t="inlineStr">
        <is>
          <t>Observé dans l'export modèle</t>
        </is>
      </c>
    </row>
    <row r="25" ht="33" customHeight="1">
      <c r="N25" s="34" t="inlineStr">
        <is>
          <t>SITE06</t>
        </is>
      </c>
      <c r="O25" s="34" t="inlineStr">
        <is>
          <t>EQ2</t>
        </is>
      </c>
      <c r="P25" s="34" t="inlineStr">
        <is>
          <t>Observé dans l'export modèle</t>
        </is>
      </c>
    </row>
    <row r="26" ht="33" customHeight="1">
      <c r="N26" s="34" t="inlineStr">
        <is>
          <t>SITE06</t>
        </is>
      </c>
      <c r="O26" s="34" t="inlineStr">
        <is>
          <t>EQ3</t>
        </is>
      </c>
      <c r="P26" s="34" t="inlineStr">
        <is>
          <t>Observé dans l'export modèle</t>
        </is>
      </c>
    </row>
    <row r="27" ht="33" customHeight="1">
      <c r="N27" s="34" t="inlineStr">
        <is>
          <t>SITE07</t>
        </is>
      </c>
      <c r="O27" s="34" t="inlineStr">
        <is>
          <t>EQ1</t>
        </is>
      </c>
      <c r="P27" s="34" t="inlineStr">
        <is>
          <t>Observé dans l'export modèle</t>
        </is>
      </c>
    </row>
    <row r="28" ht="33" customHeight="1">
      <c r="N28" s="34" t="inlineStr">
        <is>
          <t>SITE07</t>
        </is>
      </c>
      <c r="O28" s="34" t="inlineStr">
        <is>
          <t>EQ2</t>
        </is>
      </c>
      <c r="P28" s="34" t="inlineStr">
        <is>
          <t>Observé dans l'export modèle</t>
        </is>
      </c>
    </row>
    <row r="29" ht="33" customHeight="1">
      <c r="N29" s="34" t="inlineStr">
        <is>
          <t>SITE07</t>
        </is>
      </c>
      <c r="O29" s="34" t="inlineStr">
        <is>
          <t>EQ3</t>
        </is>
      </c>
      <c r="P29" s="34" t="inlineStr">
        <is>
          <t>Observé dans l'export modèle</t>
        </is>
      </c>
    </row>
    <row r="30" ht="33" customHeight="1">
      <c r="N30" s="34" t="inlineStr">
        <is>
          <t>SITE08</t>
        </is>
      </c>
      <c r="O30" s="34" t="inlineStr">
        <is>
          <t>EQ1</t>
        </is>
      </c>
      <c r="P30" s="34" t="inlineStr">
        <is>
          <t>Observé dans l'export modèle</t>
        </is>
      </c>
    </row>
    <row r="31" ht="33" customHeight="1">
      <c r="N31" s="34" t="inlineStr">
        <is>
          <t>SITE08</t>
        </is>
      </c>
      <c r="O31" s="34" t="inlineStr">
        <is>
          <t>EQ2</t>
        </is>
      </c>
      <c r="P31" s="34" t="inlineStr">
        <is>
          <t>Observé dans l'export modèle</t>
        </is>
      </c>
    </row>
    <row r="32" ht="33" customHeight="1">
      <c r="N32" s="34" t="inlineStr">
        <is>
          <t>SITE08</t>
        </is>
      </c>
      <c r="O32" s="34" t="inlineStr">
        <is>
          <t>EQ3</t>
        </is>
      </c>
      <c r="P32" s="34" t="inlineStr">
        <is>
          <t>Observé dans l'export modèle</t>
        </is>
      </c>
    </row>
    <row r="33" ht="33" customHeight="1">
      <c r="N33" s="34" t="inlineStr">
        <is>
          <t>SITE09</t>
        </is>
      </c>
      <c r="O33" s="34" t="inlineStr">
        <is>
          <t>EQ1</t>
        </is>
      </c>
      <c r="P33" s="34" t="inlineStr">
        <is>
          <t>Observé dans l'export modèle</t>
        </is>
      </c>
    </row>
    <row r="34" ht="33" customHeight="1">
      <c r="N34" s="34" t="inlineStr">
        <is>
          <t>SITE09</t>
        </is>
      </c>
      <c r="O34" s="34" t="inlineStr">
        <is>
          <t>EQ2</t>
        </is>
      </c>
      <c r="P34" s="34" t="inlineStr">
        <is>
          <t>Observé dans l'export modèle</t>
        </is>
      </c>
    </row>
    <row r="35" ht="33" customHeight="1">
      <c r="N35" s="34" t="inlineStr">
        <is>
          <t>SITE09</t>
        </is>
      </c>
      <c r="O35" s="34" t="inlineStr">
        <is>
          <t>EQ3</t>
        </is>
      </c>
      <c r="P35" s="34" t="inlineStr">
        <is>
          <t>Observé dans l'export modèle</t>
        </is>
      </c>
    </row>
    <row r="36" ht="33" customHeight="1">
      <c r="N36" s="34" t="inlineStr">
        <is>
          <t>SITE10</t>
        </is>
      </c>
      <c r="O36" s="34" t="inlineStr">
        <is>
          <t>EQ1</t>
        </is>
      </c>
      <c r="P36" s="34" t="inlineStr">
        <is>
          <t>Observé dans l'export modèle</t>
        </is>
      </c>
    </row>
    <row r="37" ht="33" customHeight="1">
      <c r="N37" s="34" t="inlineStr">
        <is>
          <t>SITE10</t>
        </is>
      </c>
      <c r="O37" s="34" t="inlineStr">
        <is>
          <t>EQ2</t>
        </is>
      </c>
      <c r="P37" s="34" t="inlineStr">
        <is>
          <t>Observé dans l'export modèle</t>
        </is>
      </c>
    </row>
    <row r="38" ht="33" customHeight="1">
      <c r="N38" s="34" t="inlineStr">
        <is>
          <t>SITE10</t>
        </is>
      </c>
      <c r="O38" s="34" t="inlineStr">
        <is>
          <t>EQ3</t>
        </is>
      </c>
      <c r="P38" s="34" t="inlineStr">
        <is>
          <t>Observé dans l'export modèle</t>
        </is>
      </c>
    </row>
  </sheetData>
  <conditionalFormatting sqref="A9:V208">
    <cfRule type="expression" priority="1" dxfId="0">
      <formula>OR(A9="À confirmer",RIGHT(A9,1)="?")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H4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50" customWidth="1" min="5" max="5"/>
    <col width="11" customWidth="1" min="6" max="6"/>
    <col width="22" customWidth="1" min="7" max="7"/>
    <col width="28" customWidth="1" min="8" max="8"/>
  </cols>
  <sheetData>
    <row r="1" ht="30" customHeight="1">
      <c r="A1" s="1" t="inlineStr">
        <is>
          <t>Avis utilisateurs</t>
        </is>
      </c>
      <c r="B1" s="2" t="n"/>
      <c r="C1" s="2" t="n"/>
      <c r="D1" s="2" t="n"/>
      <c r="E1" s="2" t="n"/>
      <c r="F1" s="2" t="n"/>
      <c r="G1" s="2" t="n"/>
      <c r="H1" s="4" t="inlineStr">
        <is>
          <t>PROTOTYPE V0.3</t>
        </is>
      </c>
    </row>
    <row r="2" ht="18" customHeight="1">
      <c r="A2" s="5" t="inlineStr">
        <is>
          <t>Vos retours orientent la version suivante. Une ligne = une remarque.</t>
        </is>
      </c>
      <c r="B2" s="2" t="n"/>
      <c r="C2" s="2" t="n"/>
      <c r="D2" s="2" t="n"/>
      <c r="E2" s="2" t="n"/>
      <c r="F2" s="2" t="n"/>
      <c r="G2" s="2" t="n"/>
      <c r="H2" s="2" t="n"/>
    </row>
    <row r="3" ht="3" customHeight="1">
      <c r="A3" s="8" t="n"/>
      <c r="B3" s="8" t="n"/>
      <c r="C3" s="8" t="n"/>
      <c r="D3" s="8" t="n"/>
      <c r="E3" s="8" t="n"/>
      <c r="F3" s="8" t="n"/>
      <c r="G3" s="8" t="n"/>
      <c r="H3" s="8" t="n"/>
    </row>
    <row r="5">
      <c r="A5" s="32" t="inlineStr">
        <is>
          <t>Questions pour guider vos retours</t>
        </is>
      </c>
    </row>
    <row r="6">
      <c r="A6" s="35" t="inlineStr">
        <is>
          <t>•</t>
        </is>
      </c>
      <c r="B6" s="36" t="inlineStr">
        <is>
          <t>Utile</t>
        </is>
      </c>
      <c r="D6" s="37" t="inlineStr">
        <is>
          <t>Quelles colonnes ou informations vous servent vraiment ?</t>
        </is>
      </c>
    </row>
    <row r="7">
      <c r="A7" s="35" t="inlineStr">
        <is>
          <t>•</t>
        </is>
      </c>
      <c r="B7" s="36" t="inlineStr">
        <is>
          <t>Inutile</t>
        </is>
      </c>
      <c r="D7" s="37" t="inlineStr">
        <is>
          <t>Qu'est-ce qui pourrait être retiré ou simplifié ?</t>
        </is>
      </c>
    </row>
    <row r="8">
      <c r="A8" s="35" t="inlineStr">
        <is>
          <t>•</t>
        </is>
      </c>
      <c r="B8" s="36" t="inlineStr">
        <is>
          <t>Information manquante</t>
        </is>
      </c>
      <c r="D8" s="37" t="inlineStr">
        <is>
          <t>Que vous manque-t-il pour programmer l'année ?</t>
        </is>
      </c>
    </row>
    <row r="9">
      <c r="A9" s="35" t="inlineStr">
        <is>
          <t>•</t>
        </is>
      </c>
      <c r="B9" s="36" t="inlineStr">
        <is>
          <t>Filtre indispensable</t>
        </is>
      </c>
      <c r="D9" s="37" t="inlineStr">
        <is>
          <t>Sur quoi devez-vous pouvoir filtrer ou trier ?</t>
        </is>
      </c>
    </row>
    <row r="10">
      <c r="A10" s="35" t="inlineStr">
        <is>
          <t>•</t>
        </is>
      </c>
      <c r="B10" s="36" t="inlineStr">
        <is>
          <t>Besoin spécifique</t>
        </is>
      </c>
      <c r="D10" s="37" t="inlineStr">
        <is>
          <t>Un besoin propre à votre site ou à votre équipe ?</t>
        </is>
      </c>
    </row>
    <row r="11">
      <c r="A11" s="35" t="inlineStr">
        <is>
          <t>•</t>
        </is>
      </c>
      <c r="B11" s="36" t="inlineStr">
        <is>
          <t>Saisie / commentaires</t>
        </is>
      </c>
      <c r="D11" s="37" t="inlineStr">
        <is>
          <t>Avez-vous besoin de saisir ou de commenter ? Quoi, et qui ?</t>
        </is>
      </c>
    </row>
    <row r="12">
      <c r="A12" s="35" t="inlineStr">
        <is>
          <t>•</t>
        </is>
      </c>
      <c r="B12" s="36" t="inlineStr">
        <is>
          <t>Donnée GMAO à rechercher</t>
        </is>
      </c>
      <c r="D12" s="37" t="inlineStr">
        <is>
          <t>Quelles données faudrait-il récupérer dans l'extraction GMAO ?</t>
        </is>
      </c>
    </row>
    <row r="13">
      <c r="A13" s="35" t="inlineStr">
        <is>
          <t>•</t>
        </is>
      </c>
      <c r="B13" s="36" t="inlineStr">
        <is>
          <t>Couverture OT</t>
        </is>
      </c>
      <c r="D13" s="37" t="inlineStr">
        <is>
          <t>La vue 02 répond-elle à « mes OT préventifs sont-ils dans la GMAO ? » ?</t>
        </is>
      </c>
    </row>
    <row r="15">
      <c r="A15" s="38" t="inlineStr">
        <is>
          <t>Comment remplir : une ligne par remarque dans le tableau ci-dessous (cellules blanches). Thème, Priorité : listes déroulantes. La ligne grisée est un exemple à écraser.</t>
        </is>
      </c>
    </row>
    <row r="17" ht="30" customHeight="1">
      <c r="A17" s="17" t="inlineStr">
        <is>
          <t>Date</t>
        </is>
      </c>
      <c r="B17" s="17" t="inlineStr">
        <is>
          <t>Contributeur (nom, fonction)</t>
        </is>
      </c>
      <c r="C17" s="17" t="inlineStr">
        <is>
          <t>Site / périmètre</t>
        </is>
      </c>
      <c r="D17" s="17" t="inlineStr">
        <is>
          <t>Thème</t>
        </is>
      </c>
      <c r="E17" s="17" t="inlineStr">
        <is>
          <t>Remarque</t>
        </is>
      </c>
      <c r="F17" s="17" t="inlineStr">
        <is>
          <t>Priorité</t>
        </is>
      </c>
      <c r="G17" s="17" t="inlineStr">
        <is>
          <t>Élément concerné (onglet, colonne)</t>
        </is>
      </c>
      <c r="H17" s="17" t="inlineStr">
        <is>
          <t>Suite donnée (équipe projet)</t>
        </is>
      </c>
    </row>
    <row r="18" ht="30" customHeight="1">
      <c r="A18" s="39" t="n">
        <v>46308</v>
      </c>
      <c r="B18" s="40" t="inlineStr">
        <is>
          <t>EXEMPLE – responsable d'exploitation</t>
        </is>
      </c>
      <c r="C18" s="40" t="inlineStr">
        <is>
          <t>PERIM_A</t>
        </is>
      </c>
      <c r="D18" s="40" t="inlineStr">
        <is>
          <t>Couverture OT</t>
        </is>
      </c>
      <c r="E18" s="40" t="inlineStr">
        <is>
          <t>Voir dans la couverture les postes du plan qui n'ont encore aucun OT.</t>
        </is>
      </c>
      <c r="F18" s="40" t="inlineStr">
        <is>
          <t>Moyenne</t>
        </is>
      </c>
      <c r="G18" s="40" t="inlineStr">
        <is>
          <t>02_COUVERTURE_OT</t>
        </is>
      </c>
      <c r="H18" s="40" t="inlineStr"/>
    </row>
    <row r="19" ht="30" customHeight="1">
      <c r="A19" s="41" t="n"/>
      <c r="B19" s="42" t="n"/>
      <c r="C19" s="42" t="n"/>
      <c r="D19" s="42" t="n"/>
      <c r="E19" s="42" t="n"/>
      <c r="F19" s="42" t="n"/>
      <c r="G19" s="42" t="n"/>
      <c r="H19" s="42" t="n"/>
    </row>
    <row r="20" ht="30" customHeight="1">
      <c r="A20" s="41" t="n"/>
      <c r="B20" s="42" t="n"/>
      <c r="C20" s="42" t="n"/>
      <c r="D20" s="42" t="n"/>
      <c r="E20" s="42" t="n"/>
      <c r="F20" s="42" t="n"/>
      <c r="G20" s="42" t="n"/>
      <c r="H20" s="42" t="n"/>
    </row>
    <row r="21" ht="30" customHeight="1">
      <c r="A21" s="41" t="n"/>
      <c r="B21" s="42" t="n"/>
      <c r="C21" s="42" t="n"/>
      <c r="D21" s="42" t="n"/>
      <c r="E21" s="42" t="n"/>
      <c r="F21" s="42" t="n"/>
      <c r="G21" s="42" t="n"/>
      <c r="H21" s="42" t="n"/>
    </row>
    <row r="22" ht="30" customHeight="1">
      <c r="A22" s="41" t="n"/>
      <c r="B22" s="42" t="n"/>
      <c r="C22" s="42" t="n"/>
      <c r="D22" s="42" t="n"/>
      <c r="E22" s="42" t="n"/>
      <c r="F22" s="42" t="n"/>
      <c r="G22" s="42" t="n"/>
      <c r="H22" s="42" t="n"/>
    </row>
    <row r="23" ht="30" customHeight="1">
      <c r="A23" s="41" t="n"/>
      <c r="B23" s="42" t="n"/>
      <c r="C23" s="42" t="n"/>
      <c r="D23" s="42" t="n"/>
      <c r="E23" s="42" t="n"/>
      <c r="F23" s="42" t="n"/>
      <c r="G23" s="42" t="n"/>
      <c r="H23" s="42" t="n"/>
    </row>
    <row r="24" ht="30" customHeight="1">
      <c r="A24" s="41" t="n"/>
      <c r="B24" s="42" t="n"/>
      <c r="C24" s="42" t="n"/>
      <c r="D24" s="42" t="n"/>
      <c r="E24" s="42" t="n"/>
      <c r="F24" s="42" t="n"/>
      <c r="G24" s="42" t="n"/>
      <c r="H24" s="42" t="n"/>
    </row>
    <row r="25" ht="30" customHeight="1">
      <c r="A25" s="41" t="n"/>
      <c r="B25" s="42" t="n"/>
      <c r="C25" s="42" t="n"/>
      <c r="D25" s="42" t="n"/>
      <c r="E25" s="42" t="n"/>
      <c r="F25" s="42" t="n"/>
      <c r="G25" s="42" t="n"/>
      <c r="H25" s="42" t="n"/>
    </row>
    <row r="26" ht="30" customHeight="1">
      <c r="A26" s="41" t="n"/>
      <c r="B26" s="42" t="n"/>
      <c r="C26" s="42" t="n"/>
      <c r="D26" s="42" t="n"/>
      <c r="E26" s="42" t="n"/>
      <c r="F26" s="42" t="n"/>
      <c r="G26" s="42" t="n"/>
      <c r="H26" s="42" t="n"/>
    </row>
    <row r="27" ht="30" customHeight="1">
      <c r="A27" s="41" t="n"/>
      <c r="B27" s="42" t="n"/>
      <c r="C27" s="42" t="n"/>
      <c r="D27" s="42" t="n"/>
      <c r="E27" s="42" t="n"/>
      <c r="F27" s="42" t="n"/>
      <c r="G27" s="42" t="n"/>
      <c r="H27" s="42" t="n"/>
    </row>
    <row r="28" ht="30" customHeight="1">
      <c r="A28" s="41" t="n"/>
      <c r="B28" s="42" t="n"/>
      <c r="C28" s="42" t="n"/>
      <c r="D28" s="42" t="n"/>
      <c r="E28" s="42" t="n"/>
      <c r="F28" s="42" t="n"/>
      <c r="G28" s="42" t="n"/>
      <c r="H28" s="42" t="n"/>
    </row>
    <row r="29" ht="30" customHeight="1">
      <c r="A29" s="41" t="n"/>
      <c r="B29" s="42" t="n"/>
      <c r="C29" s="42" t="n"/>
      <c r="D29" s="42" t="n"/>
      <c r="E29" s="42" t="n"/>
      <c r="F29" s="42" t="n"/>
      <c r="G29" s="42" t="n"/>
      <c r="H29" s="42" t="n"/>
    </row>
    <row r="30" ht="30" customHeight="1">
      <c r="A30" s="41" t="n"/>
      <c r="B30" s="42" t="n"/>
      <c r="C30" s="42" t="n"/>
      <c r="D30" s="42" t="n"/>
      <c r="E30" s="42" t="n"/>
      <c r="F30" s="42" t="n"/>
      <c r="G30" s="42" t="n"/>
      <c r="H30" s="42" t="n"/>
    </row>
    <row r="31" ht="30" customHeight="1">
      <c r="A31" s="41" t="n"/>
      <c r="B31" s="42" t="n"/>
      <c r="C31" s="42" t="n"/>
      <c r="D31" s="42" t="n"/>
      <c r="E31" s="42" t="n"/>
      <c r="F31" s="42" t="n"/>
      <c r="G31" s="42" t="n"/>
      <c r="H31" s="42" t="n"/>
    </row>
    <row r="32" ht="30" customHeight="1">
      <c r="A32" s="41" t="n"/>
      <c r="B32" s="42" t="n"/>
      <c r="C32" s="42" t="n"/>
      <c r="D32" s="42" t="n"/>
      <c r="E32" s="42" t="n"/>
      <c r="F32" s="42" t="n"/>
      <c r="G32" s="42" t="n"/>
      <c r="H32" s="42" t="n"/>
    </row>
    <row r="33" ht="30" customHeight="1">
      <c r="A33" s="41" t="n"/>
      <c r="B33" s="42" t="n"/>
      <c r="C33" s="42" t="n"/>
      <c r="D33" s="42" t="n"/>
      <c r="E33" s="42" t="n"/>
      <c r="F33" s="42" t="n"/>
      <c r="G33" s="42" t="n"/>
      <c r="H33" s="42" t="n"/>
    </row>
    <row r="34" ht="30" customHeight="1">
      <c r="A34" s="41" t="n"/>
      <c r="B34" s="42" t="n"/>
      <c r="C34" s="42" t="n"/>
      <c r="D34" s="42" t="n"/>
      <c r="E34" s="42" t="n"/>
      <c r="F34" s="42" t="n"/>
      <c r="G34" s="42" t="n"/>
      <c r="H34" s="42" t="n"/>
    </row>
    <row r="35" ht="30" customHeight="1">
      <c r="A35" s="41" t="n"/>
      <c r="B35" s="42" t="n"/>
      <c r="C35" s="42" t="n"/>
      <c r="D35" s="42" t="n"/>
      <c r="E35" s="42" t="n"/>
      <c r="F35" s="42" t="n"/>
      <c r="G35" s="42" t="n"/>
      <c r="H35" s="42" t="n"/>
    </row>
    <row r="36" ht="30" customHeight="1">
      <c r="A36" s="41" t="n"/>
      <c r="B36" s="42" t="n"/>
      <c r="C36" s="42" t="n"/>
      <c r="D36" s="42" t="n"/>
      <c r="E36" s="42" t="n"/>
      <c r="F36" s="42" t="n"/>
      <c r="G36" s="42" t="n"/>
      <c r="H36" s="42" t="n"/>
    </row>
    <row r="37" ht="30" customHeight="1">
      <c r="A37" s="41" t="n"/>
      <c r="B37" s="42" t="n"/>
      <c r="C37" s="42" t="n"/>
      <c r="D37" s="42" t="n"/>
      <c r="E37" s="42" t="n"/>
      <c r="F37" s="42" t="n"/>
      <c r="G37" s="42" t="n"/>
      <c r="H37" s="42" t="n"/>
    </row>
    <row r="38" ht="30" customHeight="1">
      <c r="A38" s="41" t="n"/>
      <c r="B38" s="42" t="n"/>
      <c r="C38" s="42" t="n"/>
      <c r="D38" s="42" t="n"/>
      <c r="E38" s="42" t="n"/>
      <c r="F38" s="42" t="n"/>
      <c r="G38" s="42" t="n"/>
      <c r="H38" s="42" t="n"/>
    </row>
    <row r="39" ht="30" customHeight="1">
      <c r="A39" s="41" t="n"/>
      <c r="B39" s="42" t="n"/>
      <c r="C39" s="42" t="n"/>
      <c r="D39" s="42" t="n"/>
      <c r="E39" s="42" t="n"/>
      <c r="F39" s="42" t="n"/>
      <c r="G39" s="42" t="n"/>
      <c r="H39" s="42" t="n"/>
    </row>
    <row r="40" ht="30" customHeight="1">
      <c r="A40" s="41" t="n"/>
      <c r="B40" s="42" t="n"/>
      <c r="C40" s="42" t="n"/>
      <c r="D40" s="42" t="n"/>
      <c r="E40" s="42" t="n"/>
      <c r="F40" s="42" t="n"/>
      <c r="G40" s="42" t="n"/>
      <c r="H40" s="42" t="n"/>
    </row>
    <row r="41" ht="30" customHeight="1">
      <c r="A41" s="41" t="n"/>
      <c r="B41" s="42" t="n"/>
      <c r="C41" s="42" t="n"/>
      <c r="D41" s="42" t="n"/>
      <c r="E41" s="42" t="n"/>
      <c r="F41" s="42" t="n"/>
      <c r="G41" s="42" t="n"/>
      <c r="H41" s="42" t="n"/>
    </row>
    <row r="42" ht="30" customHeight="1">
      <c r="A42" s="41" t="n"/>
      <c r="B42" s="42" t="n"/>
      <c r="C42" s="42" t="n"/>
      <c r="D42" s="42" t="n"/>
      <c r="E42" s="42" t="n"/>
      <c r="F42" s="42" t="n"/>
      <c r="G42" s="42" t="n"/>
      <c r="H42" s="42" t="n"/>
    </row>
    <row r="43" ht="30" customHeight="1">
      <c r="A43" s="41" t="n"/>
      <c r="B43" s="42" t="n"/>
      <c r="C43" s="42" t="n"/>
      <c r="D43" s="42" t="n"/>
      <c r="E43" s="42" t="n"/>
      <c r="F43" s="42" t="n"/>
      <c r="G43" s="42" t="n"/>
      <c r="H43" s="42" t="n"/>
    </row>
    <row r="44" ht="30" customHeight="1">
      <c r="A44" s="41" t="n"/>
      <c r="B44" s="42" t="n"/>
      <c r="C44" s="42" t="n"/>
      <c r="D44" s="42" t="n"/>
      <c r="E44" s="42" t="n"/>
      <c r="F44" s="42" t="n"/>
      <c r="G44" s="42" t="n"/>
      <c r="H44" s="42" t="n"/>
    </row>
    <row r="45" ht="30" customHeight="1">
      <c r="A45" s="41" t="n"/>
      <c r="B45" s="42" t="n"/>
      <c r="C45" s="42" t="n"/>
      <c r="D45" s="42" t="n"/>
      <c r="E45" s="42" t="n"/>
      <c r="F45" s="42" t="n"/>
      <c r="G45" s="42" t="n"/>
      <c r="H45" s="42" t="n"/>
    </row>
    <row r="46" ht="30" customHeight="1">
      <c r="A46" s="41" t="n"/>
      <c r="B46" s="42" t="n"/>
      <c r="C46" s="42" t="n"/>
      <c r="D46" s="42" t="n"/>
      <c r="E46" s="42" t="n"/>
      <c r="F46" s="42" t="n"/>
      <c r="G46" s="42" t="n"/>
      <c r="H46" s="42" t="n"/>
    </row>
    <row r="47" ht="30" customHeight="1">
      <c r="A47" s="41" t="n"/>
      <c r="B47" s="42" t="n"/>
      <c r="C47" s="42" t="n"/>
      <c r="D47" s="42" t="n"/>
      <c r="E47" s="42" t="n"/>
      <c r="F47" s="42" t="n"/>
      <c r="G47" s="42" t="n"/>
      <c r="H47" s="42" t="n"/>
    </row>
    <row r="48" ht="30" customHeight="1">
      <c r="A48" s="41" t="n"/>
      <c r="B48" s="42" t="n"/>
      <c r="C48" s="42" t="n"/>
      <c r="D48" s="42" t="n"/>
      <c r="E48" s="42" t="n"/>
      <c r="F48" s="42" t="n"/>
      <c r="G48" s="42" t="n"/>
      <c r="H48" s="42" t="n"/>
    </row>
  </sheetData>
  <dataValidations count="3">
    <dataValidation sqref="D18:D48" showDropDown="0" showInputMessage="0" showErrorMessage="1" allowBlank="1" errorTitle="Thème" error="Choisir un thème dans la liste." type="list">
      <formula1>"Utile,Inutile,Information manquante,Filtre indispensable,Besoin spécifique,Saisie / commentaires,Donnée GMAO à rechercher,Couverture OT,Autre"</formula1>
    </dataValidation>
    <dataValidation sqref="F18:F48" showDropDown="0" showInputMessage="0" showErrorMessage="1" allowBlank="1" errorTitle="Priorité" error="Haute, Moyenne ou Basse." type="list">
      <formula1>"Haute,Moyenne,Basse"</formula1>
    </dataValidation>
    <dataValidation sqref="A18:A48" showDropDown="0" showInputMessage="0" showErrorMessage="1" allowBlank="1" errorTitle="Date" error="Saisir une date (jj/mm/aaaa)." type="date" operator="greaterThan">
      <formula1>36526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G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6" customWidth="1" min="3" max="3"/>
    <col width="34" customWidth="1" min="4" max="4"/>
    <col width="36" customWidth="1" min="5" max="5"/>
    <col width="13" customWidth="1" min="6" max="6"/>
    <col width="30" customWidth="1" min="7" max="7"/>
  </cols>
  <sheetData>
    <row r="1" ht="30" customHeight="1">
      <c r="A1" s="1" t="inlineStr">
        <is>
          <t>Points à valider</t>
        </is>
      </c>
      <c r="B1" s="2" t="n"/>
      <c r="C1" s="2" t="n"/>
      <c r="D1" s="2" t="n"/>
      <c r="E1" s="2" t="n"/>
      <c r="F1" s="2" t="n"/>
      <c r="G1" s="4" t="inlineStr">
        <is>
          <t>PROTOTYPE V0.3</t>
        </is>
      </c>
    </row>
    <row r="2" ht="18" customHeight="1">
      <c r="A2" s="5" t="inlineStr">
        <is>
          <t>Questions métier et hypothèses relevées dans les sources fictives. Rien n'a été corrigé ni supprimé.</t>
        </is>
      </c>
      <c r="B2" s="2" t="n"/>
      <c r="C2" s="2" t="n"/>
      <c r="D2" s="2" t="n"/>
      <c r="E2" s="2" t="n"/>
      <c r="F2" s="2" t="n"/>
      <c r="G2" s="2" t="n"/>
    </row>
    <row r="3" ht="3" customHeight="1">
      <c r="A3" s="8" t="n"/>
      <c r="B3" s="8" t="n"/>
      <c r="C3" s="8" t="n"/>
      <c r="D3" s="8" t="n"/>
      <c r="E3" s="8" t="n"/>
      <c r="F3" s="8" t="n"/>
      <c r="G3" s="8" t="n"/>
    </row>
    <row r="5">
      <c r="A5" s="43" t="str">
        <f>"Contrôles automatiques de l'import GMAO : "&amp;COUNTIF('08_PARAMETRES'!$G$21:$G$80,"À VÉRIFIER")&amp;" à vérifier (détail dans 08_PARAMETRES)."</f>
        <v>Contrôles automatiques de l'import GMAO : 0 à vérifier (détail dans 08_PARAMETRES).</v>
      </c>
    </row>
    <row r="7" ht="30" customHeight="1">
      <c r="A7" s="17" t="inlineStr">
        <is>
          <t>N°</t>
        </is>
      </c>
      <c r="B7" s="17" t="inlineStr">
        <is>
          <t>Thème</t>
        </is>
      </c>
      <c r="C7" s="17" t="inlineStr">
        <is>
          <t>Constat (dans les sources)</t>
        </is>
      </c>
      <c r="D7" s="17" t="inlineStr">
        <is>
          <t>Traitement dans la V0.3</t>
        </is>
      </c>
      <c r="E7" s="17" t="inlineStr">
        <is>
          <t>Question à trancher</t>
        </is>
      </c>
      <c r="F7" s="17" t="inlineStr">
        <is>
          <t>Statut</t>
        </is>
      </c>
      <c r="G7" s="17" t="inlineStr">
        <is>
          <t>Décision / réponse</t>
        </is>
      </c>
    </row>
    <row r="8" ht="60" customHeight="1">
      <c r="A8" s="44" t="n">
        <v>1</v>
      </c>
      <c r="B8" s="45" t="inlineStr">
        <is>
          <t>Hiérarchie</t>
        </is>
      </c>
      <c r="C8" s="46" t="inlineStr">
        <is>
          <t>Le programme fournit « Périmètre » et « Groupe » ; l'extraction GMAO, « Groupe gestionnaires » (site) et « Poste travail princ. » (équipe).</t>
        </is>
      </c>
      <c r="D8" s="46" t="inlineStr">
        <is>
          <t>Colonnes du programme affichées sous leurs noms d'origine.</t>
        </is>
      </c>
      <c r="E8" s="46" t="inlineStr">
        <is>
          <t>Périmètre = Site et Groupe = Équipe ? Avec quels libellés lisibles ?</t>
        </is>
      </c>
      <c r="F8" s="45" t="inlineStr">
        <is>
          <t>À confirmer</t>
        </is>
      </c>
      <c r="G8" s="46" t="n"/>
    </row>
    <row r="9" ht="46.5" customHeight="1">
      <c r="A9" s="44" t="n">
        <v>2</v>
      </c>
      <c r="B9" s="45" t="inlineStr">
        <is>
          <t>Rapprochement</t>
        </is>
      </c>
      <c r="C9" s="46" t="inlineStr">
        <is>
          <t>Les postes du programme (INST-xxx) et les codes poste GMAO (G-I-A1100…) n'ont aucune clé commune dans les sources fictives.</t>
        </is>
      </c>
      <c r="D9" s="46" t="inlineStr">
        <is>
          <t>Pas de comparaison prévu / OT. Table T_Correspondance_Postes préparée (05), vide.</t>
        </is>
      </c>
      <c r="E9" s="46" t="inlineStr">
        <is>
          <t>Quelle clé relie un poste du programme à un code poste GMAO ? Qui la maintient ?</t>
        </is>
      </c>
      <c r="F9" s="45" t="inlineStr">
        <is>
          <t>À confirmer</t>
        </is>
      </c>
      <c r="G9" s="46" t="n"/>
    </row>
    <row r="10" ht="60" customHeight="1">
      <c r="A10" s="44" t="n">
        <v>3</v>
      </c>
      <c r="B10" s="45" t="inlineStr">
        <is>
          <t>Activités</t>
        </is>
      </c>
      <c r="C10" s="46" t="inlineStr">
        <is>
          <t>Activités observées : PIS, EC, PILOTAGE, FILTRE, REV. Aucun libellé ni correspondance avec les types du programme n'est fourni.</t>
        </is>
      </c>
      <c r="D10" s="46" t="inlineStr">
        <is>
          <t>Codes repris tels quels ; libellés « À confirmer » ; hypothèses FILTRE → TYPE_C et REV → TYPE_D notées, non appliquées.</t>
        </is>
      </c>
      <c r="E10" s="46" t="inlineStr">
        <is>
          <t>Que signifient EC, PIS, PILOTAGE ? Quelle correspondance avec les opérations du programme ?</t>
        </is>
      </c>
      <c r="F10" s="45" t="inlineStr">
        <is>
          <t>À confirmer</t>
        </is>
      </c>
      <c r="G10" s="46" t="n"/>
    </row>
    <row r="11" ht="60" customHeight="1">
      <c r="A11" s="44" t="n">
        <v>4</v>
      </c>
      <c r="B11" s="45" t="inlineStr">
        <is>
          <t>Code poste</t>
        </is>
      </c>
      <c r="C11" s="46" t="inlineStr">
        <is>
          <t>Règle du test manuel : 9 premiers caractères du Poste technique. Dans le modèle, le 10e caractère est toujours « - » (ex. G-I-A1100-FILT01).</t>
        </is>
      </c>
      <c r="D11" s="46" t="inlineStr">
        <is>
          <t>Règle paramétrée (08) ; poste vide, trop court ou sans « - » en 10e position signalé.</t>
        </is>
      </c>
      <c r="E11" s="46" t="inlineStr">
        <is>
          <t>La règle est-elle valable pour tous les sites ? Le séparateur est-il toujours « - » ?</t>
        </is>
      </c>
      <c r="F11" s="45" t="inlineStr">
        <is>
          <t>À confirmer</t>
        </is>
      </c>
      <c r="G11" s="46" t="n"/>
    </row>
    <row r="12" ht="46.5" customHeight="1">
      <c r="A12" s="44" t="n">
        <v>5</v>
      </c>
      <c r="B12" s="45" t="inlineStr">
        <is>
          <t>Site</t>
        </is>
      </c>
      <c r="C12" s="46" t="inlineStr">
        <is>
          <t>« Code site » (TECH-01…) correspond un pour un à « Groupe gestionnaires » (SITE01…) dans le modèle.</t>
        </is>
      </c>
      <c r="D12" s="46" t="inlineStr">
        <is>
          <t>Site = Groupe gestionnaires, comme dans le test manuel.</t>
        </is>
      </c>
      <c r="E12" s="46" t="inlineStr">
        <is>
          <t>Quel champ porte le site de référence ? « Code site » doit-il être affiché ?</t>
        </is>
      </c>
      <c r="F12" s="45" t="inlineStr">
        <is>
          <t>À confirmer</t>
        </is>
      </c>
      <c r="G12" s="46" t="n"/>
    </row>
    <row r="13" ht="46.5" customHeight="1">
      <c r="A13" s="44" t="n">
        <v>6</v>
      </c>
      <c r="B13" s="45" t="inlineStr">
        <is>
          <t>Équipe</t>
        </is>
      </c>
      <c r="C13" s="46" t="inlineStr">
        <is>
          <t>« Secteur exploitation » porte exactement les mêmes valeurs que « Poste travail princ. » sur les 90 lignes du modèle.</t>
        </is>
      </c>
      <c r="D13" s="46" t="inlineStr">
        <is>
          <t>Équipe = Poste travail princ., comme dans le test manuel.</t>
        </is>
      </c>
      <c r="E13" s="46" t="inlineStr">
        <is>
          <t>Les deux champs sont-ils toujours identiques dans l'extraction réelle ?</t>
        </is>
      </c>
      <c r="F13" s="45" t="inlineStr">
        <is>
          <t>À confirmer</t>
        </is>
      </c>
      <c r="G13" s="46" t="n"/>
    </row>
    <row r="14" ht="46.5" customHeight="1">
      <c r="A14" s="44" t="n">
        <v>7</v>
      </c>
      <c r="B14" s="45" t="inlineStr">
        <is>
          <t>Périmètre de l'extraction</t>
        </is>
      </c>
      <c r="C14" s="46" t="inlineStr">
        <is>
          <t>Toutes les lignes du modèle sont « Type d'ordre » ZPR2 et « Type de travail » PRE.</t>
        </is>
      </c>
      <c r="D14" s="46" t="inlineStr">
        <is>
          <t>Rien n'est filtré ; un Type de travail autre que PRE est signalé (Info).</t>
        </is>
      </c>
      <c r="E14" s="46" t="inlineStr">
        <is>
          <t>L'extraction réelle sera-t-elle limitée aux OT préventifs ? Sur quel critère ?</t>
        </is>
      </c>
      <c r="F14" s="45" t="inlineStr">
        <is>
          <t>À confirmer</t>
        </is>
      </c>
      <c r="G14" s="46" t="n"/>
    </row>
    <row r="15" ht="46.5" customHeight="1">
      <c r="A15" s="44" t="n">
        <v>8</v>
      </c>
      <c r="B15" s="45" t="inlineStr">
        <is>
          <t>Année planifiée</t>
        </is>
      </c>
      <c r="C15" s="46" t="inlineStr">
        <is>
          <t>L'année vient de « Date début planifiée » ; « Créé le » et « Date modif. fiche ordre » existent aussi.</t>
        </is>
      </c>
      <c r="D15" s="46" t="inlineStr">
        <is>
          <t>Année planifiée = année de la Date début planifiée.</t>
        </is>
      </c>
      <c r="E15" s="46" t="inlineStr">
        <is>
          <t>Est-ce la bonne date de référence pour rattacher un OT à une année du programme ?</t>
        </is>
      </c>
      <c r="F15" s="45" t="inlineStr">
        <is>
          <t>À confirmer</t>
        </is>
      </c>
      <c r="G15" s="46" t="n"/>
    </row>
    <row r="16" ht="46.5" customHeight="1">
      <c r="A16" s="44" t="n">
        <v>9</v>
      </c>
      <c r="B16" s="45" t="inlineStr">
        <is>
          <t>Statuts OT</t>
        </is>
      </c>
      <c r="C16" s="46" t="inlineStr">
        <is>
          <t>Statut utilisateur ACTI / TERM et Statut système présents dans l'extraction.</t>
        </is>
      </c>
      <c r="D16" s="46" t="inlineStr">
        <is>
          <t>Conservés dans 04 mais volontairement non exploités (hors périmètre du produit).</t>
        </is>
      </c>
      <c r="E16" s="46" t="inlineStr">
        <is>
          <t>Faut-il exclure certains statuts (ex. OT annulés) du comptage de couverture ?</t>
        </is>
      </c>
      <c r="F16" s="45" t="inlineStr">
        <is>
          <t>À confirmer</t>
        </is>
      </c>
      <c r="G16" s="46" t="n"/>
    </row>
    <row r="17" ht="33" customHeight="1">
      <c r="A17" s="44" t="n">
        <v>10</v>
      </c>
      <c r="B17" s="45" t="inlineStr">
        <is>
          <t>Référentiel programme</t>
        </is>
      </c>
      <c r="C17" s="46" t="inlineStr">
        <is>
          <t>TYPE_E « Opération spécifique » : référence technique et statut « À confirmer ».</t>
        </is>
      </c>
      <c r="D17" s="46" t="inlineStr">
        <is>
          <t>Libellé affiché tel quel, statut « À confirmer » en jaune.</t>
        </is>
      </c>
      <c r="E17" s="46" t="inlineStr">
        <is>
          <t>Quel libellé, quelle référence technique pour ce type ?</t>
        </is>
      </c>
      <c r="F17" s="45" t="inlineStr">
        <is>
          <t>À confirmer</t>
        </is>
      </c>
      <c r="G17" s="46" t="n"/>
    </row>
    <row r="18" ht="73.5" customHeight="1">
      <c r="A18" s="44" t="n">
        <v>11</v>
      </c>
      <c r="B18" s="45" t="inlineStr">
        <is>
          <t>Doublons programme</t>
        </is>
      </c>
      <c r="C18" s="46" t="inlineStr">
        <is>
          <t>Lignes strictement identiques dans le programme : INST-006 / TYPE_A / 2027 ; INST-010 / TYPE_A / 2027 ; INST-021 / TYPE_A / 2027 ; INST-040 / TYPE_A / 2028 ; INST-020 / TYPE_E / 2029.</t>
        </is>
      </c>
      <c r="D18" s="46" t="inlineStr">
        <is>
          <t>Conservées et signalées (●×2 dans le plan, « Doublon potentiel »).</t>
        </is>
      </c>
      <c r="E18" s="46" t="inlineStr">
        <is>
          <t>Deux interventions distinctes ou doublon d'extraction ?</t>
        </is>
      </c>
      <c r="F18" s="45" t="inlineStr">
        <is>
          <t>À confirmer</t>
        </is>
      </c>
      <c r="G18" s="46" t="n"/>
    </row>
    <row r="19" ht="60" customHeight="1">
      <c r="A19" s="44" t="n">
        <v>12</v>
      </c>
      <c r="B19" s="45" t="inlineStr">
        <is>
          <t>Périodicité</t>
        </is>
      </c>
      <c r="C19" s="46" t="inlineStr">
        <is>
          <t>Dans le programme, l'intervalle entre deux occurrences ne correspond pas toujours à la périodicité indiquée (ex. INST-017 Révision « 6 ans » en 2027 puis 2029).</t>
        </is>
      </c>
      <c r="D19" s="46" t="inlineStr">
        <is>
          <t>Aucune année n'est recalculée : seules les années de la source sont affichées.</t>
        </is>
      </c>
      <c r="E19" s="46" t="inlineStr">
        <is>
          <t>La périodicité est-elle indicative ? L'année prévue vient-elle uniquement de la GMAO ?</t>
        </is>
      </c>
      <c r="F19" s="45" t="inlineStr">
        <is>
          <t>À confirmer</t>
        </is>
      </c>
      <c r="G19" s="46" t="n"/>
    </row>
    <row r="20" ht="60" customHeight="1">
      <c r="A20" s="44" t="n">
        <v>13</v>
      </c>
      <c r="B20" s="45" t="inlineStr">
        <is>
          <t>Vue plan</t>
        </is>
      </c>
      <c r="C20" s="46" t="inlineStr">
        <is>
          <t>La vue 01 compte 104 lignes poste × opération, construites à partir du programme.</t>
        </is>
      </c>
      <c r="D20" s="46" t="inlineStr">
        <is>
          <t>Les cases se recalculent ; une nouvelle combinaison poste / opération demande de régénérer la vue.</t>
        </is>
      </c>
      <c r="E20" s="46" t="inlineStr">
        <is>
          <t>Faut-il passer le programme en Power Query, comme les OT, une fois sa source réelle connue ?</t>
        </is>
      </c>
      <c r="F20" s="45" t="inlineStr">
        <is>
          <t>À confirmer</t>
        </is>
      </c>
      <c r="G20" s="46" t="n"/>
    </row>
  </sheetData>
  <conditionalFormatting sqref="A5">
    <cfRule type="expression" priority="1" dxfId="3">
      <formula>COUNTIF('08_PARAMETRES'!$G$21:$G$80,"À VÉRIFIER")&gt;0</formula>
    </cfRule>
  </conditionalFormatting>
  <dataValidations count="1">
    <dataValidation sqref="F8:F50" showDropDown="0" showInputMessage="0" showErrorMessage="0" allowBlank="1" type="list">
      <formula1>"À confirmer,Validé,Rejeté,Reporté"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D3DBDB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12" customWidth="1" min="5" max="5"/>
    <col width="50" customWidth="1" min="6" max="6"/>
    <col width="14" customWidth="1" min="7" max="7"/>
  </cols>
  <sheetData>
    <row r="1" ht="30" customHeight="1">
      <c r="A1" s="1" t="inlineStr">
        <is>
          <t>Paramètres et contrôles de l'import</t>
        </is>
      </c>
      <c r="B1" s="2" t="n"/>
      <c r="C1" s="2" t="n"/>
      <c r="D1" s="2" t="n"/>
      <c r="E1" s="2" t="n"/>
      <c r="F1" s="2" t="n"/>
      <c r="G1" s="4" t="inlineStr">
        <is>
          <t>PROTOTYPE V0.3</t>
        </is>
      </c>
    </row>
    <row r="2" ht="18" customHeight="1">
      <c r="A2" s="5" t="inlineStr">
        <is>
          <t>Seules les cellules blanches encadrées se modifient. Power Query lit ces valeurs à chaque actualisation.</t>
        </is>
      </c>
      <c r="B2" s="2" t="n"/>
      <c r="C2" s="2" t="n"/>
      <c r="D2" s="2" t="n"/>
      <c r="E2" s="2" t="n"/>
      <c r="F2" s="2" t="n"/>
      <c r="G2" s="2" t="n"/>
    </row>
    <row r="3" ht="3" customHeight="1">
      <c r="A3" s="8" t="n"/>
      <c r="B3" s="8" t="n"/>
      <c r="C3" s="8" t="n"/>
      <c r="D3" s="8" t="n"/>
      <c r="E3" s="8" t="n"/>
      <c r="F3" s="8" t="n"/>
      <c r="G3" s="8" t="n"/>
    </row>
    <row r="5">
      <c r="B5" s="32" t="inlineStr">
        <is>
          <t>Paramètres</t>
        </is>
      </c>
    </row>
    <row r="6" ht="26" customHeight="1">
      <c r="B6" s="47" t="inlineStr">
        <is>
          <t>Année d'analyse</t>
        </is>
      </c>
      <c r="C6" s="48" t="n">
        <v>2027</v>
      </c>
      <c r="D6" s="49" t="n"/>
      <c r="E6" s="50" t="n"/>
      <c r="F6" s="51" t="inlineStr">
        <is>
          <t>Année mise en avant dans 01 (colonne jaune) et 02 (indicateurs, lignes grisées).</t>
        </is>
      </c>
    </row>
    <row r="7" ht="26" customHeight="1">
      <c r="B7" s="47" t="inlineStr">
        <is>
          <t>Dossier de ce classeur (automatique)</t>
        </is>
      </c>
      <c r="C7" s="52" t="str">
        <f>IFERROR(LEFT(CELL("filename",$A$1),FIND("[",CELL("filename",$A$1))-1),"")</f>
        <v/>
      </c>
      <c r="D7" s="53" t="n"/>
      <c r="E7" s="53" t="n"/>
      <c r="F7" s="51" t="inlineStr">
        <is>
          <t>Calculé par Excel quand le classeur est enregistré sur le poste (vide sinon).</t>
        </is>
      </c>
    </row>
    <row r="8" ht="26" customHeight="1">
      <c r="B8" s="47" t="inlineStr">
        <is>
          <t>Nom du fichier d'extraction GMAO</t>
        </is>
      </c>
      <c r="C8" s="54" t="inlineStr">
        <is>
          <t>MODELE_GMAO_PREV_ANONYMISE.csv</t>
        </is>
      </c>
      <c r="D8" s="49" t="n"/>
      <c r="E8" s="50" t="n"/>
      <c r="F8" s="51" t="inlineStr">
        <is>
          <t>Fichier .xlsx ou .csv (séparateur ;) placé dans le même dossier que ce classeur.</t>
        </is>
      </c>
    </row>
    <row r="9" ht="26" customHeight="1">
      <c r="B9" s="47" t="inlineStr">
        <is>
          <t>Chemin complet de l'extraction (facultatif)</t>
        </is>
      </c>
      <c r="C9" s="54" t="n"/>
      <c r="D9" s="49" t="n"/>
      <c r="E9" s="50" t="n"/>
      <c r="F9" s="51" t="inlineStr">
        <is>
          <t>Prioritaire s'il est rempli, ex. C:\Maintenance\Extraction_GMAO.xlsx. Pas d'adresse https.</t>
        </is>
      </c>
    </row>
    <row r="10" ht="26" customHeight="1">
      <c r="B10" s="47" t="inlineStr">
        <is>
          <t>Chemin utilisé par Power Query</t>
        </is>
      </c>
      <c r="C10" s="52" t="str">
        <f>IF(LEN(TRIM(P_CheminComplet))&gt;0,TRIM(P_CheminComplet),P_DossierClasseur&amp;P_NomFichierSource)</f>
        <v>MODELE_GMAO_PREV_ANONYMISE.csv</v>
      </c>
      <c r="D10" s="53" t="n"/>
      <c r="E10" s="53" t="n"/>
      <c r="F10" s="51" t="inlineStr">
        <is>
          <t>Calculé : ne pas modifier.</t>
        </is>
      </c>
    </row>
    <row r="11" ht="26" customHeight="1">
      <c r="B11" s="47" t="inlineStr">
        <is>
          <t>Feuille de l'extraction (si fichier Excel)</t>
        </is>
      </c>
      <c r="C11" s="54" t="n"/>
      <c r="D11" s="49" t="n"/>
      <c r="E11" s="50" t="n"/>
      <c r="F11" s="51" t="inlineStr">
        <is>
          <t>Vide = première feuille du fichier.</t>
        </is>
      </c>
    </row>
    <row r="12" ht="26" customHeight="1">
      <c r="B12" s="47" t="inlineStr">
        <is>
          <t>Longueur du code poste</t>
        </is>
      </c>
      <c r="C12" s="48" t="n">
        <v>9</v>
      </c>
      <c r="D12" s="49" t="n"/>
      <c r="E12" s="50" t="n"/>
      <c r="F12" s="51" t="inlineStr">
        <is>
          <t>Code poste = N premiers caractères du Poste technique (règle du test manuel : 9).</t>
        </is>
      </c>
    </row>
    <row r="13" ht="26" customHeight="1">
      <c r="B13" s="47" t="inlineStr">
        <is>
          <t>Caractère attendu après le code poste</t>
        </is>
      </c>
      <c r="C13" s="55" t="inlineStr">
        <is>
          <t>-</t>
        </is>
      </c>
      <c r="D13" s="49" t="n"/>
      <c r="E13" s="50" t="n"/>
      <c r="F13" s="51" t="inlineStr">
        <is>
          <t>Sert au contrôle de format (« - » observé dans l'export modèle). Vide = pas de contrôle.</t>
        </is>
      </c>
    </row>
    <row r="14" ht="26" customHeight="1">
      <c r="B14" s="47" t="inlineStr">
        <is>
          <t>Dernière actualisation des OT (automatique)</t>
        </is>
      </c>
      <c r="C14" s="56">
        <f>IFERROR(INDEX('04_DETAIL_OT'!$A$2:$AZ$2,MATCH("Importé le",'04_DETAIL_OT'!$A$1:$AZ$1,0)),"")</f>
        <v>46309.50763888889</v>
      </c>
      <c r="D14" s="53" t="n"/>
      <c r="E14" s="53" t="n"/>
      <c r="F14" s="51" t="inlineStr">
        <is>
          <t>Écrite par la requête OT_Detail à chaque « Actualiser tout ».</t>
        </is>
      </c>
    </row>
    <row r="15" ht="26" customHeight="1">
      <c r="B15" s="47" t="inlineStr">
        <is>
          <t>Source des OT actuellement chargée</t>
        </is>
      </c>
      <c r="C15" s="52" t="str">
        <f>IFERROR(INDEX('04_DETAIL_OT'!$A$2:$AZ$2,MATCH("Fichier source",'04_DETAIL_OT'!$A$1:$AZ$1,0)),"")</f>
        <v>Instantané de démonstration – MODELE_GMAO_PREV_ANONYMISE.csv</v>
      </c>
      <c r="D15" s="53" t="n"/>
      <c r="E15" s="53" t="n"/>
      <c r="F15" s="51" t="inlineStr">
        <is>
          <t>« Instantané de démonstration » tant que les requêtes ne sont pas installées (09_NOTICE).</t>
        </is>
      </c>
    </row>
    <row r="16" ht="26" customHeight="1">
      <c r="B16" s="47" t="inlineStr">
        <is>
          <t>Date d'import du programme préventif</t>
        </is>
      </c>
      <c r="C16" s="57" t="n">
        <v>46308</v>
      </c>
      <c r="D16" s="49" t="n"/>
      <c r="E16" s="50" t="n"/>
      <c r="F16" s="51" t="inlineStr">
        <is>
          <t>Programme (03_DETAIL_PROGRAMME) : à mettre à jour à chaque nouvel import.</t>
        </is>
      </c>
    </row>
    <row r="18">
      <c r="B18" s="32" t="inlineStr">
        <is>
          <t>Contrôles de l'import GMAO</t>
        </is>
      </c>
    </row>
    <row r="19">
      <c r="B19" s="38" t="inlineStr">
        <is>
          <t>Une ligne par contrôle, recalculée à chaque actualisation. Les lignes concernées se filtrent dans 04_DETAIL_OT, colonne « Contrôle qualité ».</t>
        </is>
      </c>
    </row>
    <row r="20" ht="30" customHeight="1">
      <c r="A20" s="17" t="inlineStr">
        <is>
          <t>N°</t>
        </is>
      </c>
      <c r="B20" s="17" t="inlineStr">
        <is>
          <t>Contrôle</t>
        </is>
      </c>
      <c r="C20" s="17" t="inlineStr">
        <is>
          <t>Niveau</t>
        </is>
      </c>
      <c r="D20" s="17" t="inlineStr">
        <is>
          <t>Lignes de l'export</t>
        </is>
      </c>
      <c r="E20" s="17" t="inlineStr">
        <is>
          <t>OT distincts</t>
        </is>
      </c>
      <c r="F20" s="17" t="inlineStr">
        <is>
          <t>Exemples (Ordre ou ligne)</t>
        </is>
      </c>
      <c r="G20" s="17" t="inlineStr">
        <is>
          <t>Statut</t>
        </is>
      </c>
    </row>
    <row r="21" ht="18" customHeight="1">
      <c r="A21" s="58" t="n">
        <v>0</v>
      </c>
      <c r="B21" s="59" t="inlineStr">
        <is>
          <t>Lignes lues dans l'export</t>
        </is>
      </c>
      <c r="C21" s="60" t="inlineStr">
        <is>
          <t>Info</t>
        </is>
      </c>
      <c r="D21" s="58" t="n">
        <v>90</v>
      </c>
      <c r="E21" s="58" t="n">
        <v>90</v>
      </c>
      <c r="F21" s="61" t="inlineStr"/>
      <c r="G21" s="59" t="inlineStr">
        <is>
          <t>INFO</t>
        </is>
      </c>
    </row>
    <row r="22" ht="18" customHeight="1">
      <c r="A22" s="58" t="n">
        <v>1</v>
      </c>
      <c r="B22" s="59" t="inlineStr">
        <is>
          <t>Écart de structure de l'export</t>
        </is>
      </c>
      <c r="C22" s="60" t="inlineStr">
        <is>
          <t>À vérifier</t>
        </is>
      </c>
      <c r="D22" s="58" t="n">
        <v>0</v>
      </c>
      <c r="E22" s="58" t="n">
        <v>0</v>
      </c>
      <c r="F22" s="61" t="inlineStr"/>
      <c r="G22" s="59" t="inlineStr">
        <is>
          <t>OK</t>
        </is>
      </c>
    </row>
    <row r="23" ht="18" customHeight="1">
      <c r="A23" s="58" t="n">
        <v>2</v>
      </c>
      <c r="B23" s="59" t="inlineStr">
        <is>
          <t>Ordre vide</t>
        </is>
      </c>
      <c r="C23" s="60" t="inlineStr">
        <is>
          <t>À vérifier</t>
        </is>
      </c>
      <c r="D23" s="58" t="n">
        <v>0</v>
      </c>
      <c r="E23" s="58" t="n">
        <v>0</v>
      </c>
      <c r="F23" s="61" t="inlineStr"/>
      <c r="G23" s="59" t="inlineStr">
        <is>
          <t>OK</t>
        </is>
      </c>
    </row>
    <row r="24" ht="18" customHeight="1">
      <c r="A24" s="58" t="n">
        <v>3</v>
      </c>
      <c r="B24" s="59" t="inlineStr">
        <is>
          <t>OT présent sur plusieurs lignes de l'export</t>
        </is>
      </c>
      <c r="C24" s="60" t="inlineStr">
        <is>
          <t>À vérifier</t>
        </is>
      </c>
      <c r="D24" s="58" t="n">
        <v>0</v>
      </c>
      <c r="E24" s="58" t="n">
        <v>0</v>
      </c>
      <c r="F24" s="61" t="inlineStr"/>
      <c r="G24" s="59" t="inlineStr">
        <is>
          <t>OK</t>
        </is>
      </c>
    </row>
    <row r="25" ht="18" customHeight="1">
      <c r="A25" s="58" t="n">
        <v>4</v>
      </c>
      <c r="B25" s="59" t="inlineStr">
        <is>
          <t>Poste technique vide</t>
        </is>
      </c>
      <c r="C25" s="60" t="inlineStr">
        <is>
          <t>À vérifier</t>
        </is>
      </c>
      <c r="D25" s="58" t="n">
        <v>0</v>
      </c>
      <c r="E25" s="58" t="n">
        <v>0</v>
      </c>
      <c r="F25" s="61" t="inlineStr"/>
      <c r="G25" s="59" t="inlineStr">
        <is>
          <t>OK</t>
        </is>
      </c>
    </row>
    <row r="26" ht="18" customHeight="1">
      <c r="A26" s="58" t="n">
        <v>5</v>
      </c>
      <c r="B26" s="59" t="inlineStr">
        <is>
          <t>Poste technique trop court</t>
        </is>
      </c>
      <c r="C26" s="60" t="inlineStr">
        <is>
          <t>À vérifier</t>
        </is>
      </c>
      <c r="D26" s="58" t="n">
        <v>0</v>
      </c>
      <c r="E26" s="58" t="n">
        <v>0</v>
      </c>
      <c r="F26" s="61" t="inlineStr"/>
      <c r="G26" s="59" t="inlineStr">
        <is>
          <t>OK</t>
        </is>
      </c>
    </row>
    <row r="27" ht="18" customHeight="1">
      <c r="A27" s="58" t="n">
        <v>6</v>
      </c>
      <c r="B27" s="59" t="inlineStr">
        <is>
          <t>Format du Poste technique inattendu</t>
        </is>
      </c>
      <c r="C27" s="60" t="inlineStr">
        <is>
          <t>À vérifier</t>
        </is>
      </c>
      <c r="D27" s="58" t="n">
        <v>0</v>
      </c>
      <c r="E27" s="58" t="n">
        <v>0</v>
      </c>
      <c r="F27" s="61" t="inlineStr"/>
      <c r="G27" s="59" t="inlineStr">
        <is>
          <t>OK</t>
        </is>
      </c>
    </row>
    <row r="28" ht="18" customHeight="1">
      <c r="A28" s="58" t="n">
        <v>7</v>
      </c>
      <c r="B28" s="59" t="inlineStr">
        <is>
          <t>Date début planifiée vide</t>
        </is>
      </c>
      <c r="C28" s="60" t="inlineStr">
        <is>
          <t>À vérifier</t>
        </is>
      </c>
      <c r="D28" s="58" t="n">
        <v>0</v>
      </c>
      <c r="E28" s="58" t="n">
        <v>0</v>
      </c>
      <c r="F28" s="61" t="inlineStr"/>
      <c r="G28" s="59" t="inlineStr">
        <is>
          <t>OK</t>
        </is>
      </c>
    </row>
    <row r="29" ht="18" customHeight="1">
      <c r="A29" s="58" t="n">
        <v>8</v>
      </c>
      <c r="B29" s="59" t="inlineStr">
        <is>
          <t>Date début planifiée illisible</t>
        </is>
      </c>
      <c r="C29" s="60" t="inlineStr">
        <is>
          <t>À vérifier</t>
        </is>
      </c>
      <c r="D29" s="58" t="n">
        <v>0</v>
      </c>
      <c r="E29" s="58" t="n">
        <v>0</v>
      </c>
      <c r="F29" s="61" t="inlineStr"/>
      <c r="G29" s="59" t="inlineStr">
        <is>
          <t>OK</t>
        </is>
      </c>
    </row>
    <row r="30" ht="18" customHeight="1">
      <c r="A30" s="58" t="n">
        <v>9</v>
      </c>
      <c r="B30" s="59" t="inlineStr">
        <is>
          <t>Activité vide</t>
        </is>
      </c>
      <c r="C30" s="60" t="inlineStr">
        <is>
          <t>À vérifier</t>
        </is>
      </c>
      <c r="D30" s="58" t="n">
        <v>0</v>
      </c>
      <c r="E30" s="58" t="n">
        <v>0</v>
      </c>
      <c r="F30" s="61" t="inlineStr"/>
      <c r="G30" s="59" t="inlineStr">
        <is>
          <t>OK</t>
        </is>
      </c>
    </row>
    <row r="31" ht="18" customHeight="1">
      <c r="A31" s="58" t="n">
        <v>10</v>
      </c>
      <c r="B31" s="59" t="inlineStr">
        <is>
          <t>Activité mal formée</t>
        </is>
      </c>
      <c r="C31" s="60" t="inlineStr">
        <is>
          <t>À vérifier</t>
        </is>
      </c>
      <c r="D31" s="58" t="n">
        <v>0</v>
      </c>
      <c r="E31" s="58" t="n">
        <v>0</v>
      </c>
      <c r="F31" s="61" t="inlineStr"/>
      <c r="G31" s="59" t="inlineStr">
        <is>
          <t>OK</t>
        </is>
      </c>
    </row>
    <row r="32" ht="18" customHeight="1">
      <c r="A32" s="58" t="n">
        <v>11</v>
      </c>
      <c r="B32" s="59" t="inlineStr">
        <is>
          <t>Activité inconnue du référentiel</t>
        </is>
      </c>
      <c r="C32" s="60" t="inlineStr">
        <is>
          <t>À vérifier</t>
        </is>
      </c>
      <c r="D32" s="58" t="n">
        <v>0</v>
      </c>
      <c r="E32" s="58" t="n">
        <v>0</v>
      </c>
      <c r="F32" s="61" t="inlineStr"/>
      <c r="G32" s="59" t="inlineStr">
        <is>
          <t>OK</t>
        </is>
      </c>
    </row>
    <row r="33" ht="18" customHeight="1">
      <c r="A33" s="58" t="n">
        <v>12</v>
      </c>
      <c r="B33" s="59" t="inlineStr">
        <is>
          <t>Couple Ordre + Activité en double</t>
        </is>
      </c>
      <c r="C33" s="60" t="inlineStr">
        <is>
          <t>Info</t>
        </is>
      </c>
      <c r="D33" s="58" t="n">
        <v>0</v>
      </c>
      <c r="E33" s="58" t="n">
        <v>0</v>
      </c>
      <c r="F33" s="61" t="inlineStr"/>
      <c r="G33" s="59" t="inlineStr">
        <is>
          <t>OK</t>
        </is>
      </c>
    </row>
    <row r="34" ht="18" customHeight="1">
      <c r="A34" s="58" t="n">
        <v>13</v>
      </c>
      <c r="B34" s="59" t="inlineStr">
        <is>
          <t>Site ou équipe vide</t>
        </is>
      </c>
      <c r="C34" s="60" t="inlineStr">
        <is>
          <t>À vérifier</t>
        </is>
      </c>
      <c r="D34" s="58" t="n">
        <v>0</v>
      </c>
      <c r="E34" s="58" t="n">
        <v>0</v>
      </c>
      <c r="F34" s="61" t="inlineStr"/>
      <c r="G34" s="59" t="inlineStr">
        <is>
          <t>OK</t>
        </is>
      </c>
    </row>
    <row r="35" ht="18" customHeight="1">
      <c r="A35" s="58" t="n">
        <v>14</v>
      </c>
      <c r="B35" s="59" t="inlineStr">
        <is>
          <t>Nouveau site</t>
        </is>
      </c>
      <c r="C35" s="60" t="inlineStr">
        <is>
          <t>À vérifier</t>
        </is>
      </c>
      <c r="D35" s="58" t="n">
        <v>0</v>
      </c>
      <c r="E35" s="58" t="n">
        <v>0</v>
      </c>
      <c r="F35" s="61" t="inlineStr"/>
      <c r="G35" s="59" t="inlineStr">
        <is>
          <t>OK</t>
        </is>
      </c>
    </row>
    <row r="36" ht="18" customHeight="1">
      <c r="A36" s="58" t="n">
        <v>15</v>
      </c>
      <c r="B36" s="59" t="inlineStr">
        <is>
          <t>Nouvelle équipe</t>
        </is>
      </c>
      <c r="C36" s="60" t="inlineStr">
        <is>
          <t>À vérifier</t>
        </is>
      </c>
      <c r="D36" s="58" t="n">
        <v>0</v>
      </c>
      <c r="E36" s="58" t="n">
        <v>0</v>
      </c>
      <c r="F36" s="61" t="inlineStr"/>
      <c r="G36" s="59" t="inlineStr">
        <is>
          <t>OK</t>
        </is>
      </c>
    </row>
    <row r="37" ht="18" customHeight="1">
      <c r="A37" s="58" t="n">
        <v>16</v>
      </c>
      <c r="B37" s="59" t="inlineStr">
        <is>
          <t>Type de travail autre que PRE</t>
        </is>
      </c>
      <c r="C37" s="60" t="inlineStr">
        <is>
          <t>Info</t>
        </is>
      </c>
      <c r="D37" s="58" t="n">
        <v>0</v>
      </c>
      <c r="E37" s="58" t="n">
        <v>0</v>
      </c>
      <c r="F37" s="61" t="inlineStr"/>
      <c r="G37" s="59" t="inlineStr">
        <is>
          <t>OK</t>
        </is>
      </c>
    </row>
  </sheetData>
  <mergeCells count="11">
    <mergeCell ref="C16:E16"/>
    <mergeCell ref="C11:E11"/>
    <mergeCell ref="C14:E14"/>
    <mergeCell ref="C13:E13"/>
    <mergeCell ref="C15:E15"/>
    <mergeCell ref="C8:E8"/>
    <mergeCell ref="C9:E9"/>
    <mergeCell ref="C7:E7"/>
    <mergeCell ref="C12:E12"/>
    <mergeCell ref="C6:E6"/>
    <mergeCell ref="C10:E10"/>
  </mergeCells>
  <conditionalFormatting sqref="G21:G80">
    <cfRule type="expression" priority="1" dxfId="0">
      <formula>G21="À VÉRIFIER"</formula>
    </cfRule>
    <cfRule type="expression" priority="2" dxfId="2">
      <formula>G21="INFO"</formula>
    </cfRule>
  </conditionalFormatting>
  <dataValidations count="3">
    <dataValidation sqref="C6" showDropDown="0" showInputMessage="0" showErrorMessage="1" allowBlank="0" errorTitle="Année" error="Saisir une année sur 4 chiffres." type="whole" operator="between">
      <formula1>2000</formula1>
      <formula2>2100</formula2>
    </dataValidation>
    <dataValidation sqref="C12" showDropDown="0" showInputMessage="0" showErrorMessage="1" allowBlank="0" errorTitle="Longueur" error="Nombre de caractères entre 1 et 50." type="whole" operator="between">
      <formula1>1</formula1>
      <formula2>50</formula2>
    </dataValidation>
    <dataValidation sqref="C13" showDropDown="0" showInputMessage="0" showErrorMessage="1" allowBlank="0" errorTitle="Séparateur" error="Un seul caractère, ou vide." type="textLength" operator="lessThanOrEqual">
      <formula1>1</formula1>
    </dataValidation>
  </dataValidations>
  <pageMargins left="0.4" right="0.4" top="0.5" bottom="0.5" header="0.5" footer="0.5"/>
  <pageSetup orientation="portrait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3DBDB"/>
    <outlinePr summaryBelow="1" summaryRight="1"/>
    <pageSetUpPr fitToPage="1"/>
  </sheetPr>
  <dimension ref="A1:C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46" customWidth="1" min="3" max="3"/>
  </cols>
  <sheetData>
    <row r="1" ht="30" customHeight="1">
      <c r="A1" s="1" t="inlineStr">
        <is>
          <t>Notice</t>
        </is>
      </c>
      <c r="B1" s="2" t="n"/>
      <c r="C1" s="4" t="inlineStr">
        <is>
          <t>PROTOTYPE V0.3</t>
        </is>
      </c>
    </row>
    <row r="2" ht="18" customHeight="1">
      <c r="A2" s="5" t="inlineStr">
        <is>
          <t>Prototype V0.3 de programmation préventive et de couverture OT.</t>
        </is>
      </c>
      <c r="B2" s="2" t="n"/>
      <c r="C2" s="2" t="n"/>
    </row>
    <row r="3" ht="3" customHeight="1">
      <c r="A3" s="8" t="n"/>
      <c r="B3" s="8" t="n"/>
      <c r="C3" s="8" t="n"/>
    </row>
    <row r="5" ht="22" customHeight="1">
      <c r="A5" s="62" t="inlineStr">
        <is>
          <t>En bref</t>
        </is>
      </c>
      <c r="B5" s="63" t="n"/>
      <c r="C5" s="63" t="n"/>
    </row>
    <row r="6" ht="33" customHeight="1">
      <c r="A6" s="64" t="inlineStr">
        <is>
          <t>Le produit est d'abord un outil de programmation et de suivi de la maintenance préventive par poste : Site → Équipe → Poste → Année → opérations prévues (01_PLAN_PREVENTIF).</t>
        </is>
      </c>
    </row>
    <row r="7" ht="33" customHeight="1">
      <c r="A7" s="64" t="inlineStr">
        <is>
          <t>La couche OT GMAO (02_COUVERTURE_OT) répond en complément à : « les OT préventifs correspondant à ce que je dois faire sont-ils bien présents dans la GMAO ? ». Ce n'est pas un suivi de tous les OT : ni statuts, ni retards, ni clôtures.</t>
        </is>
      </c>
    </row>
    <row r="8" ht="19.5" customHeight="1">
      <c r="A8" s="64" t="inlineStr">
        <is>
          <t>Données 100 % fictives. La GMAO reste la source officielle : ne jamais corriger les données dans ce fichier.</t>
        </is>
      </c>
    </row>
    <row r="10" ht="22" customHeight="1">
      <c r="A10" s="62" t="inlineStr">
        <is>
          <t>Onglets</t>
        </is>
      </c>
      <c r="B10" s="63" t="n"/>
      <c r="C10" s="63" t="n"/>
    </row>
    <row r="11">
      <c r="A11" s="65" t="inlineStr">
        <is>
          <t>Onglet</t>
        </is>
      </c>
      <c r="B11" s="65" t="inlineStr">
        <is>
          <t>Contenu</t>
        </is>
      </c>
      <c r="C11" s="65" t="inlineStr">
        <is>
          <t>Mise à jour</t>
        </is>
      </c>
    </row>
    <row r="12" ht="33" customHeight="1">
      <c r="A12" s="66" t="inlineStr">
        <is>
          <t>01_PLAN_PREVENTIF</t>
        </is>
      </c>
      <c r="B12" s="64" t="inlineStr">
        <is>
          <t>Plan pluriannuel : une ligne par poste et opération, une colonne par année.</t>
        </is>
      </c>
      <c r="C12" s="64" t="inlineStr">
        <is>
          <t>Consultation.</t>
        </is>
      </c>
    </row>
    <row r="13" ht="33" customHeight="1">
      <c r="A13" s="66" t="inlineStr">
        <is>
          <t>02_COUVERTURE_OT</t>
        </is>
      </c>
      <c r="B13" s="64" t="inlineStr">
        <is>
          <t>Nombre d'OT distincts par année, site, équipe, poste et activité.</t>
        </is>
      </c>
      <c r="C13" s="64" t="inlineStr">
        <is>
          <t>Power Query (OT_Couverture).</t>
        </is>
      </c>
    </row>
    <row r="14" ht="33" customHeight="1">
      <c r="A14" s="66" t="inlineStr">
        <is>
          <t>03_DETAIL_PROGRAMME</t>
        </is>
      </c>
      <c r="B14" s="64" t="inlineStr">
        <is>
          <t>Programme préventif normalisé (T_Programme), une ligne par opération et par année.</t>
        </is>
      </c>
      <c r="C14" s="64" t="inlineStr">
        <is>
          <t>Remplacé à chaque import du programme.</t>
        </is>
      </c>
    </row>
    <row r="15" ht="33" customHeight="1">
      <c r="A15" s="66" t="inlineStr">
        <is>
          <t>04_DETAIL_OT</t>
        </is>
      </c>
      <c r="B15" s="64" t="inlineStr">
        <is>
          <t>OT GMAO normalisés : une ligne par couple Ordre × Activité atomique.</t>
        </is>
      </c>
      <c r="C15" s="64" t="inlineStr">
        <is>
          <t>Power Query (OT_Detail).</t>
        </is>
      </c>
    </row>
    <row r="16" ht="33" customHeight="1">
      <c r="A16" s="66" t="inlineStr">
        <is>
          <t>05_REFERENTIEL</t>
        </is>
      </c>
      <c r="B16" s="64" t="inlineStr">
        <is>
          <t>Types du programme, activités GMAO, sites et équipes connus, correspondance des postes.</t>
        </is>
      </c>
      <c r="C16" s="64" t="inlineStr">
        <is>
          <t>Référent données.</t>
        </is>
      </c>
    </row>
    <row r="17" ht="19.5" customHeight="1">
      <c r="A17" s="66" t="inlineStr">
        <is>
          <t>06_AVIS_UTILISATEURS</t>
        </is>
      </c>
      <c r="B17" s="64" t="inlineStr">
        <is>
          <t>Recueil des retours, une ligne par remarque.</t>
        </is>
      </c>
      <c r="C17" s="64" t="inlineStr">
        <is>
          <t>Tous les testeurs.</t>
        </is>
      </c>
    </row>
    <row r="18" ht="19.5" customHeight="1">
      <c r="A18" s="66" t="inlineStr">
        <is>
          <t>07_POINTS_A_VALIDER</t>
        </is>
      </c>
      <c r="B18" s="64" t="inlineStr">
        <is>
          <t>Questions métier à trancher.</t>
        </is>
      </c>
      <c r="C18" s="64" t="inlineStr">
        <is>
          <t>Équipe projet.</t>
        </is>
      </c>
    </row>
    <row r="19" ht="33" customHeight="1">
      <c r="A19" s="66" t="inlineStr">
        <is>
          <t>08_PARAMETRES</t>
        </is>
      </c>
      <c r="B19" s="64" t="inlineStr">
        <is>
          <t>Année, emplacement de l'extraction, règle du code poste, contrôles de l'import.</t>
        </is>
      </c>
      <c r="C19" s="64" t="inlineStr">
        <is>
          <t>Cellules blanches seulement.</t>
        </is>
      </c>
    </row>
    <row r="20" ht="19.5" customHeight="1">
      <c r="A20" s="66" t="inlineStr">
        <is>
          <t>09_NOTICE</t>
        </is>
      </c>
      <c r="B20" s="64" t="inlineStr">
        <is>
          <t>Ce mode d'emploi.</t>
        </is>
      </c>
      <c r="C20" s="64" t="inlineStr"/>
    </row>
    <row r="21" ht="33" customHeight="1">
      <c r="A21" s="66" t="inlineStr">
        <is>
          <t>10_CODE_M</t>
        </is>
      </c>
      <c r="B21" s="64" t="inlineStr">
        <is>
          <t>Code M des trois requêtes, à coller une seule fois (voir « Installer Power Query »).</t>
        </is>
      </c>
      <c r="C21" s="64" t="inlineStr"/>
    </row>
    <row r="23" ht="22" customHeight="1">
      <c r="A23" s="62" t="inlineStr">
        <is>
          <t>Règles de l'import GMAO</t>
        </is>
      </c>
      <c r="B23" s="63" t="n"/>
      <c r="C23" s="63" t="n"/>
    </row>
    <row r="24">
      <c r="A24" s="65" t="inlineStr">
        <is>
          <t>Règle</t>
        </is>
      </c>
      <c r="B24" s="65" t="inlineStr">
        <is>
          <t>Ce que fait l'import</t>
        </is>
      </c>
      <c r="C24" s="65" t="inlineStr">
        <is>
          <t>Cas particuliers</t>
        </is>
      </c>
    </row>
    <row r="25" ht="33" customHeight="1">
      <c r="A25" s="66" t="inlineStr">
        <is>
          <t>Site / Équipe</t>
        </is>
      </c>
      <c r="B25" s="64" t="inlineStr">
        <is>
          <t>Site = « Groupe gestionnaires » ; Équipe = « Poste travail princ. ».</t>
        </is>
      </c>
      <c r="C25" s="64" t="inlineStr">
        <is>
          <t>Correspondances observées lors du test manuel.</t>
        </is>
      </c>
    </row>
    <row r="26" ht="46.5" customHeight="1">
      <c r="A26" s="66" t="inlineStr">
        <is>
          <t>Code poste</t>
        </is>
      </c>
      <c r="B26" s="64" t="inlineStr">
        <is>
          <t>9 premiers caractères du « Poste technique » (Excel : =GAUCHE(Poste technique;9) ; Power Query : Text.Start([Poste technique], 9)). Longueur réglable dans 08.</t>
        </is>
      </c>
      <c r="C26" s="64" t="inlineStr">
        <is>
          <t>Poste vide, trop court ou de format inattendu : ligne gardée et signalée.</t>
        </is>
      </c>
    </row>
    <row r="27" ht="33" customHeight="1">
      <c r="A27" s="66" t="inlineStr">
        <is>
          <t>Année planifiée</t>
        </is>
      </c>
      <c r="B27" s="64" t="inlineStr">
        <is>
          <t>Année de la « Date début planifiée ».</t>
        </is>
      </c>
      <c r="C27" s="64" t="inlineStr">
        <is>
          <t>Date vide ou illisible : ligne gardée et signalée.</t>
        </is>
      </c>
    </row>
    <row r="28" ht="33" customHeight="1">
      <c r="A28" s="66" t="inlineStr">
        <is>
          <t>Activité</t>
        </is>
      </c>
      <c r="B28" s="64" t="inlineStr">
        <is>
          <t>Découpée sur « + », espaces retirés, en majuscules : « EC+PIS+FILTRE » donne 3 lignes (EC, PIS, FILTRE).</t>
        </is>
      </c>
      <c r="C28" s="64" t="inlineStr">
        <is>
          <t>Activité vide, mal formée ou inconnue du référentiel : signalée.</t>
        </is>
      </c>
    </row>
    <row r="29" ht="33" customHeight="1">
      <c r="A29" s="66" t="inlineStr">
        <is>
          <t>Doublons</t>
        </is>
      </c>
      <c r="B29" s="64" t="inlineStr">
        <is>
          <t>Un même couple Ordre + Activité n'est gardé qu'une fois ; la ligne gardée indique les lignes de l'export regroupées.</t>
        </is>
      </c>
      <c r="C29" s="64" t="inlineStr">
        <is>
          <t>Signalé : « Couple Ordre + Activité en double ».</t>
        </is>
      </c>
    </row>
    <row r="30" ht="46.5" customHeight="1">
      <c r="A30" s="66" t="inlineStr">
        <is>
          <t>Comptage</t>
        </is>
      </c>
      <c r="B30" s="64" t="inlineStr">
        <is>
          <t>Couverture = nombre d'OT DISTINCTS (numéro d'Ordre) par année, site, équipe, poste et activité.</t>
        </is>
      </c>
      <c r="C30" s="64" t="inlineStr">
        <is>
          <t>Un tableau croisé sur 04_DETAIL_OT peut utiliser « Nombre » : chaque couple n'y figure qu'une fois.</t>
        </is>
      </c>
    </row>
    <row r="31" ht="46.5" customHeight="1">
      <c r="A31" s="66" t="inlineStr">
        <is>
          <t>Colonnes</t>
        </is>
      </c>
      <c r="B31" s="64" t="inlineStr">
        <is>
          <t>Les 24 en-têtes de l'extraction sont repris tels quels (espaces de fin retirés, ex. « Typologie »).</t>
        </is>
      </c>
      <c r="C31" s="64" t="inlineStr">
        <is>
          <t>6 obligatoires : si l'une manque, l'actualisation s'arrête avec un message qui la nomme.</t>
        </is>
      </c>
    </row>
    <row r="33" ht="22" customHeight="1">
      <c r="A33" s="62" t="inlineStr">
        <is>
          <t>Installer Power Query (une seule fois, Excel Desktop sous Windows)</t>
        </is>
      </c>
      <c r="B33" s="63" t="n"/>
      <c r="C33" s="63" t="n"/>
    </row>
    <row r="34" ht="33" customHeight="1">
      <c r="A34" s="64" t="inlineStr">
        <is>
          <t>1. Enregistrer ce classeur sur le poste, dans le dossier de l'extraction GMAO. Dans 08_PARAMETRES, vérifier le nom du fichier (ou saisir son chemin complet).</t>
        </is>
      </c>
    </row>
    <row r="35" ht="33" customHeight="1">
      <c r="A35" s="64" t="inlineStr">
        <is>
          <t>2. Données › Obtenir des données › À partir d'autres sources › Requête vide. Accueil › Éditeur avancé : coller le code de OT_Detail (fichier OT_Detail.pq ou onglet 10_CODE_M), OK. Renommer la requête « OT_Detail » (volet Paramètres d'une requête › Nom).</t>
        </is>
      </c>
    </row>
    <row r="36" ht="33" customHeight="1">
      <c r="A36" s="64" t="inlineStr">
        <is>
          <t>3. Recommencer avec OT_Couverture, puis OT_Controles (noms exacts : les requêtes s'appellent entre elles). Puis Accueil › Fermer et charger dans… › Créer uniquement la connexion.</t>
        </is>
      </c>
    </row>
    <row r="37" ht="33" customHeight="1">
      <c r="A37" s="64" t="inlineStr">
        <is>
          <t>4. Effacer les instantanés de démonstration : 04_DETAIL_OT, 02_COUVERTURE_OT à partir de A8 et 08_PARAMETRES à partir de A20 (Données › Filtrer pour retirer les flèches, puis sélection et Suppr).</t>
        </is>
      </c>
    </row>
    <row r="38" ht="33" customHeight="1">
      <c r="A38" s="64" t="inlineStr">
        <is>
          <t>5. Volet Requêtes et connexions : clic droit › Charger dans… › Tableau › Feuille de calcul existante : OT_Detail en ='04_DETAIL_OT'!$A$1, OT_Couverture en ='02_COUVERTURE_OT'!$A$8, OT_Controles en ='08_PARAMETRES'!$A$20.</t>
        </is>
      </c>
    </row>
    <row r="39" ht="46.5" customHeight="1">
      <c r="A39" s="64" t="inlineStr">
        <is>
          <t>Si Excel demande les niveaux de confidentialité, choisir « Organisationnel » pour le classeur et pour le fichier. Message « Formula.Firewall » : Données › Obtenir des données › Options de requête › Classeur actif › Confidentialité › Ignorer les niveaux de confidentialité (si la politique interne l'autorise).</t>
        </is>
      </c>
    </row>
    <row r="41" ht="22" customHeight="1">
      <c r="A41" s="62" t="inlineStr">
        <is>
          <t>Actualiser (à chaque nouvelle extraction)</t>
        </is>
      </c>
      <c r="B41" s="63" t="n"/>
      <c r="C41" s="63" t="n"/>
    </row>
    <row r="42" ht="33" customHeight="1">
      <c r="A42" s="64" t="inlineStr">
        <is>
          <t>Remplacer le fichier d'extraction (même nom, ou nouveau nom dans 08_PARAMETRES), puis Données › Actualiser tout. Détail, couverture, contrôles et indicateurs se mettent à jour, y compris pour un nouvel OT, une nouvelle année, activité, site ou équipe.</t>
        </is>
      </c>
    </row>
    <row r="43" ht="33" customHeight="1">
      <c r="A43" s="64" t="inlineStr">
        <is>
          <t>Lire ensuite les contrôles (08_PARAMETRES) : tout statut « À VÉRIFIER » se filtre dans 04_DETAIL_OT, colonne « Contrôle qualité ». Ajouter au référentiel (05) un site, une équipe ou une activité validés.</t>
        </is>
      </c>
    </row>
    <row r="44" ht="33" customHeight="1">
      <c r="A44" s="64" t="inlineStr">
        <is>
          <t>Programme préventif : remplacer les lignes de 03_DETAIL_PROGRAMME, puis lire le contrôle de la ligne 6 de 01_PLAN_PREVENTIF. En V0.3, une nouvelle combinaison poste / opération demande de régénérer la vue (outils/construire_prototype_v03.py).</t>
        </is>
      </c>
    </row>
    <row r="46" ht="22" customHeight="1">
      <c r="A46" s="62" t="inlineStr">
        <is>
          <t>Power BI et comparaison future</t>
        </is>
      </c>
      <c r="B46" s="63" t="n"/>
      <c r="C46" s="63" t="n"/>
    </row>
    <row r="47" ht="33" customHeight="1">
      <c r="A47" s="64" t="inlineStr">
        <is>
          <t>Tables plates prêtes pour Power BI : T_Programme (03), le détail OT (04), T_Referentiel, T_Ref_Activites, T_Ref_Sites (05). La couverture (02) se recalcule dans Power BI par un nombre distinct d'Ordre.</t>
        </is>
      </c>
    </row>
    <row r="48" ht="33" customHeight="1">
      <c r="A48" s="64" t="inlineStr">
        <is>
          <t>Comparaison prévu / OT (prévu + OT présent, prévu sans OT, OT hors programme) : préparée mais pas activée. Il faut d'abord valider la clé de rapprochement (T_Correspondance_Postes et correspondance des activités, onglet 05).</t>
        </is>
      </c>
    </row>
  </sheetData>
  <mergeCells count="14">
    <mergeCell ref="A42:C42"/>
    <mergeCell ref="A36:C36"/>
    <mergeCell ref="A44:C44"/>
    <mergeCell ref="A47:C47"/>
    <mergeCell ref="A37:C37"/>
    <mergeCell ref="A8:C8"/>
    <mergeCell ref="A6:C6"/>
    <mergeCell ref="A39:C39"/>
    <mergeCell ref="A34:C34"/>
    <mergeCell ref="A35:C35"/>
    <mergeCell ref="A7:C7"/>
    <mergeCell ref="A48:C48"/>
    <mergeCell ref="A43:C43"/>
    <mergeCell ref="A38:C38"/>
  </mergeCells>
  <pageMargins left="0.4" right="0.4" top="0.5" bottom="0.5" header="0.5" footer="0.5"/>
  <pageSetup orientation="portrait" paperSize="9" fitToHeight="0" fitToWidth="1"/>
  <headerFooter>
    <oddHeader/>
    <oddFooter>&amp;L&amp;8 Prototype V0.3 – données fictives – la GMAO reste la source de référence&amp;R&amp;8 &amp;A – 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D3DBDB"/>
    <outlinePr summaryBelow="1" summaryRight="1"/>
    <pageSetUpPr/>
  </sheetPr>
  <dimension ref="A1:A385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 ht="30" customHeight="1">
      <c r="A1" s="1" t="inlineStr">
        <is>
          <t>Code M des requêtes Power Query</t>
        </is>
      </c>
    </row>
    <row r="2" ht="18" customHeight="1">
      <c r="A2" s="5" t="inlineStr">
        <is>
          <t>Copier un bloc (cellules de la colonne A, de « let » à la dernière ligne) dans l'Éditeur avancé.</t>
        </is>
      </c>
    </row>
    <row r="3" ht="3" customHeight="1">
      <c r="A3" s="8" t="n"/>
    </row>
    <row r="5">
      <c r="A5" s="62" t="inlineStr">
        <is>
          <t>Requête « OT_Detail » – fichier OT_Detail.pq – chargement : 04_DETAIL_OT!A1</t>
        </is>
      </c>
    </row>
    <row r="6" ht="13" customHeight="1">
      <c r="A6" s="67" t="inlineStr">
        <is>
          <t>// =====================================================================</t>
        </is>
      </c>
    </row>
    <row r="7" ht="13" customHeight="1">
      <c r="A7" s="67" t="inlineStr">
        <is>
          <t>// OT_Detail - import et normalisation de l'extraction GMAO (OT préventifs)</t>
        </is>
      </c>
    </row>
    <row r="8" ht="13" customHeight="1">
      <c r="A8" s="67" t="inlineStr">
        <is>
          <t>// Résultat : une ligne par couple Ordre x Activité atomique, sans doublon.</t>
        </is>
      </c>
    </row>
    <row r="9" ht="13" customHeight="1">
      <c r="A9" s="67" t="inlineStr">
        <is>
          <t>// Chargement : tableau dans l'onglet 04_DETAIL_OT, cellule A1.</t>
        </is>
      </c>
    </row>
    <row r="10" ht="13" customHeight="1">
      <c r="A10" s="67" t="inlineStr">
        <is>
          <t>// Paramètres (08_PARAMETRES) : P_CheminSource, P_FeuilleSource,</t>
        </is>
      </c>
    </row>
    <row r="11" ht="13" customHeight="1">
      <c r="A11" s="67" t="inlineStr">
        <is>
          <t>//   P_LongueurCodePoste, P_SeparateurCodePoste.</t>
        </is>
      </c>
    </row>
    <row r="12" ht="13" customHeight="1">
      <c r="A12" s="67" t="inlineStr">
        <is>
          <t>// Référentiels (05_REFERENTIEL) : T_Ref_Activites, T_Ref_Sites.</t>
        </is>
      </c>
    </row>
    <row r="13" ht="13" customHeight="1">
      <c r="A13" s="67" t="inlineStr">
        <is>
          <t>// =====================================================================</t>
        </is>
      </c>
    </row>
    <row r="14" ht="13" customHeight="1">
      <c r="A14" s="67" t="inlineStr">
        <is>
          <t>let</t>
        </is>
      </c>
    </row>
    <row r="15" ht="13" customHeight="1">
      <c r="A15" s="67" t="inlineStr">
        <is>
          <t xml:space="preserve">    // 1. Entrées du classeur et fichier GMAO, lus dans une seule étape</t>
        </is>
      </c>
    </row>
    <row r="16" ht="13" customHeight="1">
      <c r="A16" s="67" t="inlineStr">
        <is>
          <t xml:space="preserve">    Entrees =</t>
        </is>
      </c>
    </row>
    <row r="17" ht="13" customHeight="1">
      <c r="A17" s="67" t="inlineStr">
        <is>
          <t xml:space="preserve">        let</t>
        </is>
      </c>
    </row>
    <row r="18" ht="13" customHeight="1">
      <c r="A18" s="67" t="inlineStr">
        <is>
          <t xml:space="preserve">            Lire = (nom as text) as any =&gt;</t>
        </is>
      </c>
    </row>
    <row r="19" ht="13" customHeight="1">
      <c r="A19" s="67" t="inlineStr">
        <is>
          <t xml:space="preserve">                let</t>
        </is>
      </c>
    </row>
    <row r="20" ht="13" customHeight="1">
      <c r="A20" s="67" t="inlineStr">
        <is>
          <t xml:space="preserve">                    Contenu = Excel.CurrentWorkbook(){[Name = nom]}[Content]</t>
        </is>
      </c>
    </row>
    <row r="21" ht="13" customHeight="1">
      <c r="A21" s="67" t="inlineStr">
        <is>
          <t xml:space="preserve">                in</t>
        </is>
      </c>
    </row>
    <row r="22" ht="13" customHeight="1">
      <c r="A22" s="67" t="inlineStr">
        <is>
          <t xml:space="preserve">                    if Table.RowCount(Contenu) = 0 then null else Contenu{0}[Column1],</t>
        </is>
      </c>
    </row>
    <row r="23" ht="13" customHeight="1">
      <c r="A23" s="67" t="inlineStr">
        <is>
          <t xml:space="preserve">            Nettoyer = (v as any) as text =&gt; if v = null then "" else Text.Trim(Text.From(v)),</t>
        </is>
      </c>
    </row>
    <row r="24" ht="13" customHeight="1">
      <c r="A24" s="67" t="inlineStr">
        <is>
          <t xml:space="preserve">            CheminLu = Nettoyer(Lire("P_CheminSource")),</t>
        </is>
      </c>
    </row>
    <row r="25" ht="13" customHeight="1">
      <c r="A25" s="67" t="inlineStr">
        <is>
          <t xml:space="preserve">            LongueurLue = Lire("P_LongueurCodePoste")</t>
        </is>
      </c>
    </row>
    <row r="26" ht="13" customHeight="1">
      <c r="A26" s="67" t="inlineStr">
        <is>
          <t xml:space="preserve">        in</t>
        </is>
      </c>
    </row>
    <row r="27" ht="13" customHeight="1">
      <c r="A27" s="67" t="inlineStr">
        <is>
          <t xml:space="preserve">            [</t>
        </is>
      </c>
    </row>
    <row r="28" ht="13" customHeight="1">
      <c r="A28" s="67" t="inlineStr">
        <is>
          <t xml:space="preserve">                Chemin = CheminLu,</t>
        </is>
      </c>
    </row>
    <row r="29" ht="13" customHeight="1">
      <c r="A29" s="67" t="inlineStr">
        <is>
          <t xml:space="preserve">                Feuille = Nettoyer(Lire("P_FeuilleSource")),</t>
        </is>
      </c>
    </row>
    <row r="30" ht="13" customHeight="1">
      <c r="A30" s="67" t="inlineStr">
        <is>
          <t xml:space="preserve">                Longueur = if LongueurLue = null then 9 else Number.RoundDown(Number.From(LongueurLue)),</t>
        </is>
      </c>
    </row>
    <row r="31" ht="13" customHeight="1">
      <c r="A31" s="67" t="inlineStr">
        <is>
          <t xml:space="preserve">                Separateur = Nettoyer(Lire("P_SeparateurCodePoste")),</t>
        </is>
      </c>
    </row>
    <row r="32" ht="13" customHeight="1">
      <c r="A32" s="67" t="inlineStr">
        <is>
          <t xml:space="preserve">                RefActivites = Table.Buffer(Excel.CurrentWorkbook(){[Name = "T_Ref_Activites"]}[Content]),</t>
        </is>
      </c>
    </row>
    <row r="33" ht="13" customHeight="1">
      <c r="A33" s="67" t="inlineStr">
        <is>
          <t xml:space="preserve">                RefSites = Table.Buffer(Excel.CurrentWorkbook(){[Name = "T_Ref_Sites"]}[Content]),</t>
        </is>
      </c>
    </row>
    <row r="34" ht="13" customHeight="1">
      <c r="A34" s="67" t="inlineStr">
        <is>
          <t xml:space="preserve">                Binaire =</t>
        </is>
      </c>
    </row>
    <row r="35" ht="13" customHeight="1">
      <c r="A35" s="67" t="inlineStr">
        <is>
          <t xml:space="preserve">                    if CheminLu = "" then</t>
        </is>
      </c>
    </row>
    <row r="36" ht="13" customHeight="1">
      <c r="A36" s="67" t="inlineStr">
        <is>
          <t xml:space="preserve">                        error Error.Record(</t>
        </is>
      </c>
    </row>
    <row r="37" ht="13" customHeight="1">
      <c r="A37" s="67" t="inlineStr">
        <is>
          <t xml:space="preserve">                            "Paramètre manquant",</t>
        </is>
      </c>
    </row>
    <row r="38" ht="13" customHeight="1">
      <c r="A38" s="67" t="inlineStr">
        <is>
          <t xml:space="preserve">                            "08_PARAMETRES : le chemin de l'extraction GMAO (P_CheminSource) est vide.")</t>
        </is>
      </c>
    </row>
    <row r="39" ht="13" customHeight="1">
      <c r="A39" s="67" t="inlineStr">
        <is>
          <t xml:space="preserve">                    else</t>
        </is>
      </c>
    </row>
    <row r="40" ht="13" customHeight="1">
      <c r="A40" s="67" t="inlineStr">
        <is>
          <t xml:space="preserve">                        Binary.Buffer(File.Contents(CheminLu))</t>
        </is>
      </c>
    </row>
    <row r="41" ht="13" customHeight="1">
      <c r="A41" s="67" t="inlineStr">
        <is>
          <t xml:space="preserve">            ],</t>
        </is>
      </c>
    </row>
    <row r="42" ht="13" customHeight="1">
      <c r="A42" s="67" t="n"/>
    </row>
    <row r="43" ht="13" customHeight="1">
      <c r="A43" s="67" t="inlineStr">
        <is>
          <t xml:space="preserve">    // 2. Lecture : CSV (séparateur ;) ou classeur Excel (feuille P_FeuilleSource, sinon la première)</t>
        </is>
      </c>
    </row>
    <row r="44" ht="13" customHeight="1">
      <c r="A44" s="67" t="inlineStr">
        <is>
          <t xml:space="preserve">    CheminMinuscule = Text.Lower(Entrees[Chemin]),</t>
        </is>
      </c>
    </row>
    <row r="45" ht="13" customHeight="1">
      <c r="A45" s="67" t="inlineStr">
        <is>
          <t xml:space="preserve">    EstTexte = Text.EndsWith(CheminMinuscule, ".csv") or Text.EndsWith(CheminMinuscule, ".txt"),</t>
        </is>
      </c>
    </row>
    <row r="46" ht="13" customHeight="1">
      <c r="A46" s="67" t="inlineStr">
        <is>
          <t xml:space="preserve">    Brut =</t>
        </is>
      </c>
    </row>
    <row r="47" ht="13" customHeight="1">
      <c r="A47" s="67" t="inlineStr">
        <is>
          <t xml:space="preserve">        if EstTexte then</t>
        </is>
      </c>
    </row>
    <row r="48" ht="13" customHeight="1">
      <c r="A48" s="67" t="inlineStr">
        <is>
          <t xml:space="preserve">            Table.PromoteHeaders(</t>
        </is>
      </c>
    </row>
    <row r="49" ht="13" customHeight="1">
      <c r="A49" s="67" t="inlineStr">
        <is>
          <t xml:space="preserve">                Csv.Document(Entrees[Binaire], [Delimiter = ";", Encoding = 65001, QuoteStyle = QuoteStyle.Csv]),</t>
        </is>
      </c>
    </row>
    <row r="50" ht="13" customHeight="1">
      <c r="A50" s="67" t="inlineStr">
        <is>
          <t xml:space="preserve">                [PromoteAllScalars = true])</t>
        </is>
      </c>
    </row>
    <row r="51" ht="13" customHeight="1">
      <c r="A51" s="67" t="inlineStr">
        <is>
          <t xml:space="preserve">        else</t>
        </is>
      </c>
    </row>
    <row r="52" ht="13" customHeight="1">
      <c r="A52" s="67" t="inlineStr">
        <is>
          <t xml:space="preserve">            let</t>
        </is>
      </c>
    </row>
    <row r="53" ht="13" customHeight="1">
      <c r="A53" s="67" t="inlineStr">
        <is>
          <t xml:space="preserve">                Classeur = Excel.Workbook(Entrees[Binaire], null, true),</t>
        </is>
      </c>
    </row>
    <row r="54" ht="13" customHeight="1">
      <c r="A54" s="67" t="inlineStr">
        <is>
          <t xml:space="preserve">                Feuilles = Table.SelectRows(Classeur, each [Kind] = "Sheet"),</t>
        </is>
      </c>
    </row>
    <row r="55" ht="13" customHeight="1">
      <c r="A55" s="67" t="inlineStr">
        <is>
          <t xml:space="preserve">                Choix =</t>
        </is>
      </c>
    </row>
    <row r="56" ht="13" customHeight="1">
      <c r="A56" s="67" t="inlineStr">
        <is>
          <t xml:space="preserve">                    if Entrees[Feuille] = "" then Feuilles</t>
        </is>
      </c>
    </row>
    <row r="57" ht="13" customHeight="1">
      <c r="A57" s="67" t="inlineStr">
        <is>
          <t xml:space="preserve">                    else Table.SelectRows(Feuilles, each [Item] = Entrees[Feuille]),</t>
        </is>
      </c>
    </row>
    <row r="58" ht="13" customHeight="1">
      <c r="A58" s="67" t="inlineStr">
        <is>
          <t xml:space="preserve">                Donnees =</t>
        </is>
      </c>
    </row>
    <row r="59" ht="13" customHeight="1">
      <c r="A59" s="67" t="inlineStr">
        <is>
          <t xml:space="preserve">                    if Table.RowCount(Choix) = 0 then</t>
        </is>
      </c>
    </row>
    <row r="60" ht="13" customHeight="1">
      <c r="A60" s="67" t="inlineStr">
        <is>
          <t xml:space="preserve">                        error Error.Record(</t>
        </is>
      </c>
    </row>
    <row r="61" ht="13" customHeight="1">
      <c r="A61" s="67" t="inlineStr">
        <is>
          <t xml:space="preserve">                            "Feuille introuvable",</t>
        </is>
      </c>
    </row>
    <row r="62" ht="13" customHeight="1">
      <c r="A62" s="67" t="inlineStr">
        <is>
          <t xml:space="preserve">                            "Aucune feuille « " &amp; Entrees[Feuille] &amp; " » dans l'extraction GMAO.")</t>
        </is>
      </c>
    </row>
    <row r="63" ht="13" customHeight="1">
      <c r="A63" s="67" t="inlineStr">
        <is>
          <t xml:space="preserve">                    else</t>
        </is>
      </c>
    </row>
    <row r="64" ht="13" customHeight="1">
      <c r="A64" s="67" t="inlineStr">
        <is>
          <t xml:space="preserve">                        Choix{0}[Data]</t>
        </is>
      </c>
    </row>
    <row r="65" ht="13" customHeight="1">
      <c r="A65" s="67" t="inlineStr">
        <is>
          <t xml:space="preserve">            in</t>
        </is>
      </c>
    </row>
    <row r="66" ht="13" customHeight="1">
      <c r="A66" s="67" t="inlineStr">
        <is>
          <t xml:space="preserve">                Table.PromoteHeaders(Donnees, [PromoteAllScalars = true]),</t>
        </is>
      </c>
    </row>
    <row r="67" ht="13" customHeight="1">
      <c r="A67" s="67" t="n"/>
    </row>
    <row r="68" ht="13" customHeight="1">
      <c r="A68" s="67" t="inlineStr">
        <is>
          <t xml:space="preserve">    // 3. En-têtes : espaces de début et de fin retirés (ex. « Typologie » exporté avec un espace final)</t>
        </is>
      </c>
    </row>
    <row r="69" ht="13" customHeight="1">
      <c r="A69" s="67" t="inlineStr">
        <is>
          <t xml:space="preserve">    EnTetes = Table.TransformColumnNames(Brut, each Text.Trim(Text.Replace(_, "#(FEFF)", ""))),</t>
        </is>
      </c>
    </row>
    <row r="70" ht="13" customHeight="1">
      <c r="A70" s="67" t="n"/>
    </row>
    <row r="71" ht="13" customHeight="1">
      <c r="A71" s="67" t="inlineStr">
        <is>
          <t xml:space="preserve">    // 4. Structure : 6 colonnes obligatoires (sinon erreur explicite), 24 colonnes attendues</t>
        </is>
      </c>
    </row>
    <row r="72" ht="13" customHeight="1">
      <c r="A72" s="67" t="inlineStr">
        <is>
          <t xml:space="preserve">    Obligatoires = {"Ordre", "Poste technique", "Date début planifiée", "Activité",</t>
        </is>
      </c>
    </row>
    <row r="73" ht="13" customHeight="1">
      <c r="A73" s="67" t="inlineStr">
        <is>
          <t xml:space="preserve">        "Groupe gestionnaires", "Poste travail princ."},</t>
        </is>
      </c>
    </row>
    <row r="74" ht="13" customHeight="1">
      <c r="A74" s="67" t="inlineStr">
        <is>
          <t xml:space="preserve">    Attendues = {"Créé le", "Ordre", "Ordre supérieur", "Type d'ordre", "Type de travail", "Avis",</t>
        </is>
      </c>
    </row>
    <row r="75" ht="13" customHeight="1">
      <c r="A75" s="67" t="inlineStr">
        <is>
          <t xml:space="preserve">        "Désignation", "Statut utilisateur", "Statut système", "Saisi par", "Total coûts réels",</t>
        </is>
      </c>
    </row>
    <row r="76" ht="13" customHeight="1">
      <c r="A76" s="67" t="inlineStr">
        <is>
          <t xml:space="preserve">        "Poste travail princ.", "Groupe gestionnaires", "Secteur exploitation", "Date début planifiée",</t>
        </is>
      </c>
    </row>
    <row r="77" ht="13" customHeight="1">
      <c r="A77" s="67" t="inlineStr">
        <is>
          <t xml:space="preserve">        "Code site", "Poste technique", "Désign.poste techn.", "Équipement", "Groupe de gamme principale",</t>
        </is>
      </c>
    </row>
    <row r="78" ht="13" customHeight="1">
      <c r="A78" s="67" t="inlineStr">
        <is>
          <t xml:space="preserve">        "Compteur de groupe de gamme principale", "Date modif. fiche ordre", "Typologie", "Activité"},</t>
        </is>
      </c>
    </row>
    <row r="79" ht="13" customHeight="1">
      <c r="A79" s="67" t="inlineStr">
        <is>
          <t xml:space="preserve">    Presentes = Table.ColumnNames(EnTetes),</t>
        </is>
      </c>
    </row>
    <row r="80" ht="13" customHeight="1">
      <c r="A80" s="67" t="inlineStr">
        <is>
          <t xml:space="preserve">    Manquantes = List.Difference(Obligatoires, Presentes),</t>
        </is>
      </c>
    </row>
    <row r="81" ht="13" customHeight="1">
      <c r="A81" s="67" t="inlineStr">
        <is>
          <t xml:space="preserve">    Absentes = List.Difference(Attendues, Presentes),</t>
        </is>
      </c>
    </row>
    <row r="82" ht="13" customHeight="1">
      <c r="A82" s="67" t="inlineStr">
        <is>
          <t xml:space="preserve">    Ignorees = List.Difference(Presentes, Attendues),</t>
        </is>
      </c>
    </row>
    <row r="83" ht="13" customHeight="1">
      <c r="A83" s="67" t="inlineStr">
        <is>
          <t xml:space="preserve">    EcartsStructure =</t>
        </is>
      </c>
    </row>
    <row r="84" ht="13" customHeight="1">
      <c r="A84" s="67" t="inlineStr">
        <is>
          <t xml:space="preserve">        Text.Combine(</t>
        </is>
      </c>
    </row>
    <row r="85" ht="13" customHeight="1">
      <c r="A85" s="67" t="inlineStr">
        <is>
          <t xml:space="preserve">            List.Select({</t>
        </is>
      </c>
    </row>
    <row r="86" ht="13" customHeight="1">
      <c r="A86" s="67" t="inlineStr">
        <is>
          <t xml:space="preserve">                if List.IsEmpty(Absentes) then "" else "Colonnes absentes (laissées vides) : " &amp; Text.Combine(Absentes, ", "),</t>
        </is>
      </c>
    </row>
    <row r="87" ht="13" customHeight="1">
      <c r="A87" s="67" t="inlineStr">
        <is>
          <t xml:space="preserve">                if List.IsEmpty(Ignorees) then "" else "Colonnes non utilisées : " &amp; Text.Combine(Ignorees, ", ")</t>
        </is>
      </c>
    </row>
    <row r="88" ht="13" customHeight="1">
      <c r="A88" s="67" t="inlineStr">
        <is>
          <t xml:space="preserve">            }, each _ &lt;&gt; ""),</t>
        </is>
      </c>
    </row>
    <row r="89" ht="13" customHeight="1">
      <c r="A89" s="67" t="inlineStr">
        <is>
          <t xml:space="preserve">            " | "),</t>
        </is>
      </c>
    </row>
    <row r="90" ht="13" customHeight="1">
      <c r="A90" s="67" t="inlineStr">
        <is>
          <t xml:space="preserve">    Structure =</t>
        </is>
      </c>
    </row>
    <row r="91" ht="13" customHeight="1">
      <c r="A91" s="67" t="inlineStr">
        <is>
          <t xml:space="preserve">        if List.IsEmpty(Manquantes) then</t>
        </is>
      </c>
    </row>
    <row r="92" ht="13" customHeight="1">
      <c r="A92" s="67" t="inlineStr">
        <is>
          <t xml:space="preserve">            Table.SelectColumns(EnTetes, Attendues, MissingField.UseNull)</t>
        </is>
      </c>
    </row>
    <row r="93" ht="13" customHeight="1">
      <c r="A93" s="67" t="inlineStr">
        <is>
          <t xml:space="preserve">        else</t>
        </is>
      </c>
    </row>
    <row r="94" ht="13" customHeight="1">
      <c r="A94" s="67" t="inlineStr">
        <is>
          <t xml:space="preserve">            error Error.Record(</t>
        </is>
      </c>
    </row>
    <row r="95" ht="13" customHeight="1">
      <c r="A95" s="67" t="inlineStr">
        <is>
          <t xml:space="preserve">                "Colonnes GMAO obligatoires absentes",</t>
        </is>
      </c>
    </row>
    <row r="96" ht="13" customHeight="1">
      <c r="A96" s="67" t="inlineStr">
        <is>
          <t xml:space="preserve">                "Colonne(s) introuvable(s) dans l'extraction : " &amp; Text.Combine(Manquantes, ", ")</t>
        </is>
      </c>
    </row>
    <row r="97" ht="13" customHeight="1">
      <c r="A97" s="67" t="inlineStr">
        <is>
          <t xml:space="preserve">                    &amp; ". Vérifier l'export ou le nom des colonnes (voir 09_NOTICE).",</t>
        </is>
      </c>
    </row>
    <row r="98" ht="13" customHeight="1">
      <c r="A98" s="67" t="inlineStr">
        <is>
          <t xml:space="preserve">                Manquantes),</t>
        </is>
      </c>
    </row>
    <row r="99" ht="13" customHeight="1">
      <c r="A99" s="67" t="n"/>
    </row>
    <row r="100" ht="13" customHeight="1">
      <c r="A100" s="67" t="inlineStr">
        <is>
          <t xml:space="preserve">    // 5. Numéro de ligne dans l'export (ligne 1 = en-têtes)</t>
        </is>
      </c>
    </row>
    <row r="101" ht="13" customHeight="1">
      <c r="A101" s="67" t="inlineStr">
        <is>
          <t xml:space="preserve">    Indexe = Table.AddIndexColumn(Structure, "Ligne export", 2, 1),</t>
        </is>
      </c>
    </row>
    <row r="102" ht="13" customHeight="1">
      <c r="A102" s="67" t="n"/>
    </row>
    <row r="103" ht="13" customHeight="1">
      <c r="A103" s="67" t="inlineStr">
        <is>
          <t xml:space="preserve">    // 6. Typage tolérant : une valeur illisible devient vide et elle est signalée (étape 8)</t>
        </is>
      </c>
    </row>
    <row r="104" ht="13" customHeight="1">
      <c r="A104" s="67" t="inlineStr">
        <is>
          <t xml:space="preserve">    VersTexte = (v as any) as nullable text =&gt;</t>
        </is>
      </c>
    </row>
    <row r="105" ht="13" customHeight="1">
      <c r="A105" s="67" t="inlineStr">
        <is>
          <t xml:space="preserve">        if v = null then null</t>
        </is>
      </c>
    </row>
    <row r="106" ht="13" customHeight="1">
      <c r="A106" s="67" t="inlineStr">
        <is>
          <t xml:space="preserve">        else</t>
        </is>
      </c>
    </row>
    <row r="107" ht="13" customHeight="1">
      <c r="A107" s="67" t="inlineStr">
        <is>
          <t xml:space="preserve">            let</t>
        </is>
      </c>
    </row>
    <row r="108" ht="13" customHeight="1">
      <c r="A108" s="67" t="inlineStr">
        <is>
          <t xml:space="preserve">                t = Text.Trim(Text.From(v))</t>
        </is>
      </c>
    </row>
    <row r="109" ht="13" customHeight="1">
      <c r="A109" s="67" t="inlineStr">
        <is>
          <t xml:space="preserve">            in</t>
        </is>
      </c>
    </row>
    <row r="110" ht="13" customHeight="1">
      <c r="A110" s="67" t="inlineStr">
        <is>
          <t xml:space="preserve">                if t = "" then null else t,</t>
        </is>
      </c>
    </row>
    <row r="111" ht="13" customHeight="1">
      <c r="A111" s="67" t="inlineStr">
        <is>
          <t xml:space="preserve">    VersDate = (v as any) as nullable date =&gt;</t>
        </is>
      </c>
    </row>
    <row r="112" ht="13" customHeight="1">
      <c r="A112" s="67" t="inlineStr">
        <is>
          <t xml:space="preserve">        if v = null then null</t>
        </is>
      </c>
    </row>
    <row r="113" ht="13" customHeight="1">
      <c r="A113" s="67" t="inlineStr">
        <is>
          <t xml:space="preserve">        else if v is date then v</t>
        </is>
      </c>
    </row>
    <row r="114" ht="13" customHeight="1">
      <c r="A114" s="67" t="inlineStr">
        <is>
          <t xml:space="preserve">        else if v is datetime then Date.From(v)</t>
        </is>
      </c>
    </row>
    <row r="115" ht="13" customHeight="1">
      <c r="A115" s="67" t="inlineStr">
        <is>
          <t xml:space="preserve">        else if v is datetimezone then Date.From(v)</t>
        </is>
      </c>
    </row>
    <row r="116" ht="13" customHeight="1">
      <c r="A116" s="67" t="inlineStr">
        <is>
          <t xml:space="preserve">        else if v is number then (try Date.From(v) otherwise null)</t>
        </is>
      </c>
    </row>
    <row r="117" ht="13" customHeight="1">
      <c r="A117" s="67" t="inlineStr">
        <is>
          <t xml:space="preserve">        else</t>
        </is>
      </c>
    </row>
    <row r="118" ht="13" customHeight="1">
      <c r="A118" s="67" t="inlineStr">
        <is>
          <t xml:space="preserve">            let</t>
        </is>
      </c>
    </row>
    <row r="119" ht="13" customHeight="1">
      <c r="A119" s="67" t="inlineStr">
        <is>
          <t xml:space="preserve">                t = Text.Trim(Text.From(v))</t>
        </is>
      </c>
    </row>
    <row r="120" ht="13" customHeight="1">
      <c r="A120" s="67" t="inlineStr">
        <is>
          <t xml:space="preserve">            in</t>
        </is>
      </c>
    </row>
    <row r="121" ht="13" customHeight="1">
      <c r="A121" s="67" t="inlineStr">
        <is>
          <t xml:space="preserve">                if t = "" then null</t>
        </is>
      </c>
    </row>
    <row r="122" ht="13" customHeight="1">
      <c r="A122" s="67" t="inlineStr">
        <is>
          <t xml:space="preserve">                else try Date.FromText(t, "fr-FR")</t>
        </is>
      </c>
    </row>
    <row r="123" ht="13" customHeight="1">
      <c r="A123" s="67" t="inlineStr">
        <is>
          <t xml:space="preserve">                    otherwise try Date.From(DateTime.FromText(t, "fr-FR"))</t>
        </is>
      </c>
    </row>
    <row r="124" ht="13" customHeight="1">
      <c r="A124" s="67" t="inlineStr">
        <is>
          <t xml:space="preserve">                    otherwise null,</t>
        </is>
      </c>
    </row>
    <row r="125" ht="13" customHeight="1">
      <c r="A125" s="67" t="inlineStr">
        <is>
          <t xml:space="preserve">    VersNombre = (v as any) as nullable number =&gt;</t>
        </is>
      </c>
    </row>
    <row r="126" ht="13" customHeight="1">
      <c r="A126" s="67" t="inlineStr">
        <is>
          <t xml:space="preserve">        if v = null then null</t>
        </is>
      </c>
    </row>
    <row r="127" ht="13" customHeight="1">
      <c r="A127" s="67" t="inlineStr">
        <is>
          <t xml:space="preserve">        else if v is number then v</t>
        </is>
      </c>
    </row>
    <row r="128" ht="13" customHeight="1">
      <c r="A128" s="67" t="inlineStr">
        <is>
          <t xml:space="preserve">        else</t>
        </is>
      </c>
    </row>
    <row r="129" ht="13" customHeight="1">
      <c r="A129" s="67" t="inlineStr">
        <is>
          <t xml:space="preserve">            let</t>
        </is>
      </c>
    </row>
    <row r="130" ht="13" customHeight="1">
      <c r="A130" s="67" t="inlineStr">
        <is>
          <t xml:space="preserve">                t = Text.Remove(Text.Trim(Text.From(v)), {" ", "#(00A0)", "#(202F)"})</t>
        </is>
      </c>
    </row>
    <row r="131" ht="13" customHeight="1">
      <c r="A131" s="67" t="inlineStr">
        <is>
          <t xml:space="preserve">            in</t>
        </is>
      </c>
    </row>
    <row r="132" ht="13" customHeight="1">
      <c r="A132" s="67" t="inlineStr">
        <is>
          <t xml:space="preserve">                if t = "" then null else try Number.FromText(t, "fr-FR") otherwise null,</t>
        </is>
      </c>
    </row>
    <row r="133" ht="13" customHeight="1">
      <c r="A133" s="67" t="inlineStr">
        <is>
          <t xml:space="preserve">    AvecDateBrute = Table.AddColumn(Indexe, "_DateBrute", each VersTexte([#"Date début planifiée"]), type nullable text),</t>
        </is>
      </c>
    </row>
    <row r="134" ht="13" customHeight="1">
      <c r="A134" s="67" t="inlineStr">
        <is>
          <t xml:space="preserve">    ColonnesDates = {"Créé le", "Date début planifiée", "Date modif. fiche ordre"},</t>
        </is>
      </c>
    </row>
    <row r="135" ht="13" customHeight="1">
      <c r="A135" s="67" t="inlineStr">
        <is>
          <t xml:space="preserve">    ColonnesNombres = {"Total coûts réels"},</t>
        </is>
      </c>
    </row>
    <row r="136" ht="13" customHeight="1">
      <c r="A136" s="67" t="inlineStr">
        <is>
          <t xml:space="preserve">    ColonnesTextes = List.Difference(Attendues, ColonnesDates &amp; ColonnesNombres),</t>
        </is>
      </c>
    </row>
    <row r="137" ht="13" customHeight="1">
      <c r="A137" s="67" t="inlineStr">
        <is>
          <t xml:space="preserve">    Types =</t>
        </is>
      </c>
    </row>
    <row r="138" ht="13" customHeight="1">
      <c r="A138" s="67" t="inlineStr">
        <is>
          <t xml:space="preserve">        Table.TransformColumns(</t>
        </is>
      </c>
    </row>
    <row r="139" ht="13" customHeight="1">
      <c r="A139" s="67" t="inlineStr">
        <is>
          <t xml:space="preserve">            AvecDateBrute,</t>
        </is>
      </c>
    </row>
    <row r="140" ht="13" customHeight="1">
      <c r="A140" s="67" t="inlineStr">
        <is>
          <t xml:space="preserve">            List.Transform(ColonnesTextes, each {_, VersTexte, type nullable text})</t>
        </is>
      </c>
    </row>
    <row r="141" ht="13" customHeight="1">
      <c r="A141" s="67" t="inlineStr">
        <is>
          <t xml:space="preserve">                &amp; List.Transform(ColonnesDates, each {_, VersDate, type nullable date})</t>
        </is>
      </c>
    </row>
    <row r="142" ht="13" customHeight="1">
      <c r="A142" s="67" t="inlineStr">
        <is>
          <t xml:space="preserve">                &amp; List.Transform(ColonnesNombres, each {_, VersNombre, type nullable number})),</t>
        </is>
      </c>
    </row>
    <row r="143" ht="13" customHeight="1">
      <c r="A143" s="67" t="n"/>
    </row>
    <row r="144" ht="13" customHeight="1">
      <c r="A144" s="67" t="inlineStr">
        <is>
          <t xml:space="preserve">    // 7. Code poste = N premiers caractères du Poste technique (N = P_LongueurCodePoste, 9 par défaut)</t>
        </is>
      </c>
    </row>
    <row r="145" ht="13" customHeight="1">
      <c r="A145" s="67" t="inlineStr">
        <is>
          <t xml:space="preserve">    //    Année planifiée = année de la Date début planifiée</t>
        </is>
      </c>
    </row>
    <row r="146" ht="13" customHeight="1">
      <c r="A146" s="67" t="inlineStr">
        <is>
          <t xml:space="preserve">    Longueur = Entrees[Longueur],</t>
        </is>
      </c>
    </row>
    <row r="147" ht="13" customHeight="1">
      <c r="A147" s="67" t="inlineStr">
        <is>
          <t xml:space="preserve">    Separateur = Entrees[Separateur],</t>
        </is>
      </c>
    </row>
    <row r="148" ht="13" customHeight="1">
      <c r="A148" s="67" t="inlineStr">
        <is>
          <t xml:space="preserve">    AvecCodePoste = Table.AddColumn(Types, "Code poste",</t>
        </is>
      </c>
    </row>
    <row r="149" ht="13" customHeight="1">
      <c r="A149" s="67" t="inlineStr">
        <is>
          <t xml:space="preserve">        each if [Poste technique] = null then null else Text.Start([Poste technique], Longueur), type nullable text),</t>
        </is>
      </c>
    </row>
    <row r="150" ht="13" customHeight="1">
      <c r="A150" s="67" t="inlineStr">
        <is>
          <t xml:space="preserve">    AvecAnnee = Table.AddColumn(AvecCodePoste, "Année planifiée",</t>
        </is>
      </c>
    </row>
    <row r="151" ht="13" customHeight="1">
      <c r="A151" s="67" t="inlineStr">
        <is>
          <t xml:space="preserve">        each if [#"Date début planifiée"] = null then null else Date.Year([#"Date début planifiée"]), Int64.Type),</t>
        </is>
      </c>
    </row>
    <row r="152" ht="13" customHeight="1">
      <c r="A152" s="67" t="n"/>
    </row>
    <row r="153" ht="13" customHeight="1">
      <c r="A153" s="67" t="inlineStr">
        <is>
          <t xml:space="preserve">    // 8. Contrôles par ligne de l'export (aucune ligne n'est supprimée)</t>
        </is>
      </c>
    </row>
    <row r="154" ht="13" customHeight="1">
      <c r="A154" s="67" t="inlineStr">
        <is>
          <t xml:space="preserve">    Texte = (v as any) as nullable text =&gt; if v = null then null else Text.Trim(Text.From(v)),</t>
        </is>
      </c>
    </row>
    <row r="155" ht="13" customHeight="1">
      <c r="A155" s="67" t="inlineStr">
        <is>
          <t xml:space="preserve">    SitesConnus = List.Buffer(List.RemoveNulls(List.Transform(Table.Column(Entrees[RefSites], "Site"), Texte))),</t>
        </is>
      </c>
    </row>
    <row r="156" ht="13" customHeight="1">
      <c r="A156" s="67" t="inlineStr">
        <is>
          <t xml:space="preserve">    CouplesConnus = List.Buffer(List.RemoveNulls(List.Transform(Table.ToRecords(Entrees[RefSites]),</t>
        </is>
      </c>
    </row>
    <row r="157" ht="13" customHeight="1">
      <c r="A157" s="67" t="inlineStr">
        <is>
          <t xml:space="preserve">        (r) =&gt; if r[Site] = null or r[Équipe] = null then null else Texte(r[Site]) &amp; "|" &amp; Texte(r[Équipe])))),</t>
        </is>
      </c>
    </row>
    <row r="158" ht="13" customHeight="1">
      <c r="A158" s="67" t="inlineStr">
        <is>
          <t xml:space="preserve">    AvecCleOrdre = Table.AddColumn(AvecAnnee, "_CleOrdre",</t>
        </is>
      </c>
    </row>
    <row r="159" ht="13" customHeight="1">
      <c r="A159" s="67" t="inlineStr">
        <is>
          <t xml:space="preserve">        each if [Ordre] = null then "#LIGNE-" &amp; Text.From([Ligne export]) else [Ordre], type text),</t>
        </is>
      </c>
    </row>
    <row r="160" ht="13" customHeight="1">
      <c r="A160" s="67" t="inlineStr">
        <is>
          <t xml:space="preserve">    LignesParOrdre = Table.Group(AvecCleOrdre, {"_CleOrdre"},</t>
        </is>
      </c>
    </row>
    <row r="161" ht="13" customHeight="1">
      <c r="A161" s="67" t="inlineStr">
        <is>
          <t xml:space="preserve">        {{"Nb lignes export de l'OT", each Table.RowCount(_), Int64.Type}}),</t>
        </is>
      </c>
    </row>
    <row r="162" ht="13" customHeight="1">
      <c r="A162" s="67" t="inlineStr">
        <is>
          <t xml:space="preserve">    AvecNbLignes = Table.Join(AvecCleOrdre, "_CleOrdre",</t>
        </is>
      </c>
    </row>
    <row r="163" ht="13" customHeight="1">
      <c r="A163" s="67" t="inlineStr">
        <is>
          <t xml:space="preserve">        Table.RenameColumns(LignesParOrdre, {{"_CleOrdre", "_CleOrdre2"}}), "_CleOrdre2"),</t>
        </is>
      </c>
    </row>
    <row r="164" ht="13" customHeight="1">
      <c r="A164" s="67" t="inlineStr">
        <is>
          <t xml:space="preserve">    OrdreExport = Table.Sort(AvecNbLignes, {{"Ligne export", Order.Ascending}}),</t>
        </is>
      </c>
    </row>
    <row r="165" ht="13" customHeight="1">
      <c r="A165" s="67" t="inlineStr">
        <is>
          <t xml:space="preserve">    Segments = Table.AddColumn(OrdreExport, "_Segments",</t>
        </is>
      </c>
    </row>
    <row r="166" ht="13" customHeight="1">
      <c r="A166" s="67" t="inlineStr">
        <is>
          <t xml:space="preserve">        each if [Activité] = null then {} else List.Transform(Text.Split([Activité], "+"), each Text.Upper(Text.Trim(_))),</t>
        </is>
      </c>
    </row>
    <row r="167" ht="13" customHeight="1">
      <c r="A167" s="67" t="inlineStr">
        <is>
          <t xml:space="preserve">        type list),</t>
        </is>
      </c>
    </row>
    <row r="168" ht="13" customHeight="1">
      <c r="A168" s="67" t="inlineStr">
        <is>
          <t xml:space="preserve">    ControlesLigne = Table.AddColumn(Segments, "_ControlesLigne", (r) =&gt;</t>
        </is>
      </c>
    </row>
    <row r="169" ht="13" customHeight="1">
      <c r="A169" s="67" t="inlineStr">
        <is>
          <t xml:space="preserve">        let</t>
        </is>
      </c>
    </row>
    <row r="170" ht="13" customHeight="1">
      <c r="A170" s="67" t="inlineStr">
        <is>
          <t xml:space="preserve">            Poste = r[Poste technique],</t>
        </is>
      </c>
    </row>
    <row r="171" ht="13" customHeight="1">
      <c r="A171" s="67" t="inlineStr">
        <is>
          <t xml:space="preserve">            Site = r[Groupe gestionnaires],</t>
        </is>
      </c>
    </row>
    <row r="172" ht="13" customHeight="1">
      <c r="A172" s="67" t="inlineStr">
        <is>
          <t xml:space="preserve">            Equipe = r[#"Poste travail princ."]</t>
        </is>
      </c>
    </row>
    <row r="173" ht="13" customHeight="1">
      <c r="A173" s="67" t="inlineStr">
        <is>
          <t xml:space="preserve">        in</t>
        </is>
      </c>
    </row>
    <row r="174" ht="13" customHeight="1">
      <c r="A174" s="67" t="inlineStr">
        <is>
          <t xml:space="preserve">            List.RemoveNulls({</t>
        </is>
      </c>
    </row>
    <row r="175" ht="13" customHeight="1">
      <c r="A175" s="67" t="inlineStr">
        <is>
          <t xml:space="preserve">                if r[Ordre] = null then "Ordre vide" else null,</t>
        </is>
      </c>
    </row>
    <row r="176" ht="13" customHeight="1">
      <c r="A176" s="67" t="inlineStr">
        <is>
          <t xml:space="preserve">                if r[#"Nb lignes export de l'OT"] &gt; 1 and r[Ordre] &lt;&gt; null then "OT présent sur plusieurs lignes de l'export" else null,</t>
        </is>
      </c>
    </row>
    <row r="177" ht="13" customHeight="1">
      <c r="A177" s="67" t="inlineStr">
        <is>
          <t xml:space="preserve">                if Poste = null then "Poste technique vide" else null,</t>
        </is>
      </c>
    </row>
    <row r="178" ht="13" customHeight="1">
      <c r="A178" s="67" t="inlineStr">
        <is>
          <t xml:space="preserve">                if Poste &lt;&gt; null and Text.Length(Poste) &lt; Longueur then "Poste technique trop court" else null,</t>
        </is>
      </c>
    </row>
    <row r="179" ht="13" customHeight="1">
      <c r="A179" s="67" t="inlineStr">
        <is>
          <t xml:space="preserve">                if Poste &lt;&gt; null and Separateur &lt;&gt; "" and Text.Length(Poste) &gt; Longueur</t>
        </is>
      </c>
    </row>
    <row r="180" ht="13" customHeight="1">
      <c r="A180" s="67" t="inlineStr">
        <is>
          <t xml:space="preserve">                    and Text.Middle(Poste, Longueur, 1) &lt;&gt; Separateur</t>
        </is>
      </c>
    </row>
    <row r="181" ht="13" customHeight="1">
      <c r="A181" s="67" t="inlineStr">
        <is>
          <t xml:space="preserve">                    then "Format du Poste technique inattendu" else null,</t>
        </is>
      </c>
    </row>
    <row r="182" ht="13" customHeight="1">
      <c r="A182" s="67" t="inlineStr">
        <is>
          <t xml:space="preserve">                if r[_DateBrute] = null then "Date début planifiée vide" else null,</t>
        </is>
      </c>
    </row>
    <row r="183" ht="13" customHeight="1">
      <c r="A183" s="67" t="inlineStr">
        <is>
          <t xml:space="preserve">                if r[_DateBrute] &lt;&gt; null and r[#"Date début planifiée"] = null then "Date début planifiée illisible" else null,</t>
        </is>
      </c>
    </row>
    <row r="184" ht="13" customHeight="1">
      <c r="A184" s="67" t="inlineStr">
        <is>
          <t xml:space="preserve">                if r[Activité] = null then "Activité vide" else null,</t>
        </is>
      </c>
    </row>
    <row r="185" ht="13" customHeight="1">
      <c r="A185" s="67" t="inlineStr">
        <is>
          <t xml:space="preserve">                if r[Activité] &lt;&gt; null and List.Contains(r[_Segments], "") then "Activité mal formée" else null,</t>
        </is>
      </c>
    </row>
    <row r="186" ht="13" customHeight="1">
      <c r="A186" s="67" t="inlineStr">
        <is>
          <t xml:space="preserve">                if Site = null or Equipe = null then "Site ou équipe vide" else null,</t>
        </is>
      </c>
    </row>
    <row r="187" ht="13" customHeight="1">
      <c r="A187" s="67" t="inlineStr">
        <is>
          <t xml:space="preserve">                if Site &lt;&gt; null and not List.Contains(SitesConnus, Site) then "Nouveau site" else null,</t>
        </is>
      </c>
    </row>
    <row r="188" ht="13" customHeight="1">
      <c r="A188" s="67" t="inlineStr">
        <is>
          <t xml:space="preserve">                if Site &lt;&gt; null and Equipe &lt;&gt; null and List.Contains(SitesConnus, Site)</t>
        </is>
      </c>
    </row>
    <row r="189" ht="13" customHeight="1">
      <c r="A189" s="67" t="inlineStr">
        <is>
          <t xml:space="preserve">                    and not List.Contains(CouplesConnus, Site &amp; "|" &amp; Equipe)</t>
        </is>
      </c>
    </row>
    <row r="190" ht="13" customHeight="1">
      <c r="A190" s="67" t="inlineStr">
        <is>
          <t xml:space="preserve">                    then "Nouvelle équipe" else null,</t>
        </is>
      </c>
    </row>
    <row r="191" ht="13" customHeight="1">
      <c r="A191" s="67" t="inlineStr">
        <is>
          <t xml:space="preserve">                if r[#"Type de travail"] &lt;&gt; null and r[#"Type de travail"] &lt;&gt; "PRE" then "Type de travail autre que PRE" else null</t>
        </is>
      </c>
    </row>
    <row r="192" ht="13" customHeight="1">
      <c r="A192" s="67" t="inlineStr">
        <is>
          <t xml:space="preserve">            }),</t>
        </is>
      </c>
    </row>
    <row r="193" ht="13" customHeight="1">
      <c r="A193" s="67" t="inlineStr">
        <is>
          <t xml:space="preserve">        type list),</t>
        </is>
      </c>
    </row>
    <row r="194" ht="13" customHeight="1">
      <c r="A194" s="67" t="n"/>
    </row>
    <row r="195" ht="13" customHeight="1">
      <c r="A195" s="67" t="inlineStr">
        <is>
          <t xml:space="preserve">    // 9. Activité : une ligne par activité atomique (séparateur « + », espaces retirés, majuscules)</t>
        </is>
      </c>
    </row>
    <row r="196" ht="13" customHeight="1">
      <c r="A196" s="67" t="inlineStr">
        <is>
          <t xml:space="preserve">    AvecActivites = Table.AddColumn(ControlesLigne, "Activité atomique",</t>
        </is>
      </c>
    </row>
    <row r="197" ht="13" customHeight="1">
      <c r="A197" s="67" t="inlineStr">
        <is>
          <t xml:space="preserve">        each let a = List.Select([_Segments], each _ &lt;&gt; "") in if List.IsEmpty(a) then {null} else a),</t>
        </is>
      </c>
    </row>
    <row r="198" ht="13" customHeight="1">
      <c r="A198" s="67" t="inlineStr">
        <is>
          <t xml:space="preserve">    Eclate = Table.ExpandListColumn(AvecActivites, "Activité atomique"),</t>
        </is>
      </c>
    </row>
    <row r="199" ht="13" customHeight="1">
      <c r="A199" s="67" t="inlineStr">
        <is>
          <t xml:space="preserve">    AvecSequence = Table.AddIndexColumn(Eclate, "_Seq", 1, 1),</t>
        </is>
      </c>
    </row>
    <row r="200" ht="13" customHeight="1">
      <c r="A200" s="67" t="inlineStr">
        <is>
          <t xml:space="preserve">    CodesActivites = List.Buffer(List.RemoveNulls(List.Transform(Table.Column(Entrees[RefActivites], "Activité"),</t>
        </is>
      </c>
    </row>
    <row r="201" ht="13" customHeight="1">
      <c r="A201" s="67" t="inlineStr">
        <is>
          <t xml:space="preserve">        each if _ = null then null else Text.Upper(Text.Trim(Text.From(_)))))),</t>
        </is>
      </c>
    </row>
    <row r="202" ht="13" customHeight="1">
      <c r="A202" s="67" t="inlineStr">
        <is>
          <t xml:space="preserve">    AvecRang = Table.AddColumn(AvecSequence, "Ordre d'affichage activité",</t>
        </is>
      </c>
    </row>
    <row r="203" ht="13" customHeight="1">
      <c r="A203" s="67" t="inlineStr">
        <is>
          <t xml:space="preserve">        each let p = List.PositionOf(CodesActivites, [Activité atomique]) in if p &lt; 0 then 999 else p + 1, Int64.Type),</t>
        </is>
      </c>
    </row>
    <row r="204" ht="13" customHeight="1">
      <c r="A204" s="67" t="n"/>
    </row>
    <row r="205" ht="13" customHeight="1">
      <c r="A205" s="67" t="inlineStr">
        <is>
          <t xml:space="preserve">    // 10. Doublons techniques : un même couple Ordre + Activité n'est compté qu'une fois</t>
        </is>
      </c>
    </row>
    <row r="206" ht="13" customHeight="1">
      <c r="A206" s="67" t="inlineStr">
        <is>
          <t xml:space="preserve">    AvecCleCouple = Table.AddColumn(AvecRang, "_CleCouple",</t>
        </is>
      </c>
    </row>
    <row r="207" ht="13" customHeight="1">
      <c r="A207" s="67" t="inlineStr">
        <is>
          <t xml:space="preserve">        each [_CleOrdre] &amp; "|" &amp; (if [Activité atomique] = null then "#VIDE" else [Activité atomique]), type text),</t>
        </is>
      </c>
    </row>
    <row r="208" ht="13" customHeight="1">
      <c r="A208" s="67" t="inlineStr">
        <is>
          <t xml:space="preserve">    Couples = Table.Group(AvecCleCouple, {"_CleCouple"},</t>
        </is>
      </c>
    </row>
    <row r="209" ht="13" customHeight="1">
      <c r="A209" s="67" t="inlineStr">
        <is>
          <t xml:space="preserve">        {{"Occurrences Ordre+Activité", each Table.RowCount(_), Int64.Type},</t>
        </is>
      </c>
    </row>
    <row r="210" ht="13" customHeight="1">
      <c r="A210" s="67" t="inlineStr">
        <is>
          <t xml:space="preserve">            {"_LignesCouple", each Text.Combine(List.Transform(List.Sort(List.Distinct([Ligne export])), Text.From), ", "),</t>
        </is>
      </c>
    </row>
    <row r="211" ht="13" customHeight="1">
      <c r="A211" s="67" t="inlineStr">
        <is>
          <t xml:space="preserve">                type text}}),</t>
        </is>
      </c>
    </row>
    <row r="212" ht="13" customHeight="1">
      <c r="A212" s="67" t="inlineStr">
        <is>
          <t xml:space="preserve">    AvecNbCouples = Table.Join(AvecCleCouple, "_CleCouple",</t>
        </is>
      </c>
    </row>
    <row r="213" ht="13" customHeight="1">
      <c r="A213" s="67" t="inlineStr">
        <is>
          <t xml:space="preserve">        Table.RenameColumns(Couples, {{"_CleCouple", "_CleCouple2"}}), "_CleCouple2"),</t>
        </is>
      </c>
    </row>
    <row r="214" ht="13" customHeight="1">
      <c r="A214" s="67" t="inlineStr">
        <is>
          <t xml:space="preserve">    Trie = Table.Buffer(Table.Sort(AvecNbCouples, {{"_Seq", Order.Ascending}})),</t>
        </is>
      </c>
    </row>
    <row r="215" ht="13" customHeight="1">
      <c r="A215" s="67" t="inlineStr">
        <is>
          <t xml:space="preserve">    SansDoublon = Table.Distinct(Trie, {"_CleCouple"}),</t>
        </is>
      </c>
    </row>
    <row r="216" ht="13" customHeight="1">
      <c r="A216" s="67" t="inlineStr">
        <is>
          <t xml:space="preserve">    // la ligne conservée garde la trace des lignes de l'export regroupées avec elle</t>
        </is>
      </c>
    </row>
    <row r="217" ht="13" customHeight="1">
      <c r="A217" s="67" t="inlineStr">
        <is>
          <t xml:space="preserve">    AvecRegroupees = Table.AddColumn(SansDoublon, "Lignes export regroupées",</t>
        </is>
      </c>
    </row>
    <row r="218" ht="13" customHeight="1">
      <c r="A218" s="67" t="inlineStr">
        <is>
          <t xml:space="preserve">        each if [#"Occurrences Ordre+Activité"] &gt; 1 then [_LignesCouple] else null, type nullable text),</t>
        </is>
      </c>
    </row>
    <row r="219" ht="13" customHeight="1">
      <c r="A219" s="67" t="n"/>
    </row>
    <row r="220" ht="13" customHeight="1">
      <c r="A220" s="67" t="inlineStr">
        <is>
          <t xml:space="preserve">    // 11. Synthèse des contrôles de la ligne</t>
        </is>
      </c>
    </row>
    <row r="221" ht="13" customHeight="1">
      <c r="A221" s="67" t="inlineStr">
        <is>
          <t xml:space="preserve">    AvecControle = Table.AddColumn(AvecRegroupees, "Contrôle qualité", (r) =&gt;</t>
        </is>
      </c>
    </row>
    <row r="222" ht="13" customHeight="1">
      <c r="A222" s="67" t="inlineStr">
        <is>
          <t xml:space="preserve">        let</t>
        </is>
      </c>
    </row>
    <row r="223" ht="13" customHeight="1">
      <c r="A223" s="67" t="inlineStr">
        <is>
          <t xml:space="preserve">            Liste = r[_ControlesLigne]</t>
        </is>
      </c>
    </row>
    <row r="224" ht="13" customHeight="1">
      <c r="A224" s="67" t="inlineStr">
        <is>
          <t xml:space="preserve">                &amp; (if r[Activité atomique] &lt;&gt; null and r[#"Ordre d'affichage activité"] = 999</t>
        </is>
      </c>
    </row>
    <row r="225" ht="13" customHeight="1">
      <c r="A225" s="67" t="inlineStr">
        <is>
          <t xml:space="preserve">                    then {"Activité inconnue du référentiel"} else {})</t>
        </is>
      </c>
    </row>
    <row r="226" ht="13" customHeight="1">
      <c r="A226" s="67" t="inlineStr">
        <is>
          <t xml:space="preserve">                &amp; (if r[#"Occurrences Ordre+Activité"] &gt; 1 then {"Couple Ordre + Activité en double"} else {})</t>
        </is>
      </c>
    </row>
    <row r="227" ht="13" customHeight="1">
      <c r="A227" s="67" t="inlineStr">
        <is>
          <t xml:space="preserve">        in</t>
        </is>
      </c>
    </row>
    <row r="228" ht="13" customHeight="1">
      <c r="A228" s="67" t="inlineStr">
        <is>
          <t xml:space="preserve">            if List.IsEmpty(Liste) then null else Text.Combine(Liste, " ; "),</t>
        </is>
      </c>
    </row>
    <row r="229" ht="13" customHeight="1">
      <c r="A229" s="67" t="inlineStr">
        <is>
          <t xml:space="preserve">        type nullable text),</t>
        </is>
      </c>
    </row>
    <row r="230" ht="13" customHeight="1">
      <c r="A230" s="67" t="inlineStr">
        <is>
          <t xml:space="preserve">    Maintenant = DateTime.LocalNow(),</t>
        </is>
      </c>
    </row>
    <row r="231" ht="13" customHeight="1">
      <c r="A231" s="67" t="inlineStr">
        <is>
          <t xml:space="preserve">    AvecTrace = Table.AddColumn(</t>
        </is>
      </c>
    </row>
    <row r="232" ht="13" customHeight="1">
      <c r="A232" s="67" t="inlineStr">
        <is>
          <t xml:space="preserve">        Table.AddColumn(</t>
        </is>
      </c>
    </row>
    <row r="233" ht="13" customHeight="1">
      <c r="A233" s="67" t="inlineStr">
        <is>
          <t xml:space="preserve">            Table.AddColumn(AvecControle, "Écarts de structure",</t>
        </is>
      </c>
    </row>
    <row r="234" ht="13" customHeight="1">
      <c r="A234" s="67" t="inlineStr">
        <is>
          <t xml:space="preserve">                each if EcartsStructure = "" then null else EcartsStructure, type nullable text),</t>
        </is>
      </c>
    </row>
    <row r="235" ht="13" customHeight="1">
      <c r="A235" s="67" t="inlineStr">
        <is>
          <t xml:space="preserve">            "Fichier source", each Entrees[Chemin], type text),</t>
        </is>
      </c>
    </row>
    <row r="236" ht="13" customHeight="1">
      <c r="A236" s="67" t="inlineStr">
        <is>
          <t xml:space="preserve">        "Importé le", each Maintenant, type datetime),</t>
        </is>
      </c>
    </row>
    <row r="237" ht="13" customHeight="1">
      <c r="A237" s="67" t="n"/>
    </row>
    <row r="238" ht="13" customHeight="1">
      <c r="A238" s="67" t="inlineStr">
        <is>
          <t xml:space="preserve">    // 12. Table finale : clés d'analyse d'abord, puis colonnes de l'export, puis traçabilité</t>
        </is>
      </c>
    </row>
    <row r="239" ht="13" customHeight="1">
      <c r="A239" s="67" t="inlineStr">
        <is>
          <t xml:space="preserve">    Colonnes = {"Ordre", "Activité atomique", "Année planifiée", "Groupe gestionnaires", "Poste travail princ.",</t>
        </is>
      </c>
    </row>
    <row r="240" ht="13" customHeight="1">
      <c r="A240" s="67" t="inlineStr">
        <is>
          <t xml:space="preserve">        "Code poste", "Contrôle qualité", "Ligne export"}</t>
        </is>
      </c>
    </row>
    <row r="241" ht="13" customHeight="1">
      <c r="A241" s="67" t="inlineStr">
        <is>
          <t xml:space="preserve">        &amp; List.Difference(Attendues, {"Ordre", "Groupe gestionnaires", "Poste travail princ."})</t>
        </is>
      </c>
    </row>
    <row r="242" ht="13" customHeight="1">
      <c r="A242" s="67" t="inlineStr">
        <is>
          <t xml:space="preserve">        &amp; {"Ordre d'affichage activité", "Nb lignes export de l'OT", "Occurrences Ordre+Activité",</t>
        </is>
      </c>
    </row>
    <row r="243" ht="13" customHeight="1">
      <c r="A243" s="67" t="inlineStr">
        <is>
          <t xml:space="preserve">            "Lignes export regroupées", "Écarts de structure", "Fichier source", "Importé le"},</t>
        </is>
      </c>
    </row>
    <row r="244" ht="13" customHeight="1">
      <c r="A244" s="67" t="inlineStr">
        <is>
          <t xml:space="preserve">    Resultat = Table.TransformColumnTypes(Table.SelectColumns(AvecTrace, Colonnes),</t>
        </is>
      </c>
    </row>
    <row r="245" ht="13" customHeight="1">
      <c r="A245" s="67" t="inlineStr">
        <is>
          <t xml:space="preserve">        {{"Activité atomique", type text}, {"Ligne export", Int64.Type}})</t>
        </is>
      </c>
    </row>
    <row r="246" ht="13" customHeight="1">
      <c r="A246" s="67" t="inlineStr">
        <is>
          <t>in</t>
        </is>
      </c>
    </row>
    <row r="247" ht="13" customHeight="1">
      <c r="A247" s="67" t="inlineStr">
        <is>
          <t xml:space="preserve">    Resultat</t>
        </is>
      </c>
    </row>
    <row r="250">
      <c r="A250" s="62" t="inlineStr">
        <is>
          <t>Requête « OT_Couverture » – fichier OT_Couverture.pq – chargement : 02_COUVERTURE_OT!A8</t>
        </is>
      </c>
    </row>
    <row r="251" ht="13" customHeight="1">
      <c r="A251" s="67" t="inlineStr">
        <is>
          <t>// =====================================================================</t>
        </is>
      </c>
    </row>
    <row r="252" ht="13" customHeight="1">
      <c r="A252" s="67" t="inlineStr">
        <is>
          <t>// OT_Couverture - nombre d'OT DISTINCTS par</t>
        </is>
      </c>
    </row>
    <row r="253" ht="13" customHeight="1">
      <c r="A253" s="67" t="inlineStr">
        <is>
          <t>//   Année planifiée x Site x Équipe x Code poste x Activité atomique.</t>
        </is>
      </c>
    </row>
    <row r="254" ht="13" customHeight="1">
      <c r="A254" s="67" t="inlineStr">
        <is>
          <t>// Site = Groupe gestionnaires ; Équipe = Poste travail princ.</t>
        </is>
      </c>
    </row>
    <row r="255" ht="13" customHeight="1">
      <c r="A255" s="67" t="inlineStr">
        <is>
          <t>// Source : requête OT_Detail (aucun accès direct à un fichier).</t>
        </is>
      </c>
    </row>
    <row r="256" ht="13" customHeight="1">
      <c r="A256" s="67" t="inlineStr">
        <is>
          <t>// Chargement : tableau dans l'onglet 02_COUVERTURE_OT, cellule A8.</t>
        </is>
      </c>
    </row>
    <row r="257" ht="13" customHeight="1">
      <c r="A257" s="67" t="inlineStr">
        <is>
          <t>// Une colonne par activité présente (ordre du référentiel, puis inconnues).</t>
        </is>
      </c>
    </row>
    <row r="258" ht="13" customHeight="1">
      <c r="A258" s="67" t="inlineStr">
        <is>
          <t>// =====================================================================</t>
        </is>
      </c>
    </row>
    <row r="259" ht="13" customHeight="1">
      <c r="A259" s="67" t="inlineStr">
        <is>
          <t>let</t>
        </is>
      </c>
    </row>
    <row r="260" ht="13" customHeight="1">
      <c r="A260" s="67" t="inlineStr">
        <is>
          <t xml:space="preserve">    Detail = OT_Detail,</t>
        </is>
      </c>
    </row>
    <row r="261" ht="13" customHeight="1">
      <c r="A261" s="67" t="inlineStr">
        <is>
          <t xml:space="preserve">    Base = Table.SelectColumns(Detail, {"Ordre", "Ligne export", "Année planifiée", "Groupe gestionnaires",</t>
        </is>
      </c>
    </row>
    <row r="262" ht="13" customHeight="1">
      <c r="A262" s="67" t="inlineStr">
        <is>
          <t xml:space="preserve">        "Poste travail princ.", "Code poste", "Activité atomique", "Ordre d'affichage activité", "Contrôle qualité"}),</t>
        </is>
      </c>
    </row>
    <row r="263" ht="13" customHeight="1">
      <c r="A263" s="67" t="inlineStr">
        <is>
          <t xml:space="preserve">    // Une valeur manquante reste visible comme « (vide) » au lieu de disparaître</t>
        </is>
      </c>
    </row>
    <row r="264" ht="13" customHeight="1">
      <c r="A264" s="67" t="inlineStr">
        <is>
          <t xml:space="preserve">    Vide = (v as nullable text) as text =&gt; if v = null then "(vide)" else v,</t>
        </is>
      </c>
    </row>
    <row r="265" ht="13" customHeight="1">
      <c r="A265" s="67" t="inlineStr">
        <is>
          <t xml:space="preserve">    Cles = Table.TransformColumns(</t>
        </is>
      </c>
    </row>
    <row r="266" ht="13" customHeight="1">
      <c r="A266" s="67" t="inlineStr">
        <is>
          <t xml:space="preserve">        Table.RenameColumns(Base, {{"Groupe gestionnaires", "Site"}, {"Poste travail princ.", "Équipe"}}),</t>
        </is>
      </c>
    </row>
    <row r="267" ht="13" customHeight="1">
      <c r="A267" s="67" t="inlineStr">
        <is>
          <t xml:space="preserve">        {{"Site", Vide, type text}, {"Équipe", Vide, type text}, {"Code poste", Vide, type text},</t>
        </is>
      </c>
    </row>
    <row r="268" ht="13" customHeight="1">
      <c r="A268" s="67" t="inlineStr">
        <is>
          <t xml:space="preserve">            {"Activité atomique", Vide, type text}}),</t>
        </is>
      </c>
    </row>
    <row r="269" ht="13" customHeight="1">
      <c r="A269" s="67" t="inlineStr">
        <is>
          <t xml:space="preserve">    // Identifiant d'OT : le numéro d'ordre ; une ligne sans numéro compte comme un OT à part</t>
        </is>
      </c>
    </row>
    <row r="270" ht="13" customHeight="1">
      <c r="A270" s="67" t="inlineStr">
        <is>
          <t xml:space="preserve">    AvecOT = Table.AddColumn(Cles, "_OT",</t>
        </is>
      </c>
    </row>
    <row r="271" ht="13" customHeight="1">
      <c r="A271" s="67" t="inlineStr">
        <is>
          <t xml:space="preserve">        each if [Ordre] = null then "#LIGNE-" &amp; Text.From([Ligne export]) else [Ordre], type text),</t>
        </is>
      </c>
    </row>
    <row r="272" ht="13" customHeight="1">
      <c r="A272" s="67" t="inlineStr">
        <is>
          <t xml:space="preserve">    // Activités en colonnes : ordre du référentiel, puis activités inconnues par ordre alphabétique</t>
        </is>
      </c>
    </row>
    <row r="273" ht="13" customHeight="1">
      <c r="A273" s="67" t="inlineStr">
        <is>
          <t xml:space="preserve">    OrdreActivites = Table.Sort(</t>
        </is>
      </c>
    </row>
    <row r="274" ht="13" customHeight="1">
      <c r="A274" s="67" t="inlineStr">
        <is>
          <t xml:space="preserve">        Table.Distinct(Table.SelectColumns(AvecOT, {"Activité atomique", "Ordre d'affichage activité"})),</t>
        </is>
      </c>
    </row>
    <row r="275" ht="13" customHeight="1">
      <c r="A275" s="67" t="inlineStr">
        <is>
          <t xml:space="preserve">        {{"Ordre d'affichage activité", Order.Ascending}, {"Activité atomique", Order.Ascending}}),</t>
        </is>
      </c>
    </row>
    <row r="276" ht="13" customHeight="1">
      <c r="A276" s="67" t="inlineStr">
        <is>
          <t xml:space="preserve">    Activites = List.Distinct(OrdreActivites[Activité atomique]),</t>
        </is>
      </c>
    </row>
    <row r="277" ht="13" customHeight="1">
      <c r="A277" s="67" t="inlineStr">
        <is>
          <t xml:space="preserve">    ParPoste = Table.Group(AvecOT, {"Année planifiée", "Site", "Équipe", "Code poste"},</t>
        </is>
      </c>
    </row>
    <row r="278" ht="13" customHeight="1">
      <c r="A278" s="67" t="inlineStr">
        <is>
          <t xml:space="preserve">        {{"_Lignes", each _, type table}}),</t>
        </is>
      </c>
    </row>
    <row r="279" ht="13" customHeight="1">
      <c r="A279" s="67" t="inlineStr">
        <is>
          <t xml:space="preserve">    AvecComptes = Table.AddColumn(ParPoste, "_Comptes", (g) =&gt;</t>
        </is>
      </c>
    </row>
    <row r="280" ht="13" customHeight="1">
      <c r="A280" s="67" t="inlineStr">
        <is>
          <t xml:space="preserve">        Record.FromList(</t>
        </is>
      </c>
    </row>
    <row r="281" ht="13" customHeight="1">
      <c r="A281" s="67" t="inlineStr">
        <is>
          <t xml:space="preserve">            List.Transform(Activites, (a) =&gt;</t>
        </is>
      </c>
    </row>
    <row r="282" ht="13" customHeight="1">
      <c r="A282" s="67" t="inlineStr">
        <is>
          <t xml:space="preserve">                List.Count(List.Distinct(Table.SelectRows(g[_Lignes], each [Activité atomique] = a)[_OT]))),</t>
        </is>
      </c>
    </row>
    <row r="283" ht="13" customHeight="1">
      <c r="A283" s="67" t="inlineStr">
        <is>
          <t xml:space="preserve">            Activites)),</t>
        </is>
      </c>
    </row>
    <row r="284" ht="13" customHeight="1">
      <c r="A284" s="67" t="inlineStr">
        <is>
          <t xml:space="preserve">    Developpe = Table.ExpandRecordColumn(AvecComptes, "_Comptes", Activites),</t>
        </is>
      </c>
    </row>
    <row r="285" ht="13" customHeight="1">
      <c r="A285" s="67" t="inlineStr">
        <is>
          <t xml:space="preserve">    AvecTotal = Table.AddColumn(Developpe, "OT distincts (toutes activités)",</t>
        </is>
      </c>
    </row>
    <row r="286" ht="13" customHeight="1">
      <c r="A286" s="67" t="inlineStr">
        <is>
          <t xml:space="preserve">        each List.Count(List.Distinct([_Lignes][_OT])), Int64.Type),</t>
        </is>
      </c>
    </row>
    <row r="287" ht="13" customHeight="1">
      <c r="A287" s="67" t="inlineStr">
        <is>
          <t xml:space="preserve">    AvecVigilance = Table.AddColumn(AvecTotal, "OT avec point de contrôle",</t>
        </is>
      </c>
    </row>
    <row r="288" ht="13" customHeight="1">
      <c r="A288" s="67" t="inlineStr">
        <is>
          <t xml:space="preserve">        each List.Count(List.Distinct(Table.SelectRows([_Lignes], each [Contrôle qualité] &lt;&gt; null)[_OT])), Int64.Type),</t>
        </is>
      </c>
    </row>
    <row r="289" ht="13" customHeight="1">
      <c r="A289" s="67" t="inlineStr">
        <is>
          <t xml:space="preserve">    SansDetail = Table.RemoveColumns(AvecVigilance, {"_Lignes"}),</t>
        </is>
      </c>
    </row>
    <row r="290" ht="13" customHeight="1">
      <c r="A290" s="67" t="inlineStr">
        <is>
          <t xml:space="preserve">    Types = Table.TransformColumnTypes(SansDetail,</t>
        </is>
      </c>
    </row>
    <row r="291" ht="13" customHeight="1">
      <c r="A291" s="67" t="inlineStr">
        <is>
          <t xml:space="preserve">        {{"Année planifiée", Int64.Type}} &amp; List.Transform(Activites, each {_, Int64.Type})),</t>
        </is>
      </c>
    </row>
    <row r="292" ht="13" customHeight="1">
      <c r="A292" s="67" t="inlineStr">
        <is>
          <t xml:space="preserve">    Resultat = Table.Sort(Types, {{"Année planifiée", Order.Ascending}, {"Site", Order.Ascending},</t>
        </is>
      </c>
    </row>
    <row r="293" ht="13" customHeight="1">
      <c r="A293" s="67" t="inlineStr">
        <is>
          <t xml:space="preserve">        {"Équipe", Order.Ascending}, {"Code poste", Order.Ascending}})</t>
        </is>
      </c>
    </row>
    <row r="294" ht="13" customHeight="1">
      <c r="A294" s="67" t="inlineStr">
        <is>
          <t>in</t>
        </is>
      </c>
    </row>
    <row r="295" ht="13" customHeight="1">
      <c r="A295" s="67" t="inlineStr">
        <is>
          <t xml:space="preserve">    Resultat</t>
        </is>
      </c>
    </row>
    <row r="298">
      <c r="A298" s="62" t="inlineStr">
        <is>
          <t>Requête « OT_Controles » – fichier OT_Controles.pq – chargement : 08_PARAMETRES!A20</t>
        </is>
      </c>
    </row>
    <row r="299" ht="13" customHeight="1">
      <c r="A299" s="67" t="inlineStr">
        <is>
          <t>// =====================================================================</t>
        </is>
      </c>
    </row>
    <row r="300" ht="13" customHeight="1">
      <c r="A300" s="67" t="inlineStr">
        <is>
          <t>// OT_Controles - tableau de bord des contrôles qualité de l'import GMAO</t>
        </is>
      </c>
    </row>
    <row r="301" ht="13" customHeight="1">
      <c r="A301" s="67" t="inlineStr">
        <is>
          <t>// Une ligne par contrôle, toujours présente (Statut OK si rien à signaler).</t>
        </is>
      </c>
    </row>
    <row r="302" ht="13" customHeight="1">
      <c r="A302" s="67" t="inlineStr">
        <is>
          <t>// Source : requête OT_Detail (aucun accès direct à un fichier).</t>
        </is>
      </c>
    </row>
    <row r="303" ht="13" customHeight="1">
      <c r="A303" s="67" t="inlineStr">
        <is>
          <t>// Chargement : tableau dans l'onglet 07_POINTS_A_VALIDER, cellule A6.</t>
        </is>
      </c>
    </row>
    <row r="304" ht="13" customHeight="1">
      <c r="A304" s="67" t="inlineStr">
        <is>
          <t>// Le détail des lignes concernées se filtre dans 04_DETAIL_OT,</t>
        </is>
      </c>
    </row>
    <row r="305" ht="13" customHeight="1">
      <c r="A305" s="67" t="inlineStr">
        <is>
          <t>// colonne « Contrôle qualité ».</t>
        </is>
      </c>
    </row>
    <row r="306" ht="13" customHeight="1">
      <c r="A306" s="67" t="inlineStr">
        <is>
          <t>// =====================================================================</t>
        </is>
      </c>
    </row>
    <row r="307" ht="13" customHeight="1">
      <c r="A307" s="67" t="inlineStr">
        <is>
          <t>let</t>
        </is>
      </c>
    </row>
    <row r="308" ht="13" customHeight="1">
      <c r="A308" s="67" t="inlineStr">
        <is>
          <t xml:space="preserve">    Detail = OT_Detail,</t>
        </is>
      </c>
    </row>
    <row r="309" ht="13" customHeight="1">
      <c r="A309" s="67" t="inlineStr">
        <is>
          <t xml:space="preserve">    Lignes = Table.Buffer(Table.SelectColumns(Detail,</t>
        </is>
      </c>
    </row>
    <row r="310" ht="13" customHeight="1">
      <c r="A310" s="67" t="inlineStr">
        <is>
          <t xml:space="preserve">        {"Ordre", "Ligne export", "Lignes export regroupées", "Contrôle qualité", "Écarts de structure"})),</t>
        </is>
      </c>
    </row>
    <row r="311" ht="13" customHeight="1">
      <c r="A311" s="67" t="inlineStr">
        <is>
          <t xml:space="preserve">    // numéros des lignes de l'export portées par une ligne du détail (doublons regroupés compris)</t>
        </is>
      </c>
    </row>
    <row r="312" ht="13" customHeight="1">
      <c r="A312" s="67" t="inlineStr">
        <is>
          <t xml:space="preserve">    LignesDe = (r as record) as list =&gt;</t>
        </is>
      </c>
    </row>
    <row r="313" ht="13" customHeight="1">
      <c r="A313" s="67" t="inlineStr">
        <is>
          <t xml:space="preserve">        {r[Ligne export]}</t>
        </is>
      </c>
    </row>
    <row r="314" ht="13" customHeight="1">
      <c r="A314" s="67" t="inlineStr">
        <is>
          <t xml:space="preserve">            &amp; (if r[Lignes export regroupées] = null then {}</t>
        </is>
      </c>
    </row>
    <row r="315" ht="13" customHeight="1">
      <c r="A315" s="67" t="inlineStr">
        <is>
          <t xml:space="preserve">                else List.Transform(Text.Split(r[Lignes export regroupées], ", "), Number.From)),</t>
        </is>
      </c>
    </row>
    <row r="316" ht="13" customHeight="1">
      <c r="A316" s="67" t="inlineStr">
        <is>
          <t xml:space="preserve">    NumerosLignes = (t as table) as list =&gt; List.Distinct(List.Combine(List.Transform(Table.ToRecords(t), LignesDe))),</t>
        </is>
      </c>
    </row>
    <row r="317" ht="13" customHeight="1">
      <c r="A317" s="67" t="inlineStr">
        <is>
          <t xml:space="preserve">    Definitions = {</t>
        </is>
      </c>
    </row>
    <row r="318" ht="13" customHeight="1">
      <c r="A318" s="67" t="inlineStr">
        <is>
          <t xml:space="preserve">        {"Ordre vide", "À vérifier"},</t>
        </is>
      </c>
    </row>
    <row r="319" ht="13" customHeight="1">
      <c r="A319" s="67" t="inlineStr">
        <is>
          <t xml:space="preserve">        {"OT présent sur plusieurs lignes de l'export", "À vérifier"},</t>
        </is>
      </c>
    </row>
    <row r="320" ht="13" customHeight="1">
      <c r="A320" s="67" t="inlineStr">
        <is>
          <t xml:space="preserve">        {"Poste technique vide", "À vérifier"},</t>
        </is>
      </c>
    </row>
    <row r="321" ht="13" customHeight="1">
      <c r="A321" s="67" t="inlineStr">
        <is>
          <t xml:space="preserve">        {"Poste technique trop court", "À vérifier"},</t>
        </is>
      </c>
    </row>
    <row r="322" ht="13" customHeight="1">
      <c r="A322" s="67" t="inlineStr">
        <is>
          <t xml:space="preserve">        {"Format du Poste technique inattendu", "À vérifier"},</t>
        </is>
      </c>
    </row>
    <row r="323" ht="13" customHeight="1">
      <c r="A323" s="67" t="inlineStr">
        <is>
          <t xml:space="preserve">        {"Date début planifiée vide", "À vérifier"},</t>
        </is>
      </c>
    </row>
    <row r="324" ht="13" customHeight="1">
      <c r="A324" s="67" t="inlineStr">
        <is>
          <t xml:space="preserve">        {"Date début planifiée illisible", "À vérifier"},</t>
        </is>
      </c>
    </row>
    <row r="325" ht="13" customHeight="1">
      <c r="A325" s="67" t="inlineStr">
        <is>
          <t xml:space="preserve">        {"Activité vide", "À vérifier"},</t>
        </is>
      </c>
    </row>
    <row r="326" ht="13" customHeight="1">
      <c r="A326" s="67" t="inlineStr">
        <is>
          <t xml:space="preserve">        {"Activité mal formée", "À vérifier"},</t>
        </is>
      </c>
    </row>
    <row r="327" ht="13" customHeight="1">
      <c r="A327" s="67" t="inlineStr">
        <is>
          <t xml:space="preserve">        {"Activité inconnue du référentiel", "À vérifier"},</t>
        </is>
      </c>
    </row>
    <row r="328" ht="13" customHeight="1">
      <c r="A328" s="67" t="inlineStr">
        <is>
          <t xml:space="preserve">        {"Couple Ordre + Activité en double", "Info"},</t>
        </is>
      </c>
    </row>
    <row r="329" ht="13" customHeight="1">
      <c r="A329" s="67" t="inlineStr">
        <is>
          <t xml:space="preserve">        {"Site ou équipe vide", "À vérifier"},</t>
        </is>
      </c>
    </row>
    <row r="330" ht="13" customHeight="1">
      <c r="A330" s="67" t="inlineStr">
        <is>
          <t xml:space="preserve">        {"Nouveau site", "À vérifier"},</t>
        </is>
      </c>
    </row>
    <row r="331" ht="13" customHeight="1">
      <c r="A331" s="67" t="inlineStr">
        <is>
          <t xml:space="preserve">        {"Nouvelle équipe", "À vérifier"},</t>
        </is>
      </c>
    </row>
    <row r="332" ht="13" customHeight="1">
      <c r="A332" s="67" t="inlineStr">
        <is>
          <t xml:space="preserve">        {"Type de travail autre que PRE", "Info"}</t>
        </is>
      </c>
    </row>
    <row r="333" ht="13" customHeight="1">
      <c r="A333" s="67" t="inlineStr">
        <is>
          <t xml:space="preserve">    },</t>
        </is>
      </c>
    </row>
    <row r="334" ht="13" customHeight="1">
      <c r="A334" s="67" t="inlineStr">
        <is>
          <t xml:space="preserve">    Exemples = (ordres as list, lignes as list) as text =&gt;</t>
        </is>
      </c>
    </row>
    <row r="335" ht="13" customHeight="1">
      <c r="A335" s="67" t="inlineStr">
        <is>
          <t xml:space="preserve">        Text.Combine(List.FirstN(</t>
        </is>
      </c>
    </row>
    <row r="336" ht="13" customHeight="1">
      <c r="A336" s="67" t="inlineStr">
        <is>
          <t xml:space="preserve">            (if List.IsEmpty(ordres) then {} else ordres)</t>
        </is>
      </c>
    </row>
    <row r="337" ht="13" customHeight="1">
      <c r="A337" s="67" t="inlineStr">
        <is>
          <t xml:space="preserve">                &amp; (if List.IsEmpty(ordres) then List.Transform(lignes, each "ligne " &amp; Text.From(_)) else {}),</t>
        </is>
      </c>
    </row>
    <row r="338" ht="13" customHeight="1">
      <c r="A338" s="67" t="inlineStr">
        <is>
          <t xml:space="preserve">            10), ", "),</t>
        </is>
      </c>
    </row>
    <row r="339" ht="13" customHeight="1">
      <c r="A339" s="67" t="inlineStr">
        <is>
          <t xml:space="preserve">    CalculerStatut = (niveau as text, nombre as number) as text =&gt;</t>
        </is>
      </c>
    </row>
    <row r="340" ht="13" customHeight="1">
      <c r="A340" s="67" t="inlineStr">
        <is>
          <t xml:space="preserve">        if nombre = 0 then "OK" else if niveau = "Info" then "INFO" else "À VÉRIFIER",</t>
        </is>
      </c>
    </row>
    <row r="341" ht="13" customHeight="1">
      <c r="A341" s="67" t="inlineStr">
        <is>
          <t xml:space="preserve">    // Ligne 0 : volume lu, pour vérifier d'un coup d'œil que l'export est complet</t>
        </is>
      </c>
    </row>
    <row r="342" ht="13" customHeight="1">
      <c r="A342" s="67" t="inlineStr">
        <is>
          <t xml:space="preserve">    Volume = [</t>
        </is>
      </c>
    </row>
    <row r="343" ht="13" customHeight="1">
      <c r="A343" s="67" t="inlineStr">
        <is>
          <t xml:space="preserve">        #"N°" = 0,</t>
        </is>
      </c>
    </row>
    <row r="344" ht="13" customHeight="1">
      <c r="A344" s="67" t="inlineStr">
        <is>
          <t xml:space="preserve">        Contrôle = "Lignes lues dans l'export",</t>
        </is>
      </c>
    </row>
    <row r="345" ht="13" customHeight="1">
      <c r="A345" s="67" t="inlineStr">
        <is>
          <t xml:space="preserve">        Niveau = "Info",</t>
        </is>
      </c>
    </row>
    <row r="346" ht="13" customHeight="1">
      <c r="A346" s="67" t="inlineStr">
        <is>
          <t xml:space="preserve">        #"Lignes de l'export" = List.Count(NumerosLignes(Lignes)),</t>
        </is>
      </c>
    </row>
    <row r="347" ht="13" customHeight="1">
      <c r="A347" s="67" t="inlineStr">
        <is>
          <t xml:space="preserve">        #"OT distincts" = List.Count(List.Distinct(List.RemoveNulls(Lignes[Ordre]))),</t>
        </is>
      </c>
    </row>
    <row r="348" ht="13" customHeight="1">
      <c r="A348" s="67" t="inlineStr">
        <is>
          <t xml:space="preserve">        #"Exemples (Ordre ou ligne)" = "",</t>
        </is>
      </c>
    </row>
    <row r="349" ht="13" customHeight="1">
      <c r="A349" s="67" t="inlineStr">
        <is>
          <t xml:space="preserve">        Statut = "INFO"</t>
        </is>
      </c>
    </row>
    <row r="350" ht="13" customHeight="1">
      <c r="A350" s="67" t="inlineStr">
        <is>
          <t xml:space="preserve">    ],</t>
        </is>
      </c>
    </row>
    <row r="351" ht="13" customHeight="1">
      <c r="A351" s="67" t="inlineStr">
        <is>
          <t xml:space="preserve">    // Ligne 1 : structure de l'export (colonnes absentes ou non utilisées)</t>
        </is>
      </c>
    </row>
    <row r="352" ht="13" customHeight="1">
      <c r="A352" s="67" t="inlineStr">
        <is>
          <t xml:space="preserve">    EcartsListe = List.Distinct(List.RemoveNulls(Lignes[Écarts de structure])),</t>
        </is>
      </c>
    </row>
    <row r="353" ht="13" customHeight="1">
      <c r="A353" s="67" t="inlineStr">
        <is>
          <t xml:space="preserve">    Structure = [</t>
        </is>
      </c>
    </row>
    <row r="354" ht="13" customHeight="1">
      <c r="A354" s="67" t="inlineStr">
        <is>
          <t xml:space="preserve">        #"N°" = 1,</t>
        </is>
      </c>
    </row>
    <row r="355" ht="13" customHeight="1">
      <c r="A355" s="67" t="inlineStr">
        <is>
          <t xml:space="preserve">        Contrôle = "Écart de structure de l'export",</t>
        </is>
      </c>
    </row>
    <row r="356" ht="13" customHeight="1">
      <c r="A356" s="67" t="inlineStr">
        <is>
          <t xml:space="preserve">        Niveau = "À vérifier",</t>
        </is>
      </c>
    </row>
    <row r="357" ht="13" customHeight="1">
      <c r="A357" s="67" t="inlineStr">
        <is>
          <t xml:space="preserve">        #"Lignes de l'export" = 0,</t>
        </is>
      </c>
    </row>
    <row r="358" ht="13" customHeight="1">
      <c r="A358" s="67" t="inlineStr">
        <is>
          <t xml:space="preserve">        #"OT distincts" = 0,</t>
        </is>
      </c>
    </row>
    <row r="359" ht="13" customHeight="1">
      <c r="A359" s="67" t="inlineStr">
        <is>
          <t xml:space="preserve">        #"Exemples (Ordre ou ligne)" = Text.Combine(EcartsListe, " | "),</t>
        </is>
      </c>
    </row>
    <row r="360" ht="13" customHeight="1">
      <c r="A360" s="67" t="inlineStr">
        <is>
          <t xml:space="preserve">        Statut = if List.IsEmpty(EcartsListe) then "OK" else "À VÉRIFIER"</t>
        </is>
      </c>
    </row>
    <row r="361" ht="13" customHeight="1">
      <c r="A361" s="67" t="inlineStr">
        <is>
          <t xml:space="preserve">    ],</t>
        </is>
      </c>
    </row>
    <row r="362" ht="13" customHeight="1">
      <c r="A362" s="67" t="inlineStr">
        <is>
          <t xml:space="preserve">    ParControle = List.Transform(List.Positions(Definitions), (i) =&gt;</t>
        </is>
      </c>
    </row>
    <row r="363" ht="13" customHeight="1">
      <c r="A363" s="67" t="inlineStr">
        <is>
          <t xml:space="preserve">        let</t>
        </is>
      </c>
    </row>
    <row r="364" ht="13" customHeight="1">
      <c r="A364" s="67" t="inlineStr">
        <is>
          <t xml:space="preserve">            Libelle = Definitions{i}{0},</t>
        </is>
      </c>
    </row>
    <row r="365" ht="13" customHeight="1">
      <c r="A365" s="67" t="inlineStr">
        <is>
          <t xml:space="preserve">            NiveauControle = Definitions{i}{1},</t>
        </is>
      </c>
    </row>
    <row r="366" ht="13" customHeight="1">
      <c r="A366" s="67" t="inlineStr">
        <is>
          <t xml:space="preserve">            Touchees = Table.SelectRows(Lignes, each [Contrôle qualité] &lt;&gt; null</t>
        </is>
      </c>
    </row>
    <row r="367" ht="13" customHeight="1">
      <c r="A367" s="67" t="inlineStr">
        <is>
          <t xml:space="preserve">                and List.Contains(Text.Split([Contrôle qualité], " ; "), Libelle)),</t>
        </is>
      </c>
    </row>
    <row r="368" ht="13" customHeight="1">
      <c r="A368" s="67" t="inlineStr">
        <is>
          <t xml:space="preserve">            NumLignes = List.Sort(NumerosLignes(Touchees)),</t>
        </is>
      </c>
    </row>
    <row r="369" ht="13" customHeight="1">
      <c r="A369" s="67" t="inlineStr">
        <is>
          <t xml:space="preserve">            Ordres = List.Distinct(List.RemoveNulls(Touchees[Ordre]))</t>
        </is>
      </c>
    </row>
    <row r="370" ht="13" customHeight="1">
      <c r="A370" s="67" t="inlineStr">
        <is>
          <t xml:space="preserve">        in</t>
        </is>
      </c>
    </row>
    <row r="371" ht="13" customHeight="1">
      <c r="A371" s="67" t="inlineStr">
        <is>
          <t xml:space="preserve">            [</t>
        </is>
      </c>
    </row>
    <row r="372" ht="13" customHeight="1">
      <c r="A372" s="67" t="inlineStr">
        <is>
          <t xml:space="preserve">                #"N°" = i + 2,</t>
        </is>
      </c>
    </row>
    <row r="373" ht="13" customHeight="1">
      <c r="A373" s="67" t="inlineStr">
        <is>
          <t xml:space="preserve">                Contrôle = Libelle,</t>
        </is>
      </c>
    </row>
    <row r="374" ht="13" customHeight="1">
      <c r="A374" s="67" t="inlineStr">
        <is>
          <t xml:space="preserve">                Niveau = NiveauControle,</t>
        </is>
      </c>
    </row>
    <row r="375" ht="13" customHeight="1">
      <c r="A375" s="67" t="inlineStr">
        <is>
          <t xml:space="preserve">                #"Lignes de l'export" = List.Count(NumLignes),</t>
        </is>
      </c>
    </row>
    <row r="376" ht="13" customHeight="1">
      <c r="A376" s="67" t="inlineStr">
        <is>
          <t xml:space="preserve">                #"OT distincts" = List.Count(Ordres),</t>
        </is>
      </c>
    </row>
    <row r="377" ht="13" customHeight="1">
      <c r="A377" s="67" t="inlineStr">
        <is>
          <t xml:space="preserve">                #"Exemples (Ordre ou ligne)" = Exemples(Ordres, NumLignes),</t>
        </is>
      </c>
    </row>
    <row r="378" ht="13" customHeight="1">
      <c r="A378" s="67" t="inlineStr">
        <is>
          <t xml:space="preserve">                Statut = CalculerStatut(NiveauControle, List.Count(NumLignes))</t>
        </is>
      </c>
    </row>
    <row r="379" ht="13" customHeight="1">
      <c r="A379" s="67" t="inlineStr">
        <is>
          <t xml:space="preserve">            ]),</t>
        </is>
      </c>
    </row>
    <row r="380" ht="13" customHeight="1">
      <c r="A380" s="67" t="inlineStr">
        <is>
          <t xml:space="preserve">    Resultat = Table.TransformColumnTypes(</t>
        </is>
      </c>
    </row>
    <row r="381" ht="13" customHeight="1">
      <c r="A381" s="67" t="inlineStr">
        <is>
          <t xml:space="preserve">        Table.FromRecords({Volume, Structure} &amp; ParControle),</t>
        </is>
      </c>
    </row>
    <row r="382" ht="13" customHeight="1">
      <c r="A382" s="67" t="inlineStr">
        <is>
          <t xml:space="preserve">        {{"N°", Int64.Type}, {"Contrôle", type text}, {"Niveau", type text}, {"Lignes de l'export", Int64.Type},</t>
        </is>
      </c>
    </row>
    <row r="383" ht="13" customHeight="1">
      <c r="A383" s="67" t="inlineStr">
        <is>
          <t xml:space="preserve">            {"OT distincts", Int64.Type}, {"Exemples (Ordre ou ligne)", type text}, {"Statut", type text}})</t>
        </is>
      </c>
    </row>
    <row r="384" ht="13" customHeight="1">
      <c r="A384" s="67" t="inlineStr">
        <is>
          <t>in</t>
        </is>
      </c>
    </row>
    <row r="385" ht="13" customHeight="1">
      <c r="A385" s="67" t="inlineStr">
        <is>
          <t xml:space="preserve">    Resultat</t>
        </is>
      </c>
    </row>
  </sheetData>
  <pageMargins left="0.75" right="0.75" top="1" bottom="1" header="0.5" footer="0.5"/>
  <headerFooter>
    <oddHeader/>
    <oddFooter>&amp;LPrototype V0.3 – données fictives – la GMAO reste la source de référence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Prototype V0.3</dc:creator>
  <dc:title xmlns:dc="http://purl.org/dc/elements/1.1/">Prototype maintenance préventive V0.3</dc:title>
  <dcterms:created xmlns:dcterms="http://purl.org/dc/terms/" xmlns:xsi="http://www.w3.org/2001/XMLSchema-instance" xsi:type="dcterms:W3CDTF">2026-10-14T12:37:53Z</dcterms:created>
  <dcterms:modified xmlns:dcterms="http://purl.org/dc/terms/" xmlns:xsi="http://www.w3.org/2001/XMLSchema-instance" xsi:type="dcterms:W3CDTF">2026-10-14T12:37:54Z</dcterms:modified>
</cp:coreProperties>
</file>